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07 - Cleansing Smoothies/____InClass/"/>
    </mc:Choice>
  </mc:AlternateContent>
  <xr:revisionPtr revIDLastSave="0" documentId="13_ncr:1_{B7C45047-9ABA-A440-BDB5-7AC634D3B20A}" xr6:coauthVersionLast="47" xr6:coauthVersionMax="47" xr10:uidLastSave="{00000000-0000-0000-0000-000000000000}"/>
  <bookViews>
    <workbookView xWindow="1920" yWindow="500" windowWidth="34560" windowHeight="19620" tabRatio="500" activeTab="1" xr2:uid="{00000000-000D-0000-FFFF-FFFF00000000}"/>
  </bookViews>
  <sheets>
    <sheet name="Depletion Report" sheetId="6" r:id="rId1"/>
    <sheet name="Inventory Report" sheetId="11" r:id="rId2"/>
    <sheet name="CSA Report" sheetId="10" r:id="rId3"/>
    <sheet name="CSE Report" sheetId="8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14" i="11" l="1"/>
  <c r="U13" i="11"/>
  <c r="U12" i="11"/>
  <c r="U11" i="11"/>
  <c r="U7" i="11"/>
  <c r="U6" i="11"/>
  <c r="U5" i="11"/>
  <c r="U4" i="11"/>
  <c r="G102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3" i="6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4" i="10"/>
  <c r="C97" i="10"/>
  <c r="L7" i="11"/>
  <c r="C98" i="10"/>
  <c r="M7" i="11"/>
  <c r="O7" i="11"/>
  <c r="T7" i="11" s="1"/>
  <c r="D97" i="10"/>
  <c r="L6" i="11"/>
  <c r="O6" i="11" s="1"/>
  <c r="T6" i="11" s="1"/>
  <c r="D98" i="10"/>
  <c r="M6" i="11"/>
  <c r="F97" i="10"/>
  <c r="L5" i="11"/>
  <c r="O5" i="11" s="1"/>
  <c r="T5" i="11" s="1"/>
  <c r="F98" i="10"/>
  <c r="M5" i="11"/>
  <c r="R5" i="11" s="1"/>
  <c r="E97" i="10"/>
  <c r="L4" i="11"/>
  <c r="E98" i="10"/>
  <c r="M4" i="11"/>
  <c r="O4" i="11"/>
  <c r="Q4" i="11" s="1"/>
  <c r="F97" i="8"/>
  <c r="L12" i="11"/>
  <c r="O12" i="11" s="1"/>
  <c r="T12" i="11" s="1"/>
  <c r="F98" i="8"/>
  <c r="M12" i="11"/>
  <c r="D97" i="8"/>
  <c r="L13" i="11"/>
  <c r="D98" i="8"/>
  <c r="M13" i="11"/>
  <c r="O13" i="11"/>
  <c r="Q13" i="11" s="1"/>
  <c r="C97" i="8"/>
  <c r="L14" i="11"/>
  <c r="O14" i="11" s="1"/>
  <c r="T14" i="11" s="1"/>
  <c r="C98" i="8"/>
  <c r="M14" i="11"/>
  <c r="E97" i="8"/>
  <c r="L11" i="11"/>
  <c r="S11" i="11" s="1"/>
  <c r="E98" i="8"/>
  <c r="M11" i="11"/>
  <c r="P4" i="11"/>
  <c r="S4" i="11" s="1"/>
  <c r="G107" i="6"/>
  <c r="G106" i="6"/>
  <c r="G108" i="6"/>
  <c r="G105" i="6"/>
  <c r="G104" i="6"/>
  <c r="F126" i="8"/>
  <c r="F127" i="8"/>
  <c r="F128" i="8"/>
  <c r="F132" i="8"/>
  <c r="F135" i="6"/>
  <c r="F136" i="6"/>
  <c r="F137" i="6"/>
  <c r="F141" i="6"/>
  <c r="E126" i="8"/>
  <c r="E127" i="8"/>
  <c r="E128" i="8"/>
  <c r="E132" i="8"/>
  <c r="D126" i="8"/>
  <c r="D127" i="8"/>
  <c r="D128" i="8"/>
  <c r="D132" i="8"/>
  <c r="C126" i="8"/>
  <c r="C127" i="8"/>
  <c r="C128" i="8"/>
  <c r="C132" i="8"/>
  <c r="D126" i="10"/>
  <c r="D127" i="10"/>
  <c r="D128" i="10"/>
  <c r="D132" i="10"/>
  <c r="B135" i="6"/>
  <c r="B136" i="6"/>
  <c r="B137" i="6"/>
  <c r="B141" i="6"/>
  <c r="E126" i="10"/>
  <c r="E127" i="10"/>
  <c r="E128" i="10"/>
  <c r="E132" i="10"/>
  <c r="F126" i="10"/>
  <c r="F127" i="10"/>
  <c r="F128" i="10"/>
  <c r="F132" i="10"/>
  <c r="C126" i="10"/>
  <c r="C127" i="10"/>
  <c r="C128" i="10"/>
  <c r="C132" i="10"/>
  <c r="P14" i="11"/>
  <c r="S14" i="11" s="1"/>
  <c r="R14" i="11"/>
  <c r="P13" i="11"/>
  <c r="S13" i="11" s="1"/>
  <c r="R13" i="11"/>
  <c r="P12" i="11"/>
  <c r="R12" i="11" s="1"/>
  <c r="P11" i="11"/>
  <c r="P7" i="11"/>
  <c r="R7" i="11"/>
  <c r="P6" i="11"/>
  <c r="S6" i="11" s="1"/>
  <c r="R6" i="11"/>
  <c r="P5" i="11"/>
  <c r="R4" i="11"/>
  <c r="S7" i="11"/>
  <c r="S5" i="11"/>
  <c r="F133" i="8"/>
  <c r="F134" i="8"/>
  <c r="E133" i="8"/>
  <c r="E134" i="8"/>
  <c r="D133" i="8"/>
  <c r="D134" i="8"/>
  <c r="C133" i="8"/>
  <c r="C134" i="8"/>
  <c r="F131" i="8"/>
  <c r="E131" i="8"/>
  <c r="D131" i="8"/>
  <c r="C131" i="8"/>
  <c r="F130" i="8"/>
  <c r="E130" i="8"/>
  <c r="D130" i="8"/>
  <c r="C130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20" i="8"/>
  <c r="F119" i="8"/>
  <c r="F12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20" i="8"/>
  <c r="E119" i="8"/>
  <c r="E12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20" i="8"/>
  <c r="D119" i="8"/>
  <c r="D12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20" i="8"/>
  <c r="C119" i="8"/>
  <c r="C121" i="8"/>
  <c r="F118" i="8"/>
  <c r="E118" i="8"/>
  <c r="D118" i="8"/>
  <c r="C118" i="8"/>
  <c r="F117" i="8"/>
  <c r="E117" i="8"/>
  <c r="D117" i="8"/>
  <c r="C117" i="8"/>
  <c r="F99" i="8"/>
  <c r="E99" i="8"/>
  <c r="D99" i="8"/>
  <c r="C99" i="8"/>
  <c r="F96" i="8"/>
  <c r="E96" i="8"/>
  <c r="D96" i="8"/>
  <c r="C96" i="8"/>
  <c r="F95" i="8"/>
  <c r="E95" i="8"/>
  <c r="D95" i="8"/>
  <c r="C95" i="8"/>
  <c r="F133" i="10"/>
  <c r="F134" i="10"/>
  <c r="E133" i="10"/>
  <c r="E134" i="10"/>
  <c r="D133" i="10"/>
  <c r="D134" i="10"/>
  <c r="C133" i="10"/>
  <c r="C134" i="10"/>
  <c r="F131" i="10"/>
  <c r="E131" i="10"/>
  <c r="D131" i="10"/>
  <c r="C131" i="10"/>
  <c r="F130" i="10"/>
  <c r="E130" i="10"/>
  <c r="D130" i="10"/>
  <c r="C130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20" i="10"/>
  <c r="F119" i="10"/>
  <c r="F121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20" i="10"/>
  <c r="E119" i="10"/>
  <c r="E121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20" i="10"/>
  <c r="D119" i="10"/>
  <c r="D121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20" i="10"/>
  <c r="C119" i="10"/>
  <c r="C121" i="10"/>
  <c r="F118" i="10"/>
  <c r="E118" i="10"/>
  <c r="D118" i="10"/>
  <c r="C118" i="10"/>
  <c r="F117" i="10"/>
  <c r="E117" i="10"/>
  <c r="D117" i="10"/>
  <c r="C117" i="10"/>
  <c r="F99" i="10"/>
  <c r="E99" i="10"/>
  <c r="D99" i="10"/>
  <c r="C99" i="10"/>
  <c r="F96" i="10"/>
  <c r="E96" i="10"/>
  <c r="D96" i="10"/>
  <c r="C96" i="10"/>
  <c r="F95" i="10"/>
  <c r="E95" i="10"/>
  <c r="D95" i="10"/>
  <c r="C95" i="10"/>
  <c r="F107" i="6"/>
  <c r="F106" i="6"/>
  <c r="F105" i="6"/>
  <c r="F104" i="6"/>
  <c r="E107" i="6"/>
  <c r="E106" i="6"/>
  <c r="E105" i="6"/>
  <c r="E104" i="6"/>
  <c r="D107" i="6"/>
  <c r="D106" i="6"/>
  <c r="D105" i="6"/>
  <c r="D104" i="6"/>
  <c r="C107" i="6"/>
  <c r="C106" i="6"/>
  <c r="C105" i="6"/>
  <c r="C104" i="6"/>
  <c r="B107" i="6"/>
  <c r="B106" i="6"/>
  <c r="B105" i="6"/>
  <c r="B104" i="6"/>
  <c r="C113" i="6"/>
  <c r="D113" i="6"/>
  <c r="E113" i="6"/>
  <c r="F113" i="6"/>
  <c r="B113" i="6"/>
  <c r="F142" i="6"/>
  <c r="F143" i="6"/>
  <c r="F140" i="6"/>
  <c r="F139" i="6"/>
  <c r="E135" i="6"/>
  <c r="E136" i="6"/>
  <c r="E137" i="6"/>
  <c r="E142" i="6"/>
  <c r="E141" i="6"/>
  <c r="E143" i="6"/>
  <c r="E140" i="6"/>
  <c r="E139" i="6"/>
  <c r="D135" i="6"/>
  <c r="D136" i="6"/>
  <c r="D137" i="6"/>
  <c r="D142" i="6"/>
  <c r="D141" i="6"/>
  <c r="D143" i="6"/>
  <c r="D140" i="6"/>
  <c r="D139" i="6"/>
  <c r="C135" i="6"/>
  <c r="C136" i="6"/>
  <c r="C137" i="6"/>
  <c r="C142" i="6"/>
  <c r="C141" i="6"/>
  <c r="C143" i="6"/>
  <c r="C140" i="6"/>
  <c r="C139" i="6"/>
  <c r="B142" i="6"/>
  <c r="B143" i="6"/>
  <c r="B140" i="6"/>
  <c r="B139" i="6"/>
  <c r="F114" i="6"/>
  <c r="F115" i="6"/>
  <c r="F116" i="6"/>
  <c r="F117" i="6"/>
  <c r="F118" i="6"/>
  <c r="F119" i="6"/>
  <c r="F120" i="6"/>
  <c r="F121" i="6"/>
  <c r="F122" i="6"/>
  <c r="F123" i="6"/>
  <c r="F124" i="6"/>
  <c r="F129" i="6"/>
  <c r="F128" i="6"/>
  <c r="F130" i="6"/>
  <c r="F127" i="6"/>
  <c r="F126" i="6"/>
  <c r="E114" i="6"/>
  <c r="E115" i="6"/>
  <c r="E116" i="6"/>
  <c r="E117" i="6"/>
  <c r="E118" i="6"/>
  <c r="E119" i="6"/>
  <c r="E120" i="6"/>
  <c r="E121" i="6"/>
  <c r="E122" i="6"/>
  <c r="E123" i="6"/>
  <c r="E124" i="6"/>
  <c r="E129" i="6"/>
  <c r="E128" i="6"/>
  <c r="E130" i="6"/>
  <c r="E127" i="6"/>
  <c r="E126" i="6"/>
  <c r="D114" i="6"/>
  <c r="D115" i="6"/>
  <c r="D116" i="6"/>
  <c r="D117" i="6"/>
  <c r="D118" i="6"/>
  <c r="D119" i="6"/>
  <c r="D120" i="6"/>
  <c r="D121" i="6"/>
  <c r="D122" i="6"/>
  <c r="D123" i="6"/>
  <c r="D124" i="6"/>
  <c r="D129" i="6"/>
  <c r="D128" i="6"/>
  <c r="D130" i="6"/>
  <c r="D127" i="6"/>
  <c r="D126" i="6"/>
  <c r="C114" i="6"/>
  <c r="C115" i="6"/>
  <c r="C116" i="6"/>
  <c r="C117" i="6"/>
  <c r="C118" i="6"/>
  <c r="C119" i="6"/>
  <c r="C120" i="6"/>
  <c r="C121" i="6"/>
  <c r="C122" i="6"/>
  <c r="C123" i="6"/>
  <c r="C124" i="6"/>
  <c r="C129" i="6"/>
  <c r="C128" i="6"/>
  <c r="C130" i="6"/>
  <c r="C127" i="6"/>
  <c r="C126" i="6"/>
  <c r="B114" i="6"/>
  <c r="B115" i="6"/>
  <c r="B116" i="6"/>
  <c r="B117" i="6"/>
  <c r="B118" i="6"/>
  <c r="B119" i="6"/>
  <c r="B120" i="6"/>
  <c r="B121" i="6"/>
  <c r="B122" i="6"/>
  <c r="B123" i="6"/>
  <c r="B124" i="6"/>
  <c r="B129" i="6"/>
  <c r="B128" i="6"/>
  <c r="B130" i="6"/>
  <c r="B127" i="6"/>
  <c r="B126" i="6"/>
  <c r="F108" i="6"/>
  <c r="E108" i="6"/>
  <c r="D108" i="6"/>
  <c r="C108" i="6"/>
  <c r="B108" i="6"/>
  <c r="C8" i="6"/>
  <c r="C7" i="6"/>
  <c r="C6" i="6"/>
  <c r="C5" i="6"/>
  <c r="C4" i="6"/>
  <c r="T13" i="11" l="1"/>
  <c r="Q5" i="11"/>
  <c r="Q7" i="11"/>
  <c r="T4" i="11"/>
  <c r="Q12" i="11"/>
  <c r="Q14" i="11"/>
  <c r="O11" i="11"/>
  <c r="T11" i="11" s="1"/>
  <c r="Q6" i="11"/>
  <c r="S12" i="11"/>
  <c r="R11" i="11"/>
  <c r="Q1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Willems, Sean Peter</author>
  </authors>
  <commentList>
    <comment ref="C30" authorId="0" shapeId="0" xr:uid="{7CBC2626-5D63-624B-97BB-8B3C22BA9C91}">
      <text>
        <r>
          <rPr>
            <b/>
            <sz val="10"/>
            <color rgb="FF000000"/>
            <rFont val="Tahoma"/>
            <family val="2"/>
          </rPr>
          <t>Willems, Sean Peter: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Talk to your friends about this number.  It is strange.  It could be 60 shipped and 90 returned.  You could write a general formula for that; where N is number shipped.  It could 0 shipped (or do you think of that as a special case of N).  Real data.  is bad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we can keep going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why is it the only negative value.  is it just a typo?  is it an information error.  is our entire database corrupt. 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are more than philosphical questions.  please discuss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<sst xmlns="http://schemas.openxmlformats.org/spreadsheetml/2006/main" count="205" uniqueCount="58">
  <si>
    <t>CSA</t>
  </si>
  <si>
    <t>CSB</t>
  </si>
  <si>
    <t>CSC</t>
  </si>
  <si>
    <t>CSD</t>
  </si>
  <si>
    <t>CSE</t>
  </si>
  <si>
    <t>SFO</t>
  </si>
  <si>
    <t>LAX</t>
  </si>
  <si>
    <t>BOS</t>
  </si>
  <si>
    <t>JFK</t>
  </si>
  <si>
    <t>Total Units</t>
  </si>
  <si>
    <t>SKU</t>
  </si>
  <si>
    <t>Day</t>
  </si>
  <si>
    <t>Total Depletions from all Cleansing Smoothies Distributors for the Last 90 days (aggregated)</t>
  </si>
  <si>
    <t>Total Depletions from all Cleansing Smoothie Distributors for the Last 90 days (by day)</t>
  </si>
  <si>
    <t>Distributor</t>
  </si>
  <si>
    <t>Review Period</t>
  </si>
  <si>
    <t>Leadtime</t>
  </si>
  <si>
    <t>Average Daily Inventory for CSA</t>
  </si>
  <si>
    <t>Average Daily Inventory for CSE</t>
  </si>
  <si>
    <t>Current Inventory Report for SKUs CSA and CSE at Distributors BOS, JFK, LAX, and SFO</t>
  </si>
  <si>
    <t>Last 90 Days of Depletions of SKU CSA at Four Distributors</t>
  </si>
  <si>
    <t>Last 90 Days of Depletions of SKU CSE at Four Distributors</t>
  </si>
  <si>
    <t>min</t>
  </si>
  <si>
    <t>max</t>
  </si>
  <si>
    <t>average</t>
  </si>
  <si>
    <t>st dev</t>
  </si>
  <si>
    <t>cv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</si>
  <si>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</si>
  <si>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</si>
  <si>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</si>
  <si>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</si>
  <si>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</si>
  <si>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</si>
  <si>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</si>
  <si>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</si>
  <si>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</si>
  <si>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</si>
  <si>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</si>
  <si>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</si>
  <si>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Weekly analysis (first 84 days)</t>
  </si>
  <si>
    <t>Week</t>
  </si>
  <si>
    <t>Monthly analysis (assumes 30 days per month)</t>
  </si>
  <si>
    <t>m1</t>
  </si>
  <si>
    <t>m2</t>
  </si>
  <si>
    <t>m3</t>
  </si>
  <si>
    <t>month</t>
  </si>
  <si>
    <t>sigma demand</t>
  </si>
  <si>
    <t>delta</t>
  </si>
  <si>
    <t>imputed service</t>
  </si>
  <si>
    <t>imputed z</t>
  </si>
  <si>
    <t>avg  daily demand</t>
  </si>
  <si>
    <t>scientific expected inventory on hand</t>
  </si>
  <si>
    <t>svc level target</t>
  </si>
  <si>
    <t>never show to sales people</t>
  </si>
  <si>
    <t>actual average inventory on hand</t>
  </si>
  <si>
    <t>Column G is only interesting to supply chain people</t>
  </si>
  <si>
    <t>scientific forward days of supply</t>
  </si>
  <si>
    <t>actual forward days of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</si>
</sst>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3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1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</cellXfs>
  <cellStyles count="379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12" builtinId="9" hidden="1"/>
    <cellStyle name="Followed Hyperlink" xfId="216" builtinId="9" hidden="1"/>
    <cellStyle name="Followed Hyperlink" xfId="220" builtinId="9" hidden="1"/>
    <cellStyle name="Followed Hyperlink" xfId="224" builtinId="9" hidden="1"/>
    <cellStyle name="Followed Hyperlink" xfId="228" builtinId="9" hidden="1"/>
    <cellStyle name="Followed Hyperlink" xfId="232" builtinId="9" hidden="1"/>
    <cellStyle name="Followed Hyperlink" xfId="236" builtinId="9" hidden="1"/>
    <cellStyle name="Followed Hyperlink" xfId="240" builtinId="9" hidden="1"/>
    <cellStyle name="Followed Hyperlink" xfId="244" builtinId="9" hidden="1"/>
    <cellStyle name="Followed Hyperlink" xfId="248" builtinId="9" hidden="1"/>
    <cellStyle name="Followed Hyperlink" xfId="252" builtinId="9" hidden="1"/>
    <cellStyle name="Followed Hyperlink" xfId="256" builtinId="9" hidden="1"/>
    <cellStyle name="Followed Hyperlink" xfId="260" builtinId="9" hidden="1"/>
    <cellStyle name="Followed Hyperlink" xfId="264" builtinId="9" hidden="1"/>
    <cellStyle name="Followed Hyperlink" xfId="268" builtinId="9" hidden="1"/>
    <cellStyle name="Followed Hyperlink" xfId="272" builtinId="9" hidden="1"/>
    <cellStyle name="Followed Hyperlink" xfId="276" builtinId="9" hidden="1"/>
    <cellStyle name="Followed Hyperlink" xfId="280" builtinId="9" hidden="1"/>
    <cellStyle name="Followed Hyperlink" xfId="284" builtinId="9" hidden="1"/>
    <cellStyle name="Followed Hyperlink" xfId="288" builtinId="9" hidden="1"/>
    <cellStyle name="Followed Hyperlink" xfId="292" builtinId="9" hidden="1"/>
    <cellStyle name="Followed Hyperlink" xfId="296" builtinId="9" hidden="1"/>
    <cellStyle name="Followed Hyperlink" xfId="300" builtinId="9" hidden="1"/>
    <cellStyle name="Followed Hyperlink" xfId="304" builtinId="9" hidden="1"/>
    <cellStyle name="Followed Hyperlink" xfId="308" builtinId="9" hidden="1"/>
    <cellStyle name="Followed Hyperlink" xfId="312" builtinId="9" hidden="1"/>
    <cellStyle name="Followed Hyperlink" xfId="316" builtinId="9" hidden="1"/>
    <cellStyle name="Followed Hyperlink" xfId="320" builtinId="9" hidden="1"/>
    <cellStyle name="Followed Hyperlink" xfId="324" builtinId="9" hidden="1"/>
    <cellStyle name="Followed Hyperlink" xfId="328" builtinId="9" hidden="1"/>
    <cellStyle name="Followed Hyperlink" xfId="332" builtinId="9" hidden="1"/>
    <cellStyle name="Followed Hyperlink" xfId="336" builtinId="9" hidden="1"/>
    <cellStyle name="Followed Hyperlink" xfId="340" builtinId="9" hidden="1"/>
    <cellStyle name="Followed Hyperlink" xfId="344" builtinId="9" hidden="1"/>
    <cellStyle name="Followed Hyperlink" xfId="348" builtinId="9" hidden="1"/>
    <cellStyle name="Followed Hyperlink" xfId="352" builtinId="9" hidden="1"/>
    <cellStyle name="Followed Hyperlink" xfId="356" builtinId="9" hidden="1"/>
    <cellStyle name="Followed Hyperlink" xfId="360" builtinId="9" hidden="1"/>
    <cellStyle name="Followed Hyperlink" xfId="364" builtinId="9" hidden="1"/>
    <cellStyle name="Followed Hyperlink" xfId="368" builtinId="9" hidden="1"/>
    <cellStyle name="Followed Hyperlink" xfId="372" builtinId="9" hidden="1"/>
    <cellStyle name="Followed Hyperlink" xfId="376" builtinId="9" hidden="1"/>
    <cellStyle name="Followed Hyperlink" xfId="378" builtinId="9" hidden="1"/>
    <cellStyle name="Followed Hyperlink" xfId="374" builtinId="9" hidden="1"/>
    <cellStyle name="Followed Hyperlink" xfId="370" builtinId="9" hidden="1"/>
    <cellStyle name="Followed Hyperlink" xfId="366" builtinId="9" hidden="1"/>
    <cellStyle name="Followed Hyperlink" xfId="362" builtinId="9" hidden="1"/>
    <cellStyle name="Followed Hyperlink" xfId="358" builtinId="9" hidden="1"/>
    <cellStyle name="Followed Hyperlink" xfId="354" builtinId="9" hidden="1"/>
    <cellStyle name="Followed Hyperlink" xfId="350" builtinId="9" hidden="1"/>
    <cellStyle name="Followed Hyperlink" xfId="346" builtinId="9" hidden="1"/>
    <cellStyle name="Followed Hyperlink" xfId="342" builtinId="9" hidden="1"/>
    <cellStyle name="Followed Hyperlink" xfId="338" builtinId="9" hidden="1"/>
    <cellStyle name="Followed Hyperlink" xfId="334" builtinId="9" hidden="1"/>
    <cellStyle name="Followed Hyperlink" xfId="330" builtinId="9" hidden="1"/>
    <cellStyle name="Followed Hyperlink" xfId="326" builtinId="9" hidden="1"/>
    <cellStyle name="Followed Hyperlink" xfId="322" builtinId="9" hidden="1"/>
    <cellStyle name="Followed Hyperlink" xfId="318" builtinId="9" hidden="1"/>
    <cellStyle name="Followed Hyperlink" xfId="314" builtinId="9" hidden="1"/>
    <cellStyle name="Followed Hyperlink" xfId="310" builtinId="9" hidden="1"/>
    <cellStyle name="Followed Hyperlink" xfId="306" builtinId="9" hidden="1"/>
    <cellStyle name="Followed Hyperlink" xfId="302" builtinId="9" hidden="1"/>
    <cellStyle name="Followed Hyperlink" xfId="298" builtinId="9" hidden="1"/>
    <cellStyle name="Followed Hyperlink" xfId="294" builtinId="9" hidden="1"/>
    <cellStyle name="Followed Hyperlink" xfId="290" builtinId="9" hidden="1"/>
    <cellStyle name="Followed Hyperlink" xfId="286" builtinId="9" hidden="1"/>
    <cellStyle name="Followed Hyperlink" xfId="282" builtinId="9" hidden="1"/>
    <cellStyle name="Followed Hyperlink" xfId="278" builtinId="9" hidden="1"/>
    <cellStyle name="Followed Hyperlink" xfId="274" builtinId="9" hidden="1"/>
    <cellStyle name="Followed Hyperlink" xfId="270" builtinId="9" hidden="1"/>
    <cellStyle name="Followed Hyperlink" xfId="266" builtinId="9" hidden="1"/>
    <cellStyle name="Followed Hyperlink" xfId="262" builtinId="9" hidden="1"/>
    <cellStyle name="Followed Hyperlink" xfId="258" builtinId="9" hidden="1"/>
    <cellStyle name="Followed Hyperlink" xfId="254" builtinId="9" hidden="1"/>
    <cellStyle name="Followed Hyperlink" xfId="250" builtinId="9" hidden="1"/>
    <cellStyle name="Followed Hyperlink" xfId="246" builtinId="9" hidden="1"/>
    <cellStyle name="Followed Hyperlink" xfId="242" builtinId="9" hidden="1"/>
    <cellStyle name="Followed Hyperlink" xfId="238" builtinId="9" hidden="1"/>
    <cellStyle name="Followed Hyperlink" xfId="234" builtinId="9" hidden="1"/>
    <cellStyle name="Followed Hyperlink" xfId="230" builtinId="9" hidden="1"/>
    <cellStyle name="Followed Hyperlink" xfId="226" builtinId="9" hidden="1"/>
    <cellStyle name="Followed Hyperlink" xfId="222" builtinId="9" hidden="1"/>
    <cellStyle name="Followed Hyperlink" xfId="218" builtinId="9" hidden="1"/>
    <cellStyle name="Followed Hyperlink" xfId="214" builtinId="9" hidden="1"/>
    <cellStyle name="Followed Hyperlink" xfId="210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63" builtinId="8" hidden="1"/>
    <cellStyle name="Hyperlink" xfId="165" builtinId="8" hidden="1"/>
    <cellStyle name="Hyperlink" xfId="167" builtinId="8" hidden="1"/>
    <cellStyle name="Hyperlink" xfId="171" builtinId="8" hidden="1"/>
    <cellStyle name="Hyperlink" xfId="173" builtinId="8" hidden="1"/>
    <cellStyle name="Hyperlink" xfId="175" builtinId="8" hidden="1"/>
    <cellStyle name="Hyperlink" xfId="179" builtinId="8" hidden="1"/>
    <cellStyle name="Hyperlink" xfId="181" builtinId="8" hidden="1"/>
    <cellStyle name="Hyperlink" xfId="183" builtinId="8" hidden="1"/>
    <cellStyle name="Hyperlink" xfId="187" builtinId="8" hidden="1"/>
    <cellStyle name="Hyperlink" xfId="189" builtinId="8" hidden="1"/>
    <cellStyle name="Hyperlink" xfId="19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3" builtinId="8" hidden="1"/>
    <cellStyle name="Hyperlink" xfId="205" builtinId="8" hidden="1"/>
    <cellStyle name="Hyperlink" xfId="207" builtinId="8" hidden="1"/>
    <cellStyle name="Hyperlink" xfId="211" builtinId="8" hidden="1"/>
    <cellStyle name="Hyperlink" xfId="213" builtinId="8" hidden="1"/>
    <cellStyle name="Hyperlink" xfId="215" builtinId="8" hidden="1"/>
    <cellStyle name="Hyperlink" xfId="219" builtinId="8" hidden="1"/>
    <cellStyle name="Hyperlink" xfId="221" builtinId="8" hidden="1"/>
    <cellStyle name="Hyperlink" xfId="223" builtinId="8" hidden="1"/>
    <cellStyle name="Hyperlink" xfId="227" builtinId="8" hidden="1"/>
    <cellStyle name="Hyperlink" xfId="229" builtinId="8" hidden="1"/>
    <cellStyle name="Hyperlink" xfId="231" builtinId="8" hidden="1"/>
    <cellStyle name="Hyperlink" xfId="235" builtinId="8" hidden="1"/>
    <cellStyle name="Hyperlink" xfId="237" builtinId="8" hidden="1"/>
    <cellStyle name="Hyperlink" xfId="239" builtinId="8" hidden="1"/>
    <cellStyle name="Hyperlink" xfId="243" builtinId="8" hidden="1"/>
    <cellStyle name="Hyperlink" xfId="245" builtinId="8" hidden="1"/>
    <cellStyle name="Hyperlink" xfId="247" builtinId="8" hidden="1"/>
    <cellStyle name="Hyperlink" xfId="251" builtinId="8" hidden="1"/>
    <cellStyle name="Hyperlink" xfId="253" builtinId="8" hidden="1"/>
    <cellStyle name="Hyperlink" xfId="255" builtinId="8" hidden="1"/>
    <cellStyle name="Hyperlink" xfId="259" builtinId="8" hidden="1"/>
    <cellStyle name="Hyperlink" xfId="261" builtinId="8" hidden="1"/>
    <cellStyle name="Hyperlink" xfId="263" builtinId="8" hidden="1"/>
    <cellStyle name="Hyperlink" xfId="267" builtinId="8" hidden="1"/>
    <cellStyle name="Hyperlink" xfId="269" builtinId="8" hidden="1"/>
    <cellStyle name="Hyperlink" xfId="271" builtinId="8" hidden="1"/>
    <cellStyle name="Hyperlink" xfId="275" builtinId="8" hidden="1"/>
    <cellStyle name="Hyperlink" xfId="277" builtinId="8" hidden="1"/>
    <cellStyle name="Hyperlink" xfId="279" builtinId="8" hidden="1"/>
    <cellStyle name="Hyperlink" xfId="283" builtinId="8" hidden="1"/>
    <cellStyle name="Hyperlink" xfId="285" builtinId="8" hidden="1"/>
    <cellStyle name="Hyperlink" xfId="287" builtinId="8" hidden="1"/>
    <cellStyle name="Hyperlink" xfId="291" builtinId="8" hidden="1"/>
    <cellStyle name="Hyperlink" xfId="293" builtinId="8" hidden="1"/>
    <cellStyle name="Hyperlink" xfId="295" builtinId="8" hidden="1"/>
    <cellStyle name="Hyperlink" xfId="299" builtinId="8" hidden="1"/>
    <cellStyle name="Hyperlink" xfId="301" builtinId="8" hidden="1"/>
    <cellStyle name="Hyperlink" xfId="303" builtinId="8" hidden="1"/>
    <cellStyle name="Hyperlink" xfId="307" builtinId="8" hidden="1"/>
    <cellStyle name="Hyperlink" xfId="309" builtinId="8" hidden="1"/>
    <cellStyle name="Hyperlink" xfId="311" builtinId="8" hidden="1"/>
    <cellStyle name="Hyperlink" xfId="315" builtinId="8" hidden="1"/>
    <cellStyle name="Hyperlink" xfId="317" builtinId="8" hidden="1"/>
    <cellStyle name="Hyperlink" xfId="319" builtinId="8" hidden="1"/>
    <cellStyle name="Hyperlink" xfId="323" builtinId="8" hidden="1"/>
    <cellStyle name="Hyperlink" xfId="325" builtinId="8" hidden="1"/>
    <cellStyle name="Hyperlink" xfId="327" builtinId="8" hidden="1"/>
    <cellStyle name="Hyperlink" xfId="331" builtinId="8" hidden="1"/>
    <cellStyle name="Hyperlink" xfId="333" builtinId="8" hidden="1"/>
    <cellStyle name="Hyperlink" xfId="335" builtinId="8" hidden="1"/>
    <cellStyle name="Hyperlink" xfId="339" builtinId="8" hidden="1"/>
    <cellStyle name="Hyperlink" xfId="341" builtinId="8" hidden="1"/>
    <cellStyle name="Hyperlink" xfId="343" builtinId="8" hidden="1"/>
    <cellStyle name="Hyperlink" xfId="347" builtinId="8" hidden="1"/>
    <cellStyle name="Hyperlink" xfId="349" builtinId="8" hidden="1"/>
    <cellStyle name="Hyperlink" xfId="351" builtinId="8" hidden="1"/>
    <cellStyle name="Hyperlink" xfId="355" builtinId="8" hidden="1"/>
    <cellStyle name="Hyperlink" xfId="357" builtinId="8" hidden="1"/>
    <cellStyle name="Hyperlink" xfId="359" builtinId="8" hidden="1"/>
    <cellStyle name="Hyperlink" xfId="363" builtinId="8" hidden="1"/>
    <cellStyle name="Hyperlink" xfId="365" builtinId="8" hidden="1"/>
    <cellStyle name="Hyperlink" xfId="367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69" builtinId="8" hidden="1"/>
    <cellStyle name="Hyperlink" xfId="361" builtinId="8" hidden="1"/>
    <cellStyle name="Hyperlink" xfId="353" builtinId="8" hidden="1"/>
    <cellStyle name="Hyperlink" xfId="345" builtinId="8" hidden="1"/>
    <cellStyle name="Hyperlink" xfId="337" builtinId="8" hidden="1"/>
    <cellStyle name="Hyperlink" xfId="329" builtinId="8" hidden="1"/>
    <cellStyle name="Hyperlink" xfId="321" builtinId="8" hidden="1"/>
    <cellStyle name="Hyperlink" xfId="313" builtinId="8" hidden="1"/>
    <cellStyle name="Hyperlink" xfId="305" builtinId="8" hidden="1"/>
    <cellStyle name="Hyperlink" xfId="297" builtinId="8" hidden="1"/>
    <cellStyle name="Hyperlink" xfId="289" builtinId="8" hidden="1"/>
    <cellStyle name="Hyperlink" xfId="281" builtinId="8" hidden="1"/>
    <cellStyle name="Hyperlink" xfId="273" builtinId="8" hidden="1"/>
    <cellStyle name="Hyperlink" xfId="265" builtinId="8" hidden="1"/>
    <cellStyle name="Hyperlink" xfId="257" builtinId="8" hidden="1"/>
    <cellStyle name="Hyperlink" xfId="249" builtinId="8" hidden="1"/>
    <cellStyle name="Hyperlink" xfId="241" builtinId="8" hidden="1"/>
    <cellStyle name="Hyperlink" xfId="233" builtinId="8" hidden="1"/>
    <cellStyle name="Hyperlink" xfId="225" builtinId="8" hidden="1"/>
    <cellStyle name="Hyperlink" xfId="217" builtinId="8" hidden="1"/>
    <cellStyle name="Hyperlink" xfId="209" builtinId="8" hidden="1"/>
    <cellStyle name="Hyperlink" xfId="201" builtinId="8" hidden="1"/>
    <cellStyle name="Hyperlink" xfId="193" builtinId="8" hidden="1"/>
    <cellStyle name="Hyperlink" xfId="185" builtinId="8" hidden="1"/>
    <cellStyle name="Hyperlink" xfId="177" builtinId="8" hidden="1"/>
    <cellStyle name="Hyperlink" xfId="169" builtinId="8" hidden="1"/>
    <cellStyle name="Hyperlink" xfId="161" builtinId="8" hidden="1"/>
    <cellStyle name="Hyperlink" xfId="15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37" builtinId="8" hidden="1"/>
    <cellStyle name="Hyperlink" xfId="121" builtinId="8" hidden="1"/>
    <cellStyle name="Hyperlink" xfId="105" builtinId="8" hidden="1"/>
    <cellStyle name="Hyperlink" xfId="89" builtinId="8" hidden="1"/>
    <cellStyle name="Hyperlink" xfId="73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57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topLeftCell="A95" zoomScale="270" zoomScaleNormal="270" zoomScalePageLayoutView="125" workbookViewId="0">
      <selection activeCell="B143" sqref="B143:E143"/>
    </sheetView>
  </sheetViews>
  <sheetFormatPr baseColWidth="10" defaultColWidth="10.83203125" defaultRowHeight="16" x14ac:dyDescent="0.2"/>
  <sheetData>
    <row r="1" spans="1:8" x14ac:dyDescent="0.2">
      <c r="A1" t="s">
        <v>12</v>
      </c>
      <c r="B1" s="1"/>
      <c r="C1" s="1"/>
      <c r="D1" s="1"/>
      <c r="E1" s="1"/>
      <c r="F1" s="1"/>
      <c r="H1" s="1"/>
    </row>
    <row r="2" spans="1:8" x14ac:dyDescent="0.2">
      <c r="B2" s="1"/>
      <c r="C2" s="1"/>
      <c r="D2" s="1"/>
      <c r="E2" s="1"/>
      <c r="F2" s="1"/>
      <c r="H2" s="1"/>
    </row>
    <row r="3" spans="1:8" x14ac:dyDescent="0.2">
      <c r="B3" t="s">
        <v>10</v>
      </c>
      <c r="C3" t="s">
        <v>9</v>
      </c>
      <c r="E3" s="1"/>
      <c r="F3" s="1"/>
      <c r="H3" s="1"/>
    </row>
    <row r="4" spans="1:8" x14ac:dyDescent="0.2">
      <c r="B4" t="s">
        <v>0</v>
      </c>
      <c r="C4" s="7">
        <f>SUM(B13:B102)</f>
        <v>69541</v>
      </c>
      <c r="D4" s="1"/>
      <c r="E4" s="1"/>
      <c r="F4" s="1"/>
      <c r="H4" s="1"/>
    </row>
    <row r="5" spans="1:8" x14ac:dyDescent="0.2">
      <c r="B5" t="s">
        <v>1</v>
      </c>
      <c r="C5" s="7">
        <f>SUM(C13:C102)</f>
        <v>11786</v>
      </c>
      <c r="D5" s="1"/>
      <c r="E5" s="1"/>
      <c r="F5" s="1"/>
      <c r="H5" s="1"/>
    </row>
    <row r="6" spans="1:8" x14ac:dyDescent="0.2">
      <c r="B6" t="s">
        <v>2</v>
      </c>
      <c r="C6" s="7">
        <f>SUM(D13:D102)</f>
        <v>62920</v>
      </c>
      <c r="D6" s="1"/>
      <c r="E6" s="1"/>
      <c r="F6" s="1"/>
      <c r="H6" s="1"/>
    </row>
    <row r="7" spans="1:8" x14ac:dyDescent="0.2">
      <c r="B7" t="s">
        <v>3</v>
      </c>
      <c r="C7" s="7">
        <f>SUM(E13:E102)</f>
        <v>37483</v>
      </c>
      <c r="D7" s="1"/>
      <c r="E7" s="1"/>
      <c r="F7" s="1"/>
      <c r="H7" s="1"/>
    </row>
    <row r="8" spans="1:8" x14ac:dyDescent="0.2">
      <c r="B8" t="s">
        <v>4</v>
      </c>
      <c r="C8" s="7">
        <f>SUM(F13:F102)</f>
        <v>15266</v>
      </c>
      <c r="D8" s="1"/>
      <c r="E8" s="1"/>
      <c r="F8" s="1"/>
    </row>
    <row r="9" spans="1:8" x14ac:dyDescent="0.2">
      <c r="B9" s="1"/>
      <c r="C9" s="1"/>
      <c r="D9" s="1"/>
      <c r="E9" s="1"/>
      <c r="F9" s="1"/>
    </row>
    <row r="10" spans="1:8" x14ac:dyDescent="0.2">
      <c r="A10" t="s">
        <v>13</v>
      </c>
      <c r="B10" s="1"/>
      <c r="C10" s="1"/>
      <c r="D10" s="1"/>
      <c r="E10" s="1"/>
      <c r="F10" s="1"/>
    </row>
    <row r="11" spans="1:8" x14ac:dyDescent="0.2">
      <c r="B11" s="1"/>
      <c r="C11" s="1"/>
      <c r="D11" s="1"/>
      <c r="E11" s="1"/>
      <c r="F11" s="1"/>
    </row>
    <row r="12" spans="1:8" x14ac:dyDescent="0.2">
      <c r="A12" s="3" t="s">
        <v>11</v>
      </c>
      <c r="B12" s="3" t="s">
        <v>0</v>
      </c>
      <c r="C12" s="3" t="s">
        <v>1</v>
      </c>
      <c r="D12" s="3" t="s">
        <v>2</v>
      </c>
      <c r="E12" s="3" t="s">
        <v>3</v>
      </c>
      <c r="F12" s="3" t="s">
        <v>4</v>
      </c>
    </row>
    <row r="13" spans="1:8" x14ac:dyDescent="0.2">
      <c r="A13" s="3">
        <v>1</v>
      </c>
      <c r="B13" s="4">
        <v>653</v>
      </c>
      <c r="C13" s="4">
        <v>146</v>
      </c>
      <c r="D13" s="4">
        <v>687</v>
      </c>
      <c r="E13" s="4">
        <v>575</v>
      </c>
      <c r="F13" s="4">
        <v>343</v>
      </c>
      <c r="G13" s="2">
        <f>SUM(B13:F13)</f>
        <v>2404</v>
      </c>
      <c r="H13" s="2"/>
    </row>
    <row r="14" spans="1:8" x14ac:dyDescent="0.2">
      <c r="A14" s="3">
        <v>2</v>
      </c>
      <c r="B14" s="4">
        <v>989</v>
      </c>
      <c r="C14" s="4">
        <v>101</v>
      </c>
      <c r="D14" s="4">
        <v>257</v>
      </c>
      <c r="E14" s="4">
        <v>124</v>
      </c>
      <c r="F14" s="4">
        <v>84</v>
      </c>
      <c r="G14" s="2">
        <f t="shared" ref="G14:G77" si="0">SUM(B14:F14)</f>
        <v>1555</v>
      </c>
      <c r="H14" s="2"/>
    </row>
    <row r="15" spans="1:8" x14ac:dyDescent="0.2">
      <c r="A15" s="3">
        <v>3</v>
      </c>
      <c r="B15" s="4">
        <v>906</v>
      </c>
      <c r="C15" s="4">
        <v>192</v>
      </c>
      <c r="D15" s="4">
        <v>608</v>
      </c>
      <c r="E15" s="4">
        <v>305</v>
      </c>
      <c r="F15" s="4">
        <v>22</v>
      </c>
      <c r="G15" s="2">
        <f t="shared" si="0"/>
        <v>2033</v>
      </c>
      <c r="H15" s="2"/>
    </row>
    <row r="16" spans="1:8" x14ac:dyDescent="0.2">
      <c r="A16" s="3">
        <v>4</v>
      </c>
      <c r="B16" s="4">
        <v>534</v>
      </c>
      <c r="C16" s="4">
        <v>35</v>
      </c>
      <c r="D16" s="4">
        <v>876</v>
      </c>
      <c r="E16" s="4">
        <v>189</v>
      </c>
      <c r="F16" s="4">
        <v>69</v>
      </c>
      <c r="G16" s="2">
        <f t="shared" si="0"/>
        <v>1703</v>
      </c>
      <c r="H16" s="2"/>
    </row>
    <row r="17" spans="1:9" x14ac:dyDescent="0.2">
      <c r="A17" s="3">
        <v>5</v>
      </c>
      <c r="B17" s="4">
        <v>591</v>
      </c>
      <c r="C17" s="4">
        <v>53</v>
      </c>
      <c r="D17" s="4">
        <v>509</v>
      </c>
      <c r="E17" s="4">
        <v>253</v>
      </c>
      <c r="F17" s="4">
        <v>223</v>
      </c>
      <c r="G17" s="2">
        <f t="shared" si="0"/>
        <v>1629</v>
      </c>
      <c r="H17" s="2"/>
    </row>
    <row r="18" spans="1:9" x14ac:dyDescent="0.2">
      <c r="A18" s="3">
        <v>6</v>
      </c>
      <c r="B18" s="4">
        <v>654</v>
      </c>
      <c r="C18" s="4">
        <v>31</v>
      </c>
      <c r="D18" s="4">
        <v>905</v>
      </c>
      <c r="E18" s="4">
        <v>221</v>
      </c>
      <c r="F18" s="4">
        <v>64</v>
      </c>
      <c r="G18" s="2">
        <f t="shared" si="0"/>
        <v>1875</v>
      </c>
      <c r="H18" s="2"/>
    </row>
    <row r="19" spans="1:9" x14ac:dyDescent="0.2">
      <c r="A19" s="3">
        <v>7</v>
      </c>
      <c r="B19" s="4">
        <v>696</v>
      </c>
      <c r="C19" s="4">
        <v>134</v>
      </c>
      <c r="D19" s="4">
        <v>892</v>
      </c>
      <c r="E19" s="4">
        <v>458</v>
      </c>
      <c r="F19" s="4">
        <v>246</v>
      </c>
      <c r="G19" s="2">
        <f t="shared" si="0"/>
        <v>2426</v>
      </c>
      <c r="H19" s="2"/>
    </row>
    <row r="20" spans="1:9" x14ac:dyDescent="0.2">
      <c r="A20" s="3">
        <v>8</v>
      </c>
      <c r="B20" s="4">
        <v>544</v>
      </c>
      <c r="C20" s="4">
        <v>224</v>
      </c>
      <c r="D20" s="4">
        <v>496</v>
      </c>
      <c r="E20" s="4">
        <v>272</v>
      </c>
      <c r="F20" s="4">
        <v>230</v>
      </c>
      <c r="G20" s="2">
        <f t="shared" si="0"/>
        <v>1766</v>
      </c>
      <c r="I20" s="1"/>
    </row>
    <row r="21" spans="1:9" x14ac:dyDescent="0.2">
      <c r="A21" s="3">
        <v>9</v>
      </c>
      <c r="B21" s="4">
        <v>689</v>
      </c>
      <c r="C21" s="4">
        <v>126</v>
      </c>
      <c r="D21" s="4">
        <v>634</v>
      </c>
      <c r="E21" s="4">
        <v>769</v>
      </c>
      <c r="F21" s="4">
        <v>179</v>
      </c>
      <c r="G21" s="2">
        <f t="shared" si="0"/>
        <v>2397</v>
      </c>
    </row>
    <row r="22" spans="1:9" x14ac:dyDescent="0.2">
      <c r="A22" s="3">
        <v>10</v>
      </c>
      <c r="B22" s="4">
        <v>610</v>
      </c>
      <c r="C22" s="4">
        <v>83</v>
      </c>
      <c r="D22" s="4">
        <v>526</v>
      </c>
      <c r="E22" s="4">
        <v>522</v>
      </c>
      <c r="F22" s="4">
        <v>62</v>
      </c>
      <c r="G22" s="2">
        <f t="shared" si="0"/>
        <v>1803</v>
      </c>
    </row>
    <row r="23" spans="1:9" x14ac:dyDescent="0.2">
      <c r="A23" s="3">
        <v>11</v>
      </c>
      <c r="B23" s="4">
        <v>511</v>
      </c>
      <c r="C23" s="4">
        <v>85</v>
      </c>
      <c r="D23" s="4">
        <v>756</v>
      </c>
      <c r="E23" s="4">
        <v>592</v>
      </c>
      <c r="F23" s="4">
        <v>158</v>
      </c>
      <c r="G23" s="2">
        <f t="shared" si="0"/>
        <v>2102</v>
      </c>
    </row>
    <row r="24" spans="1:9" x14ac:dyDescent="0.2">
      <c r="A24" s="3">
        <v>12</v>
      </c>
      <c r="B24" s="4">
        <v>983</v>
      </c>
      <c r="C24" s="4">
        <v>165</v>
      </c>
      <c r="D24" s="4">
        <v>511</v>
      </c>
      <c r="E24" s="4">
        <v>425</v>
      </c>
      <c r="F24" s="4">
        <v>180</v>
      </c>
      <c r="G24" s="2">
        <f t="shared" si="0"/>
        <v>2264</v>
      </c>
      <c r="H24" s="2"/>
    </row>
    <row r="25" spans="1:9" x14ac:dyDescent="0.2">
      <c r="A25" s="3">
        <v>13</v>
      </c>
      <c r="B25" s="4">
        <v>666</v>
      </c>
      <c r="C25" s="4">
        <v>47</v>
      </c>
      <c r="D25" s="4">
        <v>686</v>
      </c>
      <c r="E25" s="4">
        <v>438</v>
      </c>
      <c r="F25" s="4">
        <v>305</v>
      </c>
      <c r="G25" s="2">
        <f t="shared" si="0"/>
        <v>2142</v>
      </c>
      <c r="H25" s="2"/>
    </row>
    <row r="26" spans="1:9" x14ac:dyDescent="0.2">
      <c r="A26" s="3">
        <v>14</v>
      </c>
      <c r="B26" s="4">
        <v>372</v>
      </c>
      <c r="C26" s="4">
        <v>185</v>
      </c>
      <c r="D26" s="4">
        <v>935</v>
      </c>
      <c r="E26" s="4">
        <v>341</v>
      </c>
      <c r="F26" s="4">
        <v>134</v>
      </c>
      <c r="G26" s="2">
        <f t="shared" si="0"/>
        <v>1967</v>
      </c>
    </row>
    <row r="27" spans="1:9" x14ac:dyDescent="0.2">
      <c r="A27" s="3">
        <v>15</v>
      </c>
      <c r="B27" s="4">
        <v>844</v>
      </c>
      <c r="C27" s="4">
        <v>107</v>
      </c>
      <c r="D27" s="4">
        <v>660</v>
      </c>
      <c r="E27" s="4">
        <v>596</v>
      </c>
      <c r="F27" s="4">
        <v>410</v>
      </c>
      <c r="G27" s="2">
        <f t="shared" si="0"/>
        <v>2617</v>
      </c>
    </row>
    <row r="28" spans="1:9" x14ac:dyDescent="0.2">
      <c r="A28" s="3">
        <v>16</v>
      </c>
      <c r="B28" s="4">
        <v>908</v>
      </c>
      <c r="C28" s="4">
        <v>137</v>
      </c>
      <c r="D28" s="4">
        <v>923</v>
      </c>
      <c r="E28" s="4">
        <v>587</v>
      </c>
      <c r="F28" s="4">
        <v>225</v>
      </c>
      <c r="G28" s="2">
        <f t="shared" si="0"/>
        <v>2780</v>
      </c>
    </row>
    <row r="29" spans="1:9" x14ac:dyDescent="0.2">
      <c r="A29" s="3">
        <v>17</v>
      </c>
      <c r="B29" s="4">
        <v>711</v>
      </c>
      <c r="C29" s="4">
        <v>148</v>
      </c>
      <c r="D29" s="4">
        <v>572</v>
      </c>
      <c r="E29" s="4">
        <v>261</v>
      </c>
      <c r="F29" s="4">
        <v>214</v>
      </c>
      <c r="G29" s="2">
        <f t="shared" si="0"/>
        <v>1906</v>
      </c>
    </row>
    <row r="30" spans="1:9" x14ac:dyDescent="0.2">
      <c r="A30" s="3">
        <v>18</v>
      </c>
      <c r="B30" s="4">
        <v>951</v>
      </c>
      <c r="C30" s="13">
        <v>-30</v>
      </c>
      <c r="D30" s="4">
        <v>652</v>
      </c>
      <c r="E30" s="4">
        <v>409</v>
      </c>
      <c r="F30" s="4">
        <v>136</v>
      </c>
      <c r="G30" s="2">
        <f t="shared" si="0"/>
        <v>2118</v>
      </c>
    </row>
    <row r="31" spans="1:9" x14ac:dyDescent="0.2">
      <c r="A31" s="3">
        <v>19</v>
      </c>
      <c r="B31" s="4">
        <v>1152</v>
      </c>
      <c r="C31" s="4">
        <v>97</v>
      </c>
      <c r="D31" s="4">
        <v>841</v>
      </c>
      <c r="E31" s="4">
        <v>475</v>
      </c>
      <c r="F31" s="4">
        <v>254</v>
      </c>
      <c r="G31" s="2">
        <f t="shared" si="0"/>
        <v>2819</v>
      </c>
    </row>
    <row r="32" spans="1:9" x14ac:dyDescent="0.2">
      <c r="A32" s="3">
        <v>20</v>
      </c>
      <c r="B32" s="4">
        <v>1120</v>
      </c>
      <c r="C32" s="4">
        <v>100</v>
      </c>
      <c r="D32" s="4">
        <v>547</v>
      </c>
      <c r="E32" s="4">
        <v>215</v>
      </c>
      <c r="F32" s="4">
        <v>62</v>
      </c>
      <c r="G32" s="2">
        <f t="shared" si="0"/>
        <v>2044</v>
      </c>
    </row>
    <row r="33" spans="1:8" x14ac:dyDescent="0.2">
      <c r="A33" s="3">
        <v>21</v>
      </c>
      <c r="B33" s="4">
        <v>436</v>
      </c>
      <c r="C33" s="4">
        <v>98</v>
      </c>
      <c r="D33" s="4">
        <v>505</v>
      </c>
      <c r="E33" s="4">
        <v>284</v>
      </c>
      <c r="F33" s="4">
        <v>108</v>
      </c>
      <c r="G33" s="2">
        <f t="shared" si="0"/>
        <v>1431</v>
      </c>
    </row>
    <row r="34" spans="1:8" x14ac:dyDescent="0.2">
      <c r="A34" s="3">
        <v>22</v>
      </c>
      <c r="B34" s="4">
        <v>729</v>
      </c>
      <c r="C34" s="4">
        <v>81</v>
      </c>
      <c r="D34" s="4">
        <v>783</v>
      </c>
      <c r="E34" s="4">
        <v>617</v>
      </c>
      <c r="F34" s="4">
        <v>117</v>
      </c>
      <c r="G34" s="2">
        <f t="shared" si="0"/>
        <v>2327</v>
      </c>
    </row>
    <row r="35" spans="1:8" x14ac:dyDescent="0.2">
      <c r="A35" s="3">
        <v>23</v>
      </c>
      <c r="B35" s="4">
        <v>620</v>
      </c>
      <c r="C35" s="4">
        <v>183</v>
      </c>
      <c r="D35" s="4">
        <v>553</v>
      </c>
      <c r="E35" s="4">
        <v>223</v>
      </c>
      <c r="F35" s="4">
        <v>128</v>
      </c>
      <c r="G35" s="2">
        <f t="shared" si="0"/>
        <v>1707</v>
      </c>
    </row>
    <row r="36" spans="1:8" x14ac:dyDescent="0.2">
      <c r="A36" s="3">
        <v>24</v>
      </c>
      <c r="B36" s="4">
        <v>848</v>
      </c>
      <c r="C36" s="4">
        <v>68</v>
      </c>
      <c r="D36" s="4">
        <v>789</v>
      </c>
      <c r="E36" s="4">
        <v>347</v>
      </c>
      <c r="F36" s="4">
        <v>238</v>
      </c>
      <c r="G36" s="2">
        <f t="shared" si="0"/>
        <v>2290</v>
      </c>
    </row>
    <row r="37" spans="1:8" x14ac:dyDescent="0.2">
      <c r="A37" s="3">
        <v>25</v>
      </c>
      <c r="B37" s="4">
        <v>537</v>
      </c>
      <c r="C37" s="4">
        <v>49</v>
      </c>
      <c r="D37" s="4">
        <v>794</v>
      </c>
      <c r="E37" s="4">
        <v>433</v>
      </c>
      <c r="F37" s="4">
        <v>235</v>
      </c>
      <c r="G37" s="2">
        <f t="shared" si="0"/>
        <v>2048</v>
      </c>
    </row>
    <row r="38" spans="1:8" x14ac:dyDescent="0.2">
      <c r="A38" s="3">
        <v>26</v>
      </c>
      <c r="B38" s="4">
        <v>564</v>
      </c>
      <c r="C38" s="4">
        <v>250</v>
      </c>
      <c r="D38" s="4">
        <v>706</v>
      </c>
      <c r="E38" s="4">
        <v>45</v>
      </c>
      <c r="F38" s="4">
        <v>113</v>
      </c>
      <c r="G38" s="2">
        <f t="shared" si="0"/>
        <v>1678</v>
      </c>
      <c r="H38" s="2"/>
    </row>
    <row r="39" spans="1:8" x14ac:dyDescent="0.2">
      <c r="A39" s="3">
        <v>27</v>
      </c>
      <c r="B39" s="4">
        <v>720</v>
      </c>
      <c r="C39" s="4">
        <v>168</v>
      </c>
      <c r="D39" s="4">
        <v>1016</v>
      </c>
      <c r="E39" s="4">
        <v>628</v>
      </c>
      <c r="F39" s="4">
        <v>111</v>
      </c>
      <c r="G39" s="2">
        <f t="shared" si="0"/>
        <v>2643</v>
      </c>
      <c r="H39" s="2"/>
    </row>
    <row r="40" spans="1:8" x14ac:dyDescent="0.2">
      <c r="A40" s="3">
        <v>28</v>
      </c>
      <c r="B40" s="4">
        <v>920</v>
      </c>
      <c r="C40" s="4">
        <v>255</v>
      </c>
      <c r="D40" s="4">
        <v>618</v>
      </c>
      <c r="E40" s="4">
        <v>321</v>
      </c>
      <c r="F40" s="4">
        <v>37</v>
      </c>
      <c r="G40" s="2">
        <f t="shared" si="0"/>
        <v>2151</v>
      </c>
      <c r="H40" s="2"/>
    </row>
    <row r="41" spans="1:8" x14ac:dyDescent="0.2">
      <c r="A41" s="3">
        <v>29</v>
      </c>
      <c r="B41" s="4">
        <v>776</v>
      </c>
      <c r="C41" s="4">
        <v>107</v>
      </c>
      <c r="D41" s="4">
        <v>952</v>
      </c>
      <c r="E41" s="4">
        <v>620</v>
      </c>
      <c r="F41" s="4">
        <v>356</v>
      </c>
      <c r="G41" s="2">
        <f t="shared" si="0"/>
        <v>2811</v>
      </c>
      <c r="H41" s="2"/>
    </row>
    <row r="42" spans="1:8" x14ac:dyDescent="0.2">
      <c r="A42" s="3">
        <v>30</v>
      </c>
      <c r="B42" s="4">
        <v>811</v>
      </c>
      <c r="C42" s="4">
        <v>143</v>
      </c>
      <c r="D42" s="4">
        <v>589</v>
      </c>
      <c r="E42" s="4">
        <v>334</v>
      </c>
      <c r="F42" s="4">
        <v>23</v>
      </c>
      <c r="G42" s="2">
        <f t="shared" si="0"/>
        <v>1900</v>
      </c>
      <c r="H42" s="2"/>
    </row>
    <row r="43" spans="1:8" x14ac:dyDescent="0.2">
      <c r="A43" s="3">
        <v>31</v>
      </c>
      <c r="B43" s="4">
        <v>605</v>
      </c>
      <c r="C43" s="4">
        <v>163</v>
      </c>
      <c r="D43" s="4">
        <v>754</v>
      </c>
      <c r="E43" s="4">
        <v>626</v>
      </c>
      <c r="F43" s="4">
        <v>178</v>
      </c>
      <c r="G43" s="2">
        <f t="shared" si="0"/>
        <v>2326</v>
      </c>
      <c r="H43" s="2"/>
    </row>
    <row r="44" spans="1:8" x14ac:dyDescent="0.2">
      <c r="A44" s="3">
        <v>32</v>
      </c>
      <c r="B44" s="4">
        <v>1003</v>
      </c>
      <c r="C44" s="4">
        <v>146</v>
      </c>
      <c r="D44" s="4">
        <v>642</v>
      </c>
      <c r="E44" s="4">
        <v>281</v>
      </c>
      <c r="F44" s="4">
        <v>134</v>
      </c>
      <c r="G44" s="2">
        <f t="shared" si="0"/>
        <v>2206</v>
      </c>
      <c r="H44" s="2"/>
    </row>
    <row r="45" spans="1:8" x14ac:dyDescent="0.2">
      <c r="A45" s="3">
        <v>33</v>
      </c>
      <c r="B45" s="4">
        <v>341</v>
      </c>
      <c r="C45" s="4">
        <v>107</v>
      </c>
      <c r="D45" s="4">
        <v>906</v>
      </c>
      <c r="E45" s="4">
        <v>512</v>
      </c>
      <c r="F45" s="4">
        <v>213</v>
      </c>
      <c r="G45" s="2">
        <f t="shared" si="0"/>
        <v>2079</v>
      </c>
      <c r="H45" s="2"/>
    </row>
    <row r="46" spans="1:8" x14ac:dyDescent="0.2">
      <c r="A46" s="3">
        <v>34</v>
      </c>
      <c r="B46" s="4">
        <v>544</v>
      </c>
      <c r="C46" s="4">
        <v>164</v>
      </c>
      <c r="D46" s="4">
        <v>731</v>
      </c>
      <c r="E46" s="4">
        <v>491</v>
      </c>
      <c r="F46" s="4">
        <v>93</v>
      </c>
      <c r="G46" s="2">
        <f t="shared" si="0"/>
        <v>2023</v>
      </c>
      <c r="H46" s="2"/>
    </row>
    <row r="47" spans="1:8" x14ac:dyDescent="0.2">
      <c r="A47" s="3">
        <v>35</v>
      </c>
      <c r="B47" s="4">
        <v>819</v>
      </c>
      <c r="C47" s="4">
        <v>142</v>
      </c>
      <c r="D47" s="4">
        <v>682</v>
      </c>
      <c r="E47" s="4">
        <v>414</v>
      </c>
      <c r="F47" s="4">
        <v>191</v>
      </c>
      <c r="G47" s="2">
        <f t="shared" si="0"/>
        <v>2248</v>
      </c>
      <c r="H47" s="2"/>
    </row>
    <row r="48" spans="1:8" x14ac:dyDescent="0.2">
      <c r="A48" s="3">
        <v>36</v>
      </c>
      <c r="B48" s="4">
        <v>447</v>
      </c>
      <c r="C48" s="4">
        <v>199</v>
      </c>
      <c r="D48" s="4">
        <v>451</v>
      </c>
      <c r="E48" s="4">
        <v>472</v>
      </c>
      <c r="F48" s="4">
        <v>304</v>
      </c>
      <c r="G48" s="2">
        <f t="shared" si="0"/>
        <v>1873</v>
      </c>
      <c r="H48" s="2"/>
    </row>
    <row r="49" spans="1:8" x14ac:dyDescent="0.2">
      <c r="A49" s="3">
        <v>37</v>
      </c>
      <c r="B49" s="4">
        <v>523</v>
      </c>
      <c r="C49" s="4">
        <v>134</v>
      </c>
      <c r="D49" s="4">
        <v>743</v>
      </c>
      <c r="E49" s="4">
        <v>606</v>
      </c>
      <c r="F49" s="4">
        <v>107</v>
      </c>
      <c r="G49" s="2">
        <f t="shared" si="0"/>
        <v>2113</v>
      </c>
      <c r="H49" s="2"/>
    </row>
    <row r="50" spans="1:8" x14ac:dyDescent="0.2">
      <c r="A50" s="3">
        <v>38</v>
      </c>
      <c r="B50" s="4">
        <v>1014</v>
      </c>
      <c r="C50" s="4">
        <v>105</v>
      </c>
      <c r="D50" s="4">
        <v>591</v>
      </c>
      <c r="E50" s="4">
        <v>521</v>
      </c>
      <c r="F50" s="4">
        <v>115</v>
      </c>
      <c r="G50" s="2">
        <f t="shared" si="0"/>
        <v>2346</v>
      </c>
      <c r="H50" s="2"/>
    </row>
    <row r="51" spans="1:8" x14ac:dyDescent="0.2">
      <c r="A51" s="3">
        <v>39</v>
      </c>
      <c r="B51" s="4">
        <v>541</v>
      </c>
      <c r="C51" s="4">
        <v>99</v>
      </c>
      <c r="D51" s="4">
        <v>510</v>
      </c>
      <c r="E51" s="4">
        <v>406</v>
      </c>
      <c r="F51" s="4">
        <v>59</v>
      </c>
      <c r="G51" s="2">
        <f t="shared" si="0"/>
        <v>1615</v>
      </c>
      <c r="H51" s="2"/>
    </row>
    <row r="52" spans="1:8" x14ac:dyDescent="0.2">
      <c r="A52" s="3">
        <v>40</v>
      </c>
      <c r="B52" s="4">
        <v>891</v>
      </c>
      <c r="C52" s="4">
        <v>104</v>
      </c>
      <c r="D52" s="4">
        <v>1005</v>
      </c>
      <c r="E52" s="4">
        <v>447</v>
      </c>
      <c r="F52" s="4">
        <v>86</v>
      </c>
      <c r="G52" s="2">
        <f t="shared" si="0"/>
        <v>2533</v>
      </c>
      <c r="H52" s="2"/>
    </row>
    <row r="53" spans="1:8" x14ac:dyDescent="0.2">
      <c r="A53" s="3">
        <v>41</v>
      </c>
      <c r="B53" s="4">
        <v>694</v>
      </c>
      <c r="C53" s="4">
        <v>196</v>
      </c>
      <c r="D53" s="4">
        <v>629</v>
      </c>
      <c r="E53" s="4">
        <v>455</v>
      </c>
      <c r="F53" s="4">
        <v>127</v>
      </c>
      <c r="G53" s="2">
        <f t="shared" si="0"/>
        <v>2101</v>
      </c>
      <c r="H53" s="2"/>
    </row>
    <row r="54" spans="1:8" x14ac:dyDescent="0.2">
      <c r="A54" s="3">
        <v>42</v>
      </c>
      <c r="B54" s="4">
        <v>1018</v>
      </c>
      <c r="C54" s="4">
        <v>55</v>
      </c>
      <c r="D54" s="4">
        <v>805</v>
      </c>
      <c r="E54" s="4">
        <v>470</v>
      </c>
      <c r="F54" s="4">
        <v>44</v>
      </c>
      <c r="G54" s="2">
        <f t="shared" si="0"/>
        <v>2392</v>
      </c>
      <c r="H54" s="2"/>
    </row>
    <row r="55" spans="1:8" x14ac:dyDescent="0.2">
      <c r="A55" s="3">
        <v>43</v>
      </c>
      <c r="B55" s="4">
        <v>842</v>
      </c>
      <c r="C55" s="4">
        <v>101</v>
      </c>
      <c r="D55" s="4">
        <v>547</v>
      </c>
      <c r="E55" s="4">
        <v>541</v>
      </c>
      <c r="F55" s="4">
        <v>164</v>
      </c>
      <c r="G55" s="2">
        <f t="shared" si="0"/>
        <v>2195</v>
      </c>
      <c r="H55" s="2"/>
    </row>
    <row r="56" spans="1:8" x14ac:dyDescent="0.2">
      <c r="A56" s="3">
        <v>44</v>
      </c>
      <c r="B56" s="4">
        <v>1004</v>
      </c>
      <c r="C56" s="4">
        <v>130</v>
      </c>
      <c r="D56" s="4">
        <v>504</v>
      </c>
      <c r="E56" s="4">
        <v>190</v>
      </c>
      <c r="F56" s="4">
        <v>219</v>
      </c>
      <c r="G56" s="2">
        <f t="shared" si="0"/>
        <v>2047</v>
      </c>
      <c r="H56" s="2"/>
    </row>
    <row r="57" spans="1:8" x14ac:dyDescent="0.2">
      <c r="A57" s="3">
        <v>45</v>
      </c>
      <c r="B57" s="4">
        <v>1415</v>
      </c>
      <c r="C57" s="4">
        <v>145</v>
      </c>
      <c r="D57" s="4">
        <v>439</v>
      </c>
      <c r="E57" s="4">
        <v>250</v>
      </c>
      <c r="F57" s="4">
        <v>63</v>
      </c>
      <c r="G57" s="2">
        <f t="shared" si="0"/>
        <v>2312</v>
      </c>
      <c r="H57" s="2"/>
    </row>
    <row r="58" spans="1:8" x14ac:dyDescent="0.2">
      <c r="A58" s="3">
        <v>46</v>
      </c>
      <c r="B58" s="4">
        <v>770</v>
      </c>
      <c r="C58" s="4">
        <v>110</v>
      </c>
      <c r="D58" s="4">
        <v>652</v>
      </c>
      <c r="E58" s="4">
        <v>407</v>
      </c>
      <c r="F58" s="4">
        <v>289</v>
      </c>
      <c r="G58" s="2">
        <f t="shared" si="0"/>
        <v>2228</v>
      </c>
      <c r="H58" s="2"/>
    </row>
    <row r="59" spans="1:8" x14ac:dyDescent="0.2">
      <c r="A59" s="3">
        <v>47</v>
      </c>
      <c r="B59" s="4">
        <v>999</v>
      </c>
      <c r="C59" s="4">
        <v>129</v>
      </c>
      <c r="D59" s="4">
        <v>710</v>
      </c>
      <c r="E59" s="4">
        <v>223</v>
      </c>
      <c r="F59" s="4">
        <v>219</v>
      </c>
      <c r="G59" s="2">
        <f t="shared" si="0"/>
        <v>2280</v>
      </c>
      <c r="H59" s="2"/>
    </row>
    <row r="60" spans="1:8" x14ac:dyDescent="0.2">
      <c r="A60" s="3">
        <v>48</v>
      </c>
      <c r="B60" s="4">
        <v>933</v>
      </c>
      <c r="C60" s="4">
        <v>36</v>
      </c>
      <c r="D60" s="4">
        <v>505</v>
      </c>
      <c r="E60" s="4">
        <v>738</v>
      </c>
      <c r="F60" s="4">
        <v>229</v>
      </c>
      <c r="G60" s="2">
        <f t="shared" si="0"/>
        <v>2441</v>
      </c>
      <c r="H60" s="2"/>
    </row>
    <row r="61" spans="1:8" x14ac:dyDescent="0.2">
      <c r="A61" s="3">
        <v>49</v>
      </c>
      <c r="B61" s="4">
        <v>304</v>
      </c>
      <c r="C61" s="4">
        <v>129</v>
      </c>
      <c r="D61" s="4">
        <v>660</v>
      </c>
      <c r="E61" s="4">
        <v>333</v>
      </c>
      <c r="F61" s="4">
        <v>63</v>
      </c>
      <c r="G61" s="2">
        <f t="shared" si="0"/>
        <v>1489</v>
      </c>
      <c r="H61" s="2"/>
    </row>
    <row r="62" spans="1:8" x14ac:dyDescent="0.2">
      <c r="A62" s="3">
        <v>50</v>
      </c>
      <c r="B62" s="4">
        <v>762</v>
      </c>
      <c r="C62" s="4">
        <v>189</v>
      </c>
      <c r="D62" s="4">
        <v>833</v>
      </c>
      <c r="E62" s="4">
        <v>374</v>
      </c>
      <c r="F62" s="4">
        <v>140</v>
      </c>
      <c r="G62" s="2">
        <f t="shared" si="0"/>
        <v>2298</v>
      </c>
      <c r="H62" s="2"/>
    </row>
    <row r="63" spans="1:8" x14ac:dyDescent="0.2">
      <c r="A63" s="3">
        <v>51</v>
      </c>
      <c r="B63" s="4">
        <v>789</v>
      </c>
      <c r="C63" s="4">
        <v>49</v>
      </c>
      <c r="D63" s="4">
        <v>843</v>
      </c>
      <c r="E63" s="4">
        <v>635</v>
      </c>
      <c r="F63" s="4">
        <v>28</v>
      </c>
      <c r="G63" s="2">
        <f t="shared" si="0"/>
        <v>2344</v>
      </c>
      <c r="H63" s="2"/>
    </row>
    <row r="64" spans="1:8" x14ac:dyDescent="0.2">
      <c r="A64" s="3">
        <v>52</v>
      </c>
      <c r="B64" s="4">
        <v>1114</v>
      </c>
      <c r="C64" s="4">
        <v>167</v>
      </c>
      <c r="D64" s="4">
        <v>484</v>
      </c>
      <c r="E64" s="4">
        <v>176</v>
      </c>
      <c r="F64" s="4">
        <v>234</v>
      </c>
      <c r="G64" s="2">
        <f t="shared" si="0"/>
        <v>2175</v>
      </c>
      <c r="H64" s="2"/>
    </row>
    <row r="65" spans="1:8" x14ac:dyDescent="0.2">
      <c r="A65" s="3">
        <v>53</v>
      </c>
      <c r="B65" s="4">
        <v>631</v>
      </c>
      <c r="C65" s="4">
        <v>179</v>
      </c>
      <c r="D65" s="4">
        <v>691</v>
      </c>
      <c r="E65" s="4">
        <v>244</v>
      </c>
      <c r="F65" s="4">
        <v>190</v>
      </c>
      <c r="G65" s="2">
        <f t="shared" si="0"/>
        <v>1935</v>
      </c>
      <c r="H65" s="2"/>
    </row>
    <row r="66" spans="1:8" x14ac:dyDescent="0.2">
      <c r="A66" s="3">
        <v>54</v>
      </c>
      <c r="B66" s="4">
        <v>651</v>
      </c>
      <c r="C66" s="4">
        <v>218</v>
      </c>
      <c r="D66" s="4">
        <v>773</v>
      </c>
      <c r="E66" s="4">
        <v>494</v>
      </c>
      <c r="F66" s="4">
        <v>369</v>
      </c>
      <c r="G66" s="2">
        <f t="shared" si="0"/>
        <v>2505</v>
      </c>
      <c r="H66" s="2"/>
    </row>
    <row r="67" spans="1:8" x14ac:dyDescent="0.2">
      <c r="A67" s="3">
        <v>55</v>
      </c>
      <c r="B67" s="4">
        <v>785</v>
      </c>
      <c r="C67" s="4">
        <v>141</v>
      </c>
      <c r="D67" s="4">
        <v>576</v>
      </c>
      <c r="E67" s="4">
        <v>37</v>
      </c>
      <c r="F67" s="4">
        <v>167</v>
      </c>
      <c r="G67" s="2">
        <f t="shared" si="0"/>
        <v>1706</v>
      </c>
      <c r="H67" s="2"/>
    </row>
    <row r="68" spans="1:8" x14ac:dyDescent="0.2">
      <c r="A68" s="3">
        <v>56</v>
      </c>
      <c r="B68" s="4">
        <v>1059</v>
      </c>
      <c r="C68" s="4">
        <v>178</v>
      </c>
      <c r="D68" s="4">
        <v>584</v>
      </c>
      <c r="E68" s="4">
        <v>659</v>
      </c>
      <c r="F68" s="4">
        <v>266</v>
      </c>
      <c r="G68" s="2">
        <f t="shared" si="0"/>
        <v>2746</v>
      </c>
      <c r="H68" s="2"/>
    </row>
    <row r="69" spans="1:8" x14ac:dyDescent="0.2">
      <c r="A69" s="3">
        <v>57</v>
      </c>
      <c r="B69" s="4">
        <v>745</v>
      </c>
      <c r="C69" s="4">
        <v>13</v>
      </c>
      <c r="D69" s="4">
        <v>798</v>
      </c>
      <c r="E69" s="4">
        <v>212</v>
      </c>
      <c r="F69" s="4">
        <v>219</v>
      </c>
      <c r="G69" s="2">
        <f t="shared" si="0"/>
        <v>1987</v>
      </c>
      <c r="H69" s="2"/>
    </row>
    <row r="70" spans="1:8" x14ac:dyDescent="0.2">
      <c r="A70" s="3">
        <v>58</v>
      </c>
      <c r="B70" s="4">
        <v>750</v>
      </c>
      <c r="C70" s="4">
        <v>133</v>
      </c>
      <c r="D70" s="4">
        <v>767</v>
      </c>
      <c r="E70" s="4">
        <v>141</v>
      </c>
      <c r="F70" s="4">
        <v>212</v>
      </c>
      <c r="G70" s="2">
        <f t="shared" si="0"/>
        <v>2003</v>
      </c>
      <c r="H70" s="2"/>
    </row>
    <row r="71" spans="1:8" x14ac:dyDescent="0.2">
      <c r="A71" s="3">
        <v>59</v>
      </c>
      <c r="B71" s="4">
        <v>590</v>
      </c>
      <c r="C71" s="4">
        <v>103</v>
      </c>
      <c r="D71" s="4">
        <v>559</v>
      </c>
      <c r="E71" s="4">
        <v>272</v>
      </c>
      <c r="F71" s="4">
        <v>152</v>
      </c>
      <c r="G71" s="2">
        <f t="shared" si="0"/>
        <v>1676</v>
      </c>
      <c r="H71" s="2"/>
    </row>
    <row r="72" spans="1:8" x14ac:dyDescent="0.2">
      <c r="A72" s="3">
        <v>60</v>
      </c>
      <c r="B72" s="4">
        <v>844</v>
      </c>
      <c r="C72" s="4">
        <v>114</v>
      </c>
      <c r="D72" s="4">
        <v>1042</v>
      </c>
      <c r="E72" s="4">
        <v>686</v>
      </c>
      <c r="F72" s="4">
        <v>206</v>
      </c>
      <c r="G72" s="2">
        <f t="shared" si="0"/>
        <v>2892</v>
      </c>
      <c r="H72" s="2"/>
    </row>
    <row r="73" spans="1:8" x14ac:dyDescent="0.2">
      <c r="A73" s="3">
        <v>61</v>
      </c>
      <c r="B73" s="4">
        <v>926</v>
      </c>
      <c r="C73" s="4">
        <v>116</v>
      </c>
      <c r="D73" s="4">
        <v>628</v>
      </c>
      <c r="E73" s="4">
        <v>377</v>
      </c>
      <c r="F73" s="4">
        <v>346</v>
      </c>
      <c r="G73" s="2">
        <f t="shared" si="0"/>
        <v>2393</v>
      </c>
      <c r="H73" s="2"/>
    </row>
    <row r="74" spans="1:8" x14ac:dyDescent="0.2">
      <c r="A74" s="3">
        <v>62</v>
      </c>
      <c r="B74" s="4">
        <v>898</v>
      </c>
      <c r="C74" s="4">
        <v>118</v>
      </c>
      <c r="D74" s="4">
        <v>858</v>
      </c>
      <c r="E74" s="4">
        <v>213</v>
      </c>
      <c r="F74" s="4">
        <v>115</v>
      </c>
      <c r="G74" s="2">
        <f t="shared" si="0"/>
        <v>2202</v>
      </c>
      <c r="H74" s="2"/>
    </row>
    <row r="75" spans="1:8" x14ac:dyDescent="0.2">
      <c r="A75" s="3">
        <v>63</v>
      </c>
      <c r="B75" s="4">
        <v>686</v>
      </c>
      <c r="C75" s="4">
        <v>211</v>
      </c>
      <c r="D75" s="4">
        <v>1081</v>
      </c>
      <c r="E75" s="4">
        <v>527</v>
      </c>
      <c r="F75" s="4">
        <v>161</v>
      </c>
      <c r="G75" s="2">
        <f t="shared" si="0"/>
        <v>2666</v>
      </c>
      <c r="H75" s="2"/>
    </row>
    <row r="76" spans="1:8" x14ac:dyDescent="0.2">
      <c r="A76" s="3">
        <v>64</v>
      </c>
      <c r="B76" s="4">
        <v>577</v>
      </c>
      <c r="C76" s="4">
        <v>110</v>
      </c>
      <c r="D76" s="4">
        <v>551</v>
      </c>
      <c r="E76" s="4">
        <v>616</v>
      </c>
      <c r="F76" s="4">
        <v>254</v>
      </c>
      <c r="G76" s="2">
        <f t="shared" si="0"/>
        <v>2108</v>
      </c>
      <c r="H76" s="2"/>
    </row>
    <row r="77" spans="1:8" x14ac:dyDescent="0.2">
      <c r="A77" s="3">
        <v>65</v>
      </c>
      <c r="B77" s="4">
        <v>469</v>
      </c>
      <c r="C77" s="4">
        <v>209</v>
      </c>
      <c r="D77" s="4">
        <v>567</v>
      </c>
      <c r="E77" s="4">
        <v>560</v>
      </c>
      <c r="F77" s="4">
        <v>116</v>
      </c>
      <c r="G77" s="2">
        <f t="shared" si="0"/>
        <v>1921</v>
      </c>
      <c r="H77" s="2"/>
    </row>
    <row r="78" spans="1:8" x14ac:dyDescent="0.2">
      <c r="A78" s="3">
        <v>66</v>
      </c>
      <c r="B78" s="4">
        <v>622</v>
      </c>
      <c r="C78" s="4">
        <v>32</v>
      </c>
      <c r="D78" s="4">
        <v>648</v>
      </c>
      <c r="E78" s="4">
        <v>751</v>
      </c>
      <c r="F78" s="4">
        <v>88</v>
      </c>
      <c r="G78" s="2">
        <f t="shared" ref="G78:G101" si="1">SUM(B78:F78)</f>
        <v>2141</v>
      </c>
      <c r="H78" s="2"/>
    </row>
    <row r="79" spans="1:8" x14ac:dyDescent="0.2">
      <c r="A79" s="3">
        <v>67</v>
      </c>
      <c r="B79" s="4">
        <v>1119</v>
      </c>
      <c r="C79" s="4">
        <v>103</v>
      </c>
      <c r="D79" s="4">
        <v>602</v>
      </c>
      <c r="E79" s="4">
        <v>330</v>
      </c>
      <c r="F79" s="4">
        <v>252</v>
      </c>
      <c r="G79" s="2">
        <f t="shared" si="1"/>
        <v>2406</v>
      </c>
      <c r="H79" s="2"/>
    </row>
    <row r="80" spans="1:8" x14ac:dyDescent="0.2">
      <c r="A80" s="3">
        <v>68</v>
      </c>
      <c r="B80" s="4">
        <v>632</v>
      </c>
      <c r="C80" s="4">
        <v>164</v>
      </c>
      <c r="D80" s="4">
        <v>735</v>
      </c>
      <c r="E80" s="4">
        <v>604</v>
      </c>
      <c r="F80" s="4">
        <v>158</v>
      </c>
      <c r="G80" s="2">
        <f t="shared" si="1"/>
        <v>2293</v>
      </c>
      <c r="H80" s="2"/>
    </row>
    <row r="81" spans="1:8" x14ac:dyDescent="0.2">
      <c r="A81" s="3">
        <v>69</v>
      </c>
      <c r="B81" s="4">
        <v>905</v>
      </c>
      <c r="C81" s="4">
        <v>119</v>
      </c>
      <c r="D81" s="4">
        <v>764</v>
      </c>
      <c r="E81" s="4">
        <v>540</v>
      </c>
      <c r="F81" s="4">
        <v>92</v>
      </c>
      <c r="G81" s="2">
        <f t="shared" si="1"/>
        <v>2420</v>
      </c>
      <c r="H81" s="2"/>
    </row>
    <row r="82" spans="1:8" x14ac:dyDescent="0.2">
      <c r="A82" s="3">
        <v>70</v>
      </c>
      <c r="B82" s="4">
        <v>709</v>
      </c>
      <c r="C82" s="4">
        <v>242</v>
      </c>
      <c r="D82" s="4">
        <v>655</v>
      </c>
      <c r="E82" s="4">
        <v>561</v>
      </c>
      <c r="F82" s="4">
        <v>22</v>
      </c>
      <c r="G82" s="2">
        <f t="shared" si="1"/>
        <v>2189</v>
      </c>
      <c r="H82" s="2"/>
    </row>
    <row r="83" spans="1:8" x14ac:dyDescent="0.2">
      <c r="A83" s="3">
        <v>71</v>
      </c>
      <c r="B83" s="4">
        <v>937</v>
      </c>
      <c r="C83" s="4">
        <v>104</v>
      </c>
      <c r="D83" s="4">
        <v>788</v>
      </c>
      <c r="E83" s="4">
        <v>259</v>
      </c>
      <c r="F83" s="4">
        <v>139</v>
      </c>
      <c r="G83" s="2">
        <f t="shared" si="1"/>
        <v>2227</v>
      </c>
      <c r="H83" s="2"/>
    </row>
    <row r="84" spans="1:8" x14ac:dyDescent="0.2">
      <c r="A84" s="3">
        <v>72</v>
      </c>
      <c r="B84" s="4">
        <v>691</v>
      </c>
      <c r="C84" s="4">
        <v>117</v>
      </c>
      <c r="D84" s="4">
        <v>857</v>
      </c>
      <c r="E84" s="4">
        <v>406</v>
      </c>
      <c r="F84" s="4">
        <v>193</v>
      </c>
      <c r="G84" s="2">
        <f t="shared" si="1"/>
        <v>2264</v>
      </c>
      <c r="H84" s="2"/>
    </row>
    <row r="85" spans="1:8" x14ac:dyDescent="0.2">
      <c r="A85" s="3">
        <v>73</v>
      </c>
      <c r="B85" s="4">
        <v>596</v>
      </c>
      <c r="C85" s="4">
        <v>98</v>
      </c>
      <c r="D85" s="4">
        <v>867</v>
      </c>
      <c r="E85" s="4">
        <v>478</v>
      </c>
      <c r="F85" s="4">
        <v>258</v>
      </c>
      <c r="G85" s="2">
        <f t="shared" si="1"/>
        <v>2297</v>
      </c>
      <c r="H85" s="2"/>
    </row>
    <row r="86" spans="1:8" x14ac:dyDescent="0.2">
      <c r="A86" s="3">
        <v>74</v>
      </c>
      <c r="B86" s="4">
        <v>879</v>
      </c>
      <c r="C86" s="4">
        <v>162</v>
      </c>
      <c r="D86" s="4">
        <v>953</v>
      </c>
      <c r="E86" s="4">
        <v>323</v>
      </c>
      <c r="F86" s="4">
        <v>153</v>
      </c>
      <c r="G86" s="2">
        <f t="shared" si="1"/>
        <v>2470</v>
      </c>
      <c r="H86" s="2"/>
    </row>
    <row r="87" spans="1:8" x14ac:dyDescent="0.2">
      <c r="A87" s="3">
        <v>75</v>
      </c>
      <c r="B87" s="4">
        <v>489</v>
      </c>
      <c r="C87" s="4">
        <v>69</v>
      </c>
      <c r="D87" s="4">
        <v>737</v>
      </c>
      <c r="E87" s="4">
        <v>635</v>
      </c>
      <c r="F87" s="4">
        <v>96</v>
      </c>
      <c r="G87" s="2">
        <f t="shared" si="1"/>
        <v>2026</v>
      </c>
      <c r="H87" s="2"/>
    </row>
    <row r="88" spans="1:8" x14ac:dyDescent="0.2">
      <c r="A88" s="3">
        <v>76</v>
      </c>
      <c r="B88" s="4">
        <v>1100</v>
      </c>
      <c r="C88" s="4">
        <v>271</v>
      </c>
      <c r="D88" s="4">
        <v>615</v>
      </c>
      <c r="E88" s="4">
        <v>385</v>
      </c>
      <c r="F88" s="4">
        <v>290</v>
      </c>
      <c r="G88" s="2">
        <f t="shared" si="1"/>
        <v>2661</v>
      </c>
      <c r="H88" s="2"/>
    </row>
    <row r="89" spans="1:8" x14ac:dyDescent="0.2">
      <c r="A89" s="3">
        <v>77</v>
      </c>
      <c r="B89" s="4">
        <v>776</v>
      </c>
      <c r="C89" s="4">
        <v>218</v>
      </c>
      <c r="D89" s="4">
        <v>674</v>
      </c>
      <c r="E89" s="4">
        <v>689</v>
      </c>
      <c r="F89" s="4">
        <v>176</v>
      </c>
      <c r="G89" s="2">
        <f t="shared" si="1"/>
        <v>2533</v>
      </c>
      <c r="H89" s="2"/>
    </row>
    <row r="90" spans="1:8" x14ac:dyDescent="0.2">
      <c r="A90" s="3">
        <v>78</v>
      </c>
      <c r="B90" s="4">
        <v>731</v>
      </c>
      <c r="C90" s="4">
        <v>129</v>
      </c>
      <c r="D90" s="4">
        <v>471</v>
      </c>
      <c r="E90" s="4">
        <v>328</v>
      </c>
      <c r="F90" s="4">
        <v>137</v>
      </c>
      <c r="G90" s="2">
        <f t="shared" si="1"/>
        <v>1796</v>
      </c>
      <c r="H90" s="2"/>
    </row>
    <row r="91" spans="1:8" x14ac:dyDescent="0.2">
      <c r="A91" s="3">
        <v>79</v>
      </c>
      <c r="B91" s="4">
        <v>956</v>
      </c>
      <c r="C91" s="4">
        <v>146</v>
      </c>
      <c r="D91" s="4">
        <v>572</v>
      </c>
      <c r="E91" s="4">
        <v>238</v>
      </c>
      <c r="F91" s="4">
        <v>126</v>
      </c>
      <c r="G91" s="2">
        <f t="shared" si="1"/>
        <v>2038</v>
      </c>
      <c r="H91" s="2"/>
    </row>
    <row r="92" spans="1:8" x14ac:dyDescent="0.2">
      <c r="A92" s="3">
        <v>80</v>
      </c>
      <c r="B92" s="4">
        <v>923</v>
      </c>
      <c r="C92" s="4">
        <v>167</v>
      </c>
      <c r="D92" s="4">
        <v>770</v>
      </c>
      <c r="E92" s="4">
        <v>401</v>
      </c>
      <c r="F92" s="4">
        <v>22</v>
      </c>
      <c r="G92" s="2">
        <f t="shared" si="1"/>
        <v>2283</v>
      </c>
      <c r="H92" s="2"/>
    </row>
    <row r="93" spans="1:8" x14ac:dyDescent="0.2">
      <c r="A93" s="3">
        <v>81</v>
      </c>
      <c r="B93" s="4">
        <v>1016</v>
      </c>
      <c r="C93" s="4">
        <v>234</v>
      </c>
      <c r="D93" s="4">
        <v>1043</v>
      </c>
      <c r="E93" s="4">
        <v>34</v>
      </c>
      <c r="F93" s="4">
        <v>265</v>
      </c>
      <c r="G93" s="2">
        <f t="shared" si="1"/>
        <v>2592</v>
      </c>
      <c r="H93" s="2"/>
    </row>
    <row r="94" spans="1:8" x14ac:dyDescent="0.2">
      <c r="A94" s="3">
        <v>82</v>
      </c>
      <c r="B94" s="4">
        <v>886</v>
      </c>
      <c r="C94" s="4">
        <v>169</v>
      </c>
      <c r="D94" s="4">
        <v>962</v>
      </c>
      <c r="E94" s="4">
        <v>154</v>
      </c>
      <c r="F94" s="4">
        <v>123</v>
      </c>
      <c r="G94" s="2">
        <f t="shared" si="1"/>
        <v>2294</v>
      </c>
      <c r="H94" s="2"/>
    </row>
    <row r="95" spans="1:8" x14ac:dyDescent="0.2">
      <c r="A95" s="3">
        <v>83</v>
      </c>
      <c r="B95" s="4">
        <v>922</v>
      </c>
      <c r="C95" s="4">
        <v>235</v>
      </c>
      <c r="D95" s="4">
        <v>907</v>
      </c>
      <c r="E95" s="4">
        <v>838</v>
      </c>
      <c r="F95" s="4">
        <v>178</v>
      </c>
      <c r="G95" s="2">
        <f t="shared" si="1"/>
        <v>3080</v>
      </c>
      <c r="H95" s="2"/>
    </row>
    <row r="96" spans="1:8" x14ac:dyDescent="0.2">
      <c r="A96" s="3">
        <v>84</v>
      </c>
      <c r="B96" s="4">
        <v>816</v>
      </c>
      <c r="C96" s="4">
        <v>71</v>
      </c>
      <c r="D96" s="4">
        <v>619</v>
      </c>
      <c r="E96" s="4">
        <v>499</v>
      </c>
      <c r="F96" s="4">
        <v>265</v>
      </c>
      <c r="G96" s="2">
        <f t="shared" si="1"/>
        <v>2270</v>
      </c>
      <c r="H96" s="2"/>
    </row>
    <row r="97" spans="1:9" x14ac:dyDescent="0.2">
      <c r="A97" s="3">
        <v>85</v>
      </c>
      <c r="B97" s="4">
        <v>877</v>
      </c>
      <c r="C97" s="4">
        <v>157</v>
      </c>
      <c r="D97" s="4">
        <v>780</v>
      </c>
      <c r="E97" s="4">
        <v>458</v>
      </c>
      <c r="F97" s="4">
        <v>259</v>
      </c>
      <c r="G97" s="2">
        <f t="shared" si="1"/>
        <v>2531</v>
      </c>
      <c r="H97" s="2"/>
    </row>
    <row r="98" spans="1:9" x14ac:dyDescent="0.2">
      <c r="A98" s="3">
        <v>86</v>
      </c>
      <c r="B98" s="4">
        <v>716</v>
      </c>
      <c r="C98" s="4">
        <v>60</v>
      </c>
      <c r="D98" s="4">
        <v>551</v>
      </c>
      <c r="E98" s="4">
        <v>278</v>
      </c>
      <c r="F98" s="4">
        <v>209</v>
      </c>
      <c r="G98" s="2">
        <f t="shared" si="1"/>
        <v>1814</v>
      </c>
      <c r="H98" s="2"/>
    </row>
    <row r="99" spans="1:9" x14ac:dyDescent="0.2">
      <c r="A99" s="3">
        <v>87</v>
      </c>
      <c r="B99" s="4">
        <v>505</v>
      </c>
      <c r="C99" s="4">
        <v>101</v>
      </c>
      <c r="D99" s="4">
        <v>824</v>
      </c>
      <c r="E99" s="4">
        <v>139</v>
      </c>
      <c r="F99" s="4">
        <v>111</v>
      </c>
      <c r="G99" s="2">
        <f t="shared" si="1"/>
        <v>1680</v>
      </c>
      <c r="H99" s="2"/>
    </row>
    <row r="100" spans="1:9" x14ac:dyDescent="0.2">
      <c r="A100" s="3">
        <v>88</v>
      </c>
      <c r="B100" s="4">
        <v>1012</v>
      </c>
      <c r="C100" s="4">
        <v>113</v>
      </c>
      <c r="D100" s="4">
        <v>783</v>
      </c>
      <c r="E100" s="4">
        <v>662</v>
      </c>
      <c r="F100" s="4">
        <v>45</v>
      </c>
      <c r="G100" s="2">
        <f t="shared" si="1"/>
        <v>2615</v>
      </c>
      <c r="H100" s="2"/>
    </row>
    <row r="101" spans="1:9" x14ac:dyDescent="0.2">
      <c r="A101" s="3">
        <v>89</v>
      </c>
      <c r="B101" s="4">
        <v>675</v>
      </c>
      <c r="C101" s="4">
        <v>135</v>
      </c>
      <c r="D101" s="4">
        <v>334</v>
      </c>
      <c r="E101" s="4">
        <v>519</v>
      </c>
      <c r="F101" s="4">
        <v>100</v>
      </c>
      <c r="G101" s="2">
        <f t="shared" si="1"/>
        <v>1763</v>
      </c>
      <c r="H101" s="2"/>
    </row>
    <row r="102" spans="1:9" x14ac:dyDescent="0.2">
      <c r="A102" s="3">
        <v>90</v>
      </c>
      <c r="B102" s="4">
        <v>1023</v>
      </c>
      <c r="C102" s="4">
        <v>160</v>
      </c>
      <c r="D102" s="4">
        <v>530</v>
      </c>
      <c r="E102" s="4">
        <v>489</v>
      </c>
      <c r="F102" s="4">
        <v>371</v>
      </c>
      <c r="G102" s="2">
        <f>SUM(B102:F102)</f>
        <v>2573</v>
      </c>
      <c r="H102" s="2"/>
      <c r="I102" t="s">
        <v>55</v>
      </c>
    </row>
    <row r="103" spans="1:9" x14ac:dyDescent="0.2">
      <c r="I103" t="s">
        <v>53</v>
      </c>
    </row>
    <row r="104" spans="1:9" x14ac:dyDescent="0.2">
      <c r="A104" t="s">
        <v>22</v>
      </c>
      <c r="B104" s="2">
        <f t="shared" ref="B104:G104" si="2">MIN(B13:B102)</f>
        <v>304</v>
      </c>
      <c r="C104" s="2">
        <f t="shared" si="2"/>
        <v>-30</v>
      </c>
      <c r="D104" s="2">
        <f t="shared" si="2"/>
        <v>257</v>
      </c>
      <c r="E104" s="2">
        <f t="shared" si="2"/>
        <v>34</v>
      </c>
      <c r="F104" s="2">
        <f t="shared" si="2"/>
        <v>22</v>
      </c>
      <c r="G104" s="2">
        <f t="shared" si="2"/>
        <v>1431</v>
      </c>
    </row>
    <row r="105" spans="1:9" x14ac:dyDescent="0.2">
      <c r="A105" t="s">
        <v>23</v>
      </c>
      <c r="B105" s="2">
        <f t="shared" ref="B105:G105" si="3">MAX(B13:B102)</f>
        <v>1415</v>
      </c>
      <c r="C105" s="2">
        <f t="shared" si="3"/>
        <v>271</v>
      </c>
      <c r="D105" s="2">
        <f t="shared" si="3"/>
        <v>1081</v>
      </c>
      <c r="E105" s="2">
        <f t="shared" si="3"/>
        <v>838</v>
      </c>
      <c r="F105" s="2">
        <f t="shared" si="3"/>
        <v>410</v>
      </c>
      <c r="G105" s="2">
        <f t="shared" si="3"/>
        <v>3080</v>
      </c>
    </row>
    <row r="106" spans="1:9" x14ac:dyDescent="0.2">
      <c r="A106" t="s">
        <v>24</v>
      </c>
      <c r="B106" s="1">
        <f t="shared" ref="B106:G106" si="4">AVERAGE(B13:B102)</f>
        <v>772.67777777777781</v>
      </c>
      <c r="C106" s="1">
        <f t="shared" si="4"/>
        <v>130.95555555555555</v>
      </c>
      <c r="D106" s="1">
        <f t="shared" si="4"/>
        <v>699.11111111111109</v>
      </c>
      <c r="E106" s="1">
        <f t="shared" si="4"/>
        <v>416.47777777777776</v>
      </c>
      <c r="F106" s="1">
        <f t="shared" si="4"/>
        <v>169.62222222222223</v>
      </c>
      <c r="G106" s="1">
        <f t="shared" si="4"/>
        <v>2188.8444444444444</v>
      </c>
    </row>
    <row r="107" spans="1:9" x14ac:dyDescent="0.2">
      <c r="A107" t="s">
        <v>25</v>
      </c>
      <c r="B107" s="1">
        <f t="shared" ref="B107:G107" si="5">STDEV(B13:B102)</f>
        <v>208.53220739995083</v>
      </c>
      <c r="C107" s="1">
        <f t="shared" si="5"/>
        <v>58.865856094452859</v>
      </c>
      <c r="D107" s="1">
        <f t="shared" si="5"/>
        <v>167.7728161910747</v>
      </c>
      <c r="E107" s="1">
        <f t="shared" si="5"/>
        <v>181.03418435510631</v>
      </c>
      <c r="F107" s="1">
        <f t="shared" si="5"/>
        <v>90.939241079085051</v>
      </c>
      <c r="G107" s="1">
        <f t="shared" si="5"/>
        <v>342.19926224518468</v>
      </c>
    </row>
    <row r="108" spans="1:9" x14ac:dyDescent="0.2">
      <c r="A108" t="s">
        <v>26</v>
      </c>
      <c r="B108" s="1">
        <f t="shared" ref="B108:G108" si="6">B107/B106</f>
        <v>0.26988249616766474</v>
      </c>
      <c r="C108" s="1">
        <f t="shared" si="6"/>
        <v>0.44951018568647189</v>
      </c>
      <c r="D108" s="1">
        <f t="shared" si="6"/>
        <v>0.23998018844877184</v>
      </c>
      <c r="E108" s="1">
        <f t="shared" si="6"/>
        <v>0.4346790969762177</v>
      </c>
      <c r="F108" s="1">
        <f t="shared" si="6"/>
        <v>0.53612810802552435</v>
      </c>
      <c r="G108" s="1">
        <f t="shared" si="6"/>
        <v>0.15633786270821043</v>
      </c>
    </row>
    <row r="110" spans="1:9" x14ac:dyDescent="0.2">
      <c r="A110" t="s">
        <v>39</v>
      </c>
    </row>
    <row r="112" spans="1:9" x14ac:dyDescent="0.2">
      <c r="A112" t="s">
        <v>40</v>
      </c>
      <c r="B112" s="3" t="s">
        <v>0</v>
      </c>
      <c r="C112" s="3" t="s">
        <v>1</v>
      </c>
      <c r="D112" s="3" t="s">
        <v>2</v>
      </c>
      <c r="E112" s="3" t="s">
        <v>3</v>
      </c>
      <c r="F112" s="3" t="s">
        <v>4</v>
      </c>
    </row>
    <row r="113" spans="1:6" x14ac:dyDescent="0.2">
      <c r="A113" t="s">
        <v>27</v>
      </c>
      <c r="B113" s="4">
        <f>SUM(B13:B19)</f>
        <v>5023</v>
      </c>
      <c r="C113" s="4">
        <f t="shared" ref="C113:F113" si="7">SUM(C13:C19)</f>
        <v>692</v>
      </c>
      <c r="D113" s="4">
        <f t="shared" si="7"/>
        <v>4734</v>
      </c>
      <c r="E113" s="4">
        <f t="shared" si="7"/>
        <v>2125</v>
      </c>
      <c r="F113" s="4">
        <f t="shared" si="7"/>
        <v>1051</v>
      </c>
    </row>
    <row r="114" spans="1:6" x14ac:dyDescent="0.2">
      <c r="A114" t="s">
        <v>28</v>
      </c>
      <c r="B114" s="4">
        <f>SUM(B20:B26)</f>
        <v>4375</v>
      </c>
      <c r="C114" s="4">
        <f>SUM(C20:C26)</f>
        <v>915</v>
      </c>
      <c r="D114" s="4">
        <f>SUM(D20:D26)</f>
        <v>4544</v>
      </c>
      <c r="E114" s="4">
        <f>SUM(E20:E26)</f>
        <v>3359</v>
      </c>
      <c r="F114" s="4">
        <f>SUM(F20:F26)</f>
        <v>1248</v>
      </c>
    </row>
    <row r="115" spans="1:6" x14ac:dyDescent="0.2">
      <c r="A115" t="s">
        <v>29</v>
      </c>
      <c r="B115" s="4">
        <f>SUM(B27:B33)</f>
        <v>6122</v>
      </c>
      <c r="C115" s="4">
        <f>SUM(C27:C33)</f>
        <v>657</v>
      </c>
      <c r="D115" s="4">
        <f>SUM(D27:D33)</f>
        <v>4700</v>
      </c>
      <c r="E115" s="4">
        <f>SUM(E27:E33)</f>
        <v>2827</v>
      </c>
      <c r="F115" s="4">
        <f>SUM(F27:F33)</f>
        <v>1409</v>
      </c>
    </row>
    <row r="116" spans="1:6" x14ac:dyDescent="0.2">
      <c r="A116" t="s">
        <v>30</v>
      </c>
      <c r="B116" s="4">
        <f>SUM(B34:B40)</f>
        <v>4938</v>
      </c>
      <c r="C116" s="4">
        <f>SUM(C34:C40)</f>
        <v>1054</v>
      </c>
      <c r="D116" s="4">
        <f>SUM(D34:D40)</f>
        <v>5259</v>
      </c>
      <c r="E116" s="4">
        <f>SUM(E34:E40)</f>
        <v>2614</v>
      </c>
      <c r="F116" s="4">
        <f>SUM(F34:F40)</f>
        <v>979</v>
      </c>
    </row>
    <row r="117" spans="1:6" x14ac:dyDescent="0.2">
      <c r="A117" t="s">
        <v>31</v>
      </c>
      <c r="B117" s="4">
        <f>SUM(B41:B47)</f>
        <v>4899</v>
      </c>
      <c r="C117" s="4">
        <f>SUM(C41:C47)</f>
        <v>972</v>
      </c>
      <c r="D117" s="4">
        <f>SUM(D41:D47)</f>
        <v>5256</v>
      </c>
      <c r="E117" s="4">
        <f>SUM(E41:E47)</f>
        <v>3278</v>
      </c>
      <c r="F117" s="4">
        <f>SUM(F41:F47)</f>
        <v>1188</v>
      </c>
    </row>
    <row r="118" spans="1:6" x14ac:dyDescent="0.2">
      <c r="A118" t="s">
        <v>32</v>
      </c>
      <c r="B118" s="4">
        <f>SUM(B48:B54)</f>
        <v>5128</v>
      </c>
      <c r="C118" s="4">
        <f>SUM(C48:C54)</f>
        <v>892</v>
      </c>
      <c r="D118" s="4">
        <f>SUM(D48:D54)</f>
        <v>4734</v>
      </c>
      <c r="E118" s="4">
        <f>SUM(E48:E54)</f>
        <v>3377</v>
      </c>
      <c r="F118" s="4">
        <f>SUM(F48:F54)</f>
        <v>842</v>
      </c>
    </row>
    <row r="119" spans="1:6" x14ac:dyDescent="0.2">
      <c r="A119" t="s">
        <v>33</v>
      </c>
      <c r="B119" s="4">
        <f>SUM(B55:B61)</f>
        <v>6267</v>
      </c>
      <c r="C119" s="4">
        <f>SUM(C55:C61)</f>
        <v>780</v>
      </c>
      <c r="D119" s="4">
        <f>SUM(D55:D61)</f>
        <v>4017</v>
      </c>
      <c r="E119" s="4">
        <f>SUM(E55:E61)</f>
        <v>2682</v>
      </c>
      <c r="F119" s="4">
        <f>SUM(F55:F61)</f>
        <v>1246</v>
      </c>
    </row>
    <row r="120" spans="1:6" x14ac:dyDescent="0.2">
      <c r="A120" t="s">
        <v>34</v>
      </c>
      <c r="B120" s="4">
        <f>SUM(B62:B68)</f>
        <v>5791</v>
      </c>
      <c r="C120" s="4">
        <f>SUM(C62:C68)</f>
        <v>1121</v>
      </c>
      <c r="D120" s="4">
        <f>SUM(D62:D68)</f>
        <v>4784</v>
      </c>
      <c r="E120" s="4">
        <f>SUM(E62:E68)</f>
        <v>2619</v>
      </c>
      <c r="F120" s="4">
        <f>SUM(F62:F68)</f>
        <v>1394</v>
      </c>
    </row>
    <row r="121" spans="1:6" x14ac:dyDescent="0.2">
      <c r="A121" t="s">
        <v>35</v>
      </c>
      <c r="B121" s="4">
        <f>SUM(B69:B75)</f>
        <v>5439</v>
      </c>
      <c r="C121" s="4">
        <f>SUM(C69:C75)</f>
        <v>808</v>
      </c>
      <c r="D121" s="4">
        <f>SUM(D69:D75)</f>
        <v>5733</v>
      </c>
      <c r="E121" s="4">
        <f>SUM(E69:E75)</f>
        <v>2428</v>
      </c>
      <c r="F121" s="4">
        <f>SUM(F69:F75)</f>
        <v>1411</v>
      </c>
    </row>
    <row r="122" spans="1:6" x14ac:dyDescent="0.2">
      <c r="A122" t="s">
        <v>36</v>
      </c>
      <c r="B122" s="4">
        <f>SUM(B76:B82)</f>
        <v>5033</v>
      </c>
      <c r="C122" s="4">
        <f>SUM(C76:C82)</f>
        <v>979</v>
      </c>
      <c r="D122" s="4">
        <f>SUM(D76:D82)</f>
        <v>4522</v>
      </c>
      <c r="E122" s="4">
        <f>SUM(E76:E82)</f>
        <v>3962</v>
      </c>
      <c r="F122" s="4">
        <f>SUM(F76:F82)</f>
        <v>982</v>
      </c>
    </row>
    <row r="123" spans="1:6" x14ac:dyDescent="0.2">
      <c r="A123" t="s">
        <v>37</v>
      </c>
      <c r="B123" s="4">
        <f>SUM(B83:B89)</f>
        <v>5468</v>
      </c>
      <c r="C123" s="4">
        <f>SUM(C83:C89)</f>
        <v>1039</v>
      </c>
      <c r="D123" s="4">
        <f>SUM(D83:D89)</f>
        <v>5491</v>
      </c>
      <c r="E123" s="4">
        <f>SUM(E83:E89)</f>
        <v>3175</v>
      </c>
      <c r="F123" s="4">
        <f>SUM(F83:F89)</f>
        <v>1305</v>
      </c>
    </row>
    <row r="124" spans="1:6" x14ac:dyDescent="0.2">
      <c r="A124" t="s">
        <v>38</v>
      </c>
      <c r="B124" s="4">
        <f>SUM(B90:B96)</f>
        <v>6250</v>
      </c>
      <c r="C124" s="4">
        <f>SUM(C90:C96)</f>
        <v>1151</v>
      </c>
      <c r="D124" s="4">
        <f>SUM(D90:D96)</f>
        <v>5344</v>
      </c>
      <c r="E124" s="4">
        <f>SUM(E90:E96)</f>
        <v>2492</v>
      </c>
      <c r="F124" s="4">
        <f>SUM(F90:F96)</f>
        <v>1116</v>
      </c>
    </row>
    <row r="126" spans="1:6" x14ac:dyDescent="0.2">
      <c r="A126" t="s">
        <v>22</v>
      </c>
      <c r="B126" s="2">
        <f>MIN(B113:B124)</f>
        <v>4375</v>
      </c>
      <c r="C126" s="2">
        <f>MIN(C113:C124)</f>
        <v>657</v>
      </c>
      <c r="D126" s="2">
        <f>MIN(D113:D124)</f>
        <v>4017</v>
      </c>
      <c r="E126" s="2">
        <f>MIN(E113:E124)</f>
        <v>2125</v>
      </c>
      <c r="F126" s="2">
        <f>MIN(F113:F124)</f>
        <v>842</v>
      </c>
    </row>
    <row r="127" spans="1:6" x14ac:dyDescent="0.2">
      <c r="A127" t="s">
        <v>23</v>
      </c>
      <c r="B127" s="2">
        <f>MAX(B113:B124)</f>
        <v>6267</v>
      </c>
      <c r="C127" s="2">
        <f>MAX(C113:C124)</f>
        <v>1151</v>
      </c>
      <c r="D127" s="2">
        <f>MAX(D113:D124)</f>
        <v>5733</v>
      </c>
      <c r="E127" s="2">
        <f>MAX(E113:E124)</f>
        <v>3962</v>
      </c>
      <c r="F127" s="2">
        <f>MAX(F113:F124)</f>
        <v>1411</v>
      </c>
    </row>
    <row r="128" spans="1:6" x14ac:dyDescent="0.2">
      <c r="A128" t="s">
        <v>24</v>
      </c>
      <c r="B128" s="1">
        <f>AVERAGE(B113:B124)</f>
        <v>5394.416666666667</v>
      </c>
      <c r="C128" s="1">
        <f>AVERAGE(C113:C124)</f>
        <v>921.66666666666663</v>
      </c>
      <c r="D128" s="1">
        <f>AVERAGE(D113:D124)</f>
        <v>4926.5</v>
      </c>
      <c r="E128" s="1">
        <f>AVERAGE(E113:E124)</f>
        <v>2911.5</v>
      </c>
      <c r="F128" s="1">
        <f>AVERAGE(F113:F124)</f>
        <v>1180.9166666666667</v>
      </c>
    </row>
    <row r="129" spans="1:6" x14ac:dyDescent="0.2">
      <c r="A129" t="s">
        <v>25</v>
      </c>
      <c r="B129" s="1">
        <f>STDEV(B113:B124)</f>
        <v>604.52813429278615</v>
      </c>
      <c r="C129" s="1">
        <f>STDEV(C113:C124)</f>
        <v>161.28367630490132</v>
      </c>
      <c r="D129" s="1">
        <f>STDEV(D113:D124)</f>
        <v>490.39622199345558</v>
      </c>
      <c r="E129" s="1">
        <f>STDEV(E113:E124)</f>
        <v>521.05304214376554</v>
      </c>
      <c r="F129" s="1">
        <f>STDEV(F113:F124)</f>
        <v>188.49714651003126</v>
      </c>
    </row>
    <row r="130" spans="1:6" x14ac:dyDescent="0.2">
      <c r="A130" t="s">
        <v>26</v>
      </c>
      <c r="B130" s="1">
        <f>B129/B128</f>
        <v>0.11206552471712161</v>
      </c>
      <c r="C130" s="1">
        <f>C129/C128</f>
        <v>0.1749913305297302</v>
      </c>
      <c r="D130" s="1">
        <f>D129/D128</f>
        <v>9.9542519434376447E-2</v>
      </c>
      <c r="E130" s="1">
        <f>E129/E128</f>
        <v>0.17896377885755299</v>
      </c>
      <c r="F130" s="1">
        <f>F129/F128</f>
        <v>0.1596193464201803</v>
      </c>
    </row>
    <row r="132" spans="1:6" x14ac:dyDescent="0.2">
      <c r="A132" t="s">
        <v>41</v>
      </c>
    </row>
    <row r="134" spans="1:6" x14ac:dyDescent="0.2">
      <c r="A134" t="s">
        <v>45</v>
      </c>
      <c r="B134" s="3" t="s">
        <v>0</v>
      </c>
      <c r="C134" s="3" t="s">
        <v>1</v>
      </c>
      <c r="D134" s="3" t="s">
        <v>2</v>
      </c>
      <c r="E134" s="3" t="s">
        <v>3</v>
      </c>
      <c r="F134" s="3" t="s">
        <v>4</v>
      </c>
    </row>
    <row r="135" spans="1:6" x14ac:dyDescent="0.2">
      <c r="A135" t="s">
        <v>42</v>
      </c>
      <c r="B135" s="4">
        <f>SUM(B13:B42)</f>
        <v>22045</v>
      </c>
      <c r="C135" s="4">
        <f>SUM(C13:C42)</f>
        <v>3568</v>
      </c>
      <c r="D135" s="4">
        <f>SUM(D13:D42)</f>
        <v>20778</v>
      </c>
      <c r="E135" s="4">
        <f>SUM(E13:E42)</f>
        <v>11879</v>
      </c>
      <c r="F135" s="4">
        <f>SUM(F13:F42)</f>
        <v>5066</v>
      </c>
    </row>
    <row r="136" spans="1:6" x14ac:dyDescent="0.2">
      <c r="A136" t="s">
        <v>43</v>
      </c>
      <c r="B136" s="4">
        <f>SUM(B43:B72)</f>
        <v>23427</v>
      </c>
      <c r="C136" s="4">
        <f>SUM(C43:C72)</f>
        <v>3878</v>
      </c>
      <c r="D136" s="4">
        <f>SUM(D43:D72)</f>
        <v>20416</v>
      </c>
      <c r="E136" s="4">
        <f>SUM(E43:E72)</f>
        <v>12313</v>
      </c>
      <c r="F136" s="4">
        <f>SUM(F43:F72)</f>
        <v>5080</v>
      </c>
    </row>
    <row r="137" spans="1:6" x14ac:dyDescent="0.2">
      <c r="A137" t="s">
        <v>44</v>
      </c>
      <c r="B137" s="4">
        <f>SUM(B73:B102)</f>
        <v>24069</v>
      </c>
      <c r="C137" s="4">
        <f>SUM(C73:C102)</f>
        <v>4340</v>
      </c>
      <c r="D137" s="4">
        <f>SUM(D73:D102)</f>
        <v>21726</v>
      </c>
      <c r="E137" s="4">
        <f>SUM(E73:E102)</f>
        <v>13291</v>
      </c>
      <c r="F137" s="4">
        <f>SUM(F73:F102)</f>
        <v>5120</v>
      </c>
    </row>
    <row r="139" spans="1:6" x14ac:dyDescent="0.2">
      <c r="A139" t="s">
        <v>22</v>
      </c>
      <c r="B139" s="2">
        <f>MIN(B135:B137)</f>
        <v>22045</v>
      </c>
      <c r="C139" s="2">
        <f>MIN(C135:C137)</f>
        <v>3568</v>
      </c>
      <c r="D139" s="2">
        <f>MIN(D135:D137)</f>
        <v>20416</v>
      </c>
      <c r="E139" s="2">
        <f>MIN(E135:E137)</f>
        <v>11879</v>
      </c>
      <c r="F139" s="2">
        <f>MIN(F135:F137)</f>
        <v>5066</v>
      </c>
    </row>
    <row r="140" spans="1:6" x14ac:dyDescent="0.2">
      <c r="A140" t="s">
        <v>23</v>
      </c>
      <c r="B140" s="2">
        <f>MAX(B135:B137)</f>
        <v>24069</v>
      </c>
      <c r="C140" s="2">
        <f>MAX(C135:C137)</f>
        <v>4340</v>
      </c>
      <c r="D140" s="2">
        <f>MAX(D135:D137)</f>
        <v>21726</v>
      </c>
      <c r="E140" s="2">
        <f>MAX(E135:E137)</f>
        <v>13291</v>
      </c>
      <c r="F140" s="2">
        <f>MAX(F135:F137)</f>
        <v>5120</v>
      </c>
    </row>
    <row r="141" spans="1:6" x14ac:dyDescent="0.2">
      <c r="A141" t="s">
        <v>24</v>
      </c>
      <c r="B141" s="1">
        <f>AVERAGE(B135:B137)</f>
        <v>23180.333333333332</v>
      </c>
      <c r="C141" s="1">
        <f>AVERAGE(C135:C137)</f>
        <v>3928.6666666666665</v>
      </c>
      <c r="D141" s="1">
        <f>AVERAGE(D135:D137)</f>
        <v>20973.333333333332</v>
      </c>
      <c r="E141" s="1">
        <f>AVERAGE(E135:E137)</f>
        <v>12494.333333333334</v>
      </c>
      <c r="F141" s="1">
        <f>AVERAGE(F135:F137)</f>
        <v>5088.666666666667</v>
      </c>
    </row>
    <row r="142" spans="1:6" x14ac:dyDescent="0.2">
      <c r="A142" t="s">
        <v>25</v>
      </c>
      <c r="B142" s="1">
        <f>STDEV(B135:B137)</f>
        <v>1034.3004076830548</v>
      </c>
      <c r="C142" s="1">
        <f>STDEV(C135:C137)</f>
        <v>388.4859499818923</v>
      </c>
      <c r="D142" s="1">
        <f>STDEV(D135:D137)</f>
        <v>676.49193146210791</v>
      </c>
      <c r="E142" s="1">
        <f>STDEV(E135:E137)</f>
        <v>723.25468082365933</v>
      </c>
      <c r="F142" s="1">
        <f>STDEV(F135:F137)</f>
        <v>28.0237994093116</v>
      </c>
    </row>
    <row r="143" spans="1:6" x14ac:dyDescent="0.2">
      <c r="A143" t="s">
        <v>26</v>
      </c>
      <c r="B143" s="1">
        <f>B142/B141</f>
        <v>4.4619738327737087E-2</v>
      </c>
      <c r="C143" s="1">
        <f>C142/C141</f>
        <v>9.8884935512105629E-2</v>
      </c>
      <c r="D143" s="1">
        <f>D142/D141</f>
        <v>3.2254860050640877E-2</v>
      </c>
      <c r="E143" s="1">
        <f>E142/E141</f>
        <v>5.7886616398660135E-2</v>
      </c>
      <c r="F143" s="1">
        <f>F142/F141</f>
        <v>5.5071006306782917E-3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"/>
  <sheetViews>
    <sheetView showGridLines="0" tabSelected="1" topLeftCell="H1" zoomScale="220" zoomScaleNormal="220" zoomScalePageLayoutView="150" workbookViewId="0">
      <selection activeCell="T6" sqref="T6:T7"/>
    </sheetView>
  </sheetViews>
  <sheetFormatPr baseColWidth="10" defaultColWidth="10.83203125" defaultRowHeight="16" x14ac:dyDescent="0.2"/>
  <cols>
    <col min="3" max="4" width="10.83203125" customWidth="1"/>
    <col min="6" max="6" width="10.5" customWidth="1"/>
    <col min="7" max="8" width="8" bestFit="1" customWidth="1"/>
    <col min="10" max="10" width="7.1640625" bestFit="1" customWidth="1"/>
    <col min="11" max="12" width="8.83203125" bestFit="1" customWidth="1"/>
    <col min="13" max="14" width="8" bestFit="1" customWidth="1"/>
    <col min="15" max="16" width="9" bestFit="1" customWidth="1"/>
    <col min="17" max="21" width="8.83203125" customWidth="1"/>
  </cols>
  <sheetData>
    <row r="1" spans="1:21" x14ac:dyDescent="0.2">
      <c r="A1" t="s">
        <v>19</v>
      </c>
    </row>
    <row r="2" spans="1:21" x14ac:dyDescent="0.2">
      <c r="I2" s="3" t="s">
        <v>0</v>
      </c>
      <c r="U2" s="1"/>
    </row>
    <row r="3" spans="1:21" ht="68" x14ac:dyDescent="0.2">
      <c r="B3" s="6" t="s">
        <v>14</v>
      </c>
      <c r="C3" s="6" t="s">
        <v>17</v>
      </c>
      <c r="D3" s="6" t="s">
        <v>18</v>
      </c>
      <c r="E3" s="6" t="s">
        <v>15</v>
      </c>
      <c r="F3" s="6" t="s">
        <v>16</v>
      </c>
      <c r="I3" s="6" t="s">
        <v>14</v>
      </c>
      <c r="J3" s="9" t="s">
        <v>15</v>
      </c>
      <c r="K3" s="9" t="s">
        <v>16</v>
      </c>
      <c r="L3" s="9" t="s">
        <v>50</v>
      </c>
      <c r="M3" s="9" t="s">
        <v>46</v>
      </c>
      <c r="N3" s="9" t="s">
        <v>52</v>
      </c>
      <c r="O3" s="9" t="s">
        <v>51</v>
      </c>
      <c r="P3" s="9" t="s">
        <v>54</v>
      </c>
      <c r="Q3" s="9" t="s">
        <v>47</v>
      </c>
      <c r="R3" s="9" t="s">
        <v>49</v>
      </c>
      <c r="S3" s="9" t="s">
        <v>48</v>
      </c>
      <c r="T3" s="9" t="s">
        <v>56</v>
      </c>
      <c r="U3" s="9" t="s">
        <v>57</v>
      </c>
    </row>
    <row r="4" spans="1:21" x14ac:dyDescent="0.2">
      <c r="B4" s="3" t="s">
        <v>7</v>
      </c>
      <c r="C4" s="4">
        <v>771</v>
      </c>
      <c r="D4" s="5">
        <v>151</v>
      </c>
      <c r="E4" s="5">
        <v>1</v>
      </c>
      <c r="F4" s="5">
        <v>1</v>
      </c>
      <c r="I4" s="3" t="s">
        <v>7</v>
      </c>
      <c r="J4" s="5">
        <v>1</v>
      </c>
      <c r="K4" s="5">
        <v>1</v>
      </c>
      <c r="L4" s="11">
        <f>'CSA Report'!E97</f>
        <v>257</v>
      </c>
      <c r="M4" s="11">
        <f>'CSA Report'!E98</f>
        <v>142.77852732525483</v>
      </c>
      <c r="N4" s="8">
        <v>0.95</v>
      </c>
      <c r="O4" s="4">
        <f>ROUND(J4*L4/2+NORMSINV(N4)*M4*SQRT(J4+K4),0)</f>
        <v>461</v>
      </c>
      <c r="P4" s="4">
        <f>C4</f>
        <v>771</v>
      </c>
      <c r="Q4" s="4">
        <f>P4-O4</f>
        <v>310</v>
      </c>
      <c r="R4" s="8">
        <f>(P4-J4*L4/2)/(M4*SQRT(J4+K4))</f>
        <v>3.1819638108285546</v>
      </c>
      <c r="S4" s="8">
        <f>NORMSDIST((P4-J4*L4/2)/(M4*SQRT(J4+K4)))</f>
        <v>0.99926859952345592</v>
      </c>
      <c r="T4" s="8">
        <f>O4/L4</f>
        <v>1.7937743190661479</v>
      </c>
      <c r="U4" s="8">
        <f>P4/L4</f>
        <v>3</v>
      </c>
    </row>
    <row r="5" spans="1:21" x14ac:dyDescent="0.2">
      <c r="B5" s="3" t="s">
        <v>8</v>
      </c>
      <c r="C5" s="5">
        <v>473</v>
      </c>
      <c r="D5" s="5">
        <v>121</v>
      </c>
      <c r="E5" s="5">
        <v>2</v>
      </c>
      <c r="F5" s="5">
        <v>3</v>
      </c>
      <c r="I5" s="3" t="s">
        <v>8</v>
      </c>
      <c r="J5" s="5">
        <v>2</v>
      </c>
      <c r="K5" s="5">
        <v>3</v>
      </c>
      <c r="L5" s="11">
        <f>'CSA Report'!F97</f>
        <v>157.84444444444443</v>
      </c>
      <c r="M5" s="11">
        <f>'CSA Report'!F98</f>
        <v>97.091166599801241</v>
      </c>
      <c r="N5" s="8">
        <v>0.95</v>
      </c>
      <c r="O5" s="4">
        <f>ROUND(J5*L5/2+NORMSINV(N5)*M5*SQRT(J5+K5),0)</f>
        <v>515</v>
      </c>
      <c r="P5" s="4">
        <f>C5</f>
        <v>473</v>
      </c>
      <c r="Q5" s="4">
        <f>P5-O5</f>
        <v>-42</v>
      </c>
      <c r="R5" s="8">
        <f>(P5-J5*L5/2)/(M5*SQRT(J5+K5))</f>
        <v>1.4516444088341531</v>
      </c>
      <c r="S5" s="8">
        <f>NORMSDIST((P5-J5*L5/2)/(M5*SQRT(J5+K5)))</f>
        <v>0.92669974801173316</v>
      </c>
      <c r="T5" s="8">
        <f t="shared" ref="T5:T7" si="0">O5/L5</f>
        <v>3.2627058989159514</v>
      </c>
      <c r="U5" s="8">
        <f>P5/L5</f>
        <v>2.9966211459946503</v>
      </c>
    </row>
    <row r="6" spans="1:21" x14ac:dyDescent="0.2">
      <c r="B6" s="3" t="s">
        <v>6</v>
      </c>
      <c r="C6" s="5">
        <v>270</v>
      </c>
      <c r="D6" s="5">
        <v>56</v>
      </c>
      <c r="E6" s="5">
        <v>5</v>
      </c>
      <c r="F6" s="5">
        <v>5</v>
      </c>
      <c r="I6" s="3" t="s">
        <v>6</v>
      </c>
      <c r="J6" s="5">
        <v>5</v>
      </c>
      <c r="K6" s="5">
        <v>5</v>
      </c>
      <c r="L6" s="11">
        <f>'CSA Report'!D97</f>
        <v>89.911111111111111</v>
      </c>
      <c r="M6" s="11">
        <f>'CSA Report'!D98</f>
        <v>65.240375663611019</v>
      </c>
      <c r="N6" s="8">
        <v>0.95</v>
      </c>
      <c r="O6" s="4">
        <f>ROUND(J6*L6/2+NORMSINV(N6)*M6*SQRT(J6+K6),0)</f>
        <v>564</v>
      </c>
      <c r="P6" s="4">
        <f>C6</f>
        <v>270</v>
      </c>
      <c r="Q6" s="4">
        <f>P6-O6</f>
        <v>-294</v>
      </c>
      <c r="R6" s="8">
        <f>(P6-J6*L6/2)/(M6*SQRT(J6+K6))</f>
        <v>0.21919742432793363</v>
      </c>
      <c r="S6" s="8">
        <f>NORMSDIST((P6-J6*L6/2)/(M6*SQRT(J6+K6)))</f>
        <v>0.58675186910586241</v>
      </c>
      <c r="T6" s="8">
        <f t="shared" si="0"/>
        <v>6.2728620860108748</v>
      </c>
      <c r="U6" s="8">
        <f>P6/L6</f>
        <v>3.0029658922392488</v>
      </c>
    </row>
    <row r="7" spans="1:21" x14ac:dyDescent="0.2">
      <c r="B7" s="3" t="s">
        <v>5</v>
      </c>
      <c r="C7" s="5">
        <v>150</v>
      </c>
      <c r="D7" s="5">
        <v>26</v>
      </c>
      <c r="E7" s="5">
        <v>5</v>
      </c>
      <c r="F7" s="5">
        <v>5</v>
      </c>
      <c r="I7" s="3" t="s">
        <v>5</v>
      </c>
      <c r="J7" s="5">
        <v>5</v>
      </c>
      <c r="K7" s="5">
        <v>5</v>
      </c>
      <c r="L7" s="11">
        <f>'CSA Report'!C97</f>
        <v>50.077777777777776</v>
      </c>
      <c r="M7" s="11">
        <f>'CSA Report'!C98</f>
        <v>34.607340839048334</v>
      </c>
      <c r="N7" s="8">
        <v>0.95</v>
      </c>
      <c r="O7" s="4">
        <f>ROUND(J7*L7/2+NORMSINV(N7)*M7*SQRT(J7+K7),0)</f>
        <v>305</v>
      </c>
      <c r="P7" s="4">
        <f>C7</f>
        <v>150</v>
      </c>
      <c r="Q7" s="4">
        <f>P7-O7</f>
        <v>-155</v>
      </c>
      <c r="R7" s="8">
        <f>(P7-J7*L7/2)/(M7*SQRT(J7+K7))</f>
        <v>0.22666304974489926</v>
      </c>
      <c r="S7" s="8">
        <f>NORMSDIST((P7-J7*L7/2)/(M7*SQRT(J7+K7)))</f>
        <v>0.58965711932917841</v>
      </c>
      <c r="T7" s="8">
        <f t="shared" si="0"/>
        <v>6.0905258486798317</v>
      </c>
      <c r="U7" s="8">
        <f>P7/L7</f>
        <v>2.9953405813179499</v>
      </c>
    </row>
    <row r="8" spans="1:21" x14ac:dyDescent="0.2">
      <c r="O8" s="14"/>
      <c r="P8" s="14"/>
      <c r="Q8" s="12"/>
      <c r="R8" s="12"/>
      <c r="T8" s="10"/>
    </row>
    <row r="9" spans="1:21" x14ac:dyDescent="0.2">
      <c r="I9" s="3" t="s">
        <v>4</v>
      </c>
      <c r="Q9" s="12"/>
      <c r="R9" s="12"/>
    </row>
    <row r="10" spans="1:21" ht="68" x14ac:dyDescent="0.2">
      <c r="I10" s="6" t="s">
        <v>14</v>
      </c>
      <c r="J10" s="9" t="s">
        <v>15</v>
      </c>
      <c r="K10" s="9" t="s">
        <v>16</v>
      </c>
      <c r="L10" s="9" t="s">
        <v>50</v>
      </c>
      <c r="M10" s="9" t="s">
        <v>46</v>
      </c>
      <c r="N10" s="9" t="s">
        <v>52</v>
      </c>
      <c r="O10" s="9" t="s">
        <v>51</v>
      </c>
      <c r="P10" s="9" t="s">
        <v>54</v>
      </c>
      <c r="Q10" s="9" t="s">
        <v>47</v>
      </c>
      <c r="R10" s="9" t="s">
        <v>49</v>
      </c>
      <c r="S10" s="9" t="s">
        <v>48</v>
      </c>
      <c r="T10" s="9" t="s">
        <v>56</v>
      </c>
      <c r="U10" s="9" t="s">
        <v>57</v>
      </c>
    </row>
    <row r="11" spans="1:21" x14ac:dyDescent="0.2">
      <c r="I11" s="3" t="s">
        <v>7</v>
      </c>
      <c r="J11" s="5">
        <v>1</v>
      </c>
      <c r="K11" s="5">
        <v>1</v>
      </c>
      <c r="L11" s="11">
        <f>'CSE Report'!E97</f>
        <v>50.277777777777779</v>
      </c>
      <c r="M11" s="11">
        <f>'CSE Report'!E98</f>
        <v>37.607681434401279</v>
      </c>
      <c r="N11" s="8">
        <v>0.95</v>
      </c>
      <c r="O11" s="4">
        <f>ROUND(J11*L11/2+NORMSINV(N11)*M11*SQRT(J11+K11),0)</f>
        <v>113</v>
      </c>
      <c r="P11" s="4">
        <f>D4</f>
        <v>151</v>
      </c>
      <c r="Q11" s="4">
        <f>P11-O11</f>
        <v>38</v>
      </c>
      <c r="R11" s="8">
        <f>(P11-J11*L11/2)/(M11*SQRT(J11+K11))</f>
        <v>2.3664645561725797</v>
      </c>
      <c r="S11" s="8">
        <f>NORMSDIST((P11-J11*L11/2)/(M11*SQRT(J11+K11)))</f>
        <v>0.99102055311429516</v>
      </c>
      <c r="T11" s="8">
        <f>O11/L11</f>
        <v>2.247513812154696</v>
      </c>
      <c r="U11" s="8">
        <f>P11/L11</f>
        <v>3.0033149171270717</v>
      </c>
    </row>
    <row r="12" spans="1:21" x14ac:dyDescent="0.2">
      <c r="I12" s="3" t="s">
        <v>8</v>
      </c>
      <c r="J12" s="5">
        <v>2</v>
      </c>
      <c r="K12" s="5">
        <v>3</v>
      </c>
      <c r="L12" s="11">
        <f>'CSE Report'!F97</f>
        <v>40.277777777777779</v>
      </c>
      <c r="M12" s="11">
        <f>'CSE Report'!F98</f>
        <v>38.764059508944413</v>
      </c>
      <c r="N12" s="8">
        <v>0.95</v>
      </c>
      <c r="O12" s="4">
        <f>ROUND(J12*L12/2+NORMSINV(N12)*M12*SQRT(J12+K12),0)</f>
        <v>183</v>
      </c>
      <c r="P12" s="4">
        <f>D5</f>
        <v>121</v>
      </c>
      <c r="Q12" s="4">
        <f>P12-O12</f>
        <v>-62</v>
      </c>
      <c r="R12" s="8">
        <f>(P12-J12*L12/2)/(M12*SQRT(J12+K12))</f>
        <v>0.93127695329269833</v>
      </c>
      <c r="S12" s="8">
        <f>NORMSDIST((P12-J12*L12/2)/(M12*SQRT(J12+K12)))</f>
        <v>0.82414483981731823</v>
      </c>
      <c r="T12" s="8">
        <f t="shared" ref="T12:T14" si="1">O12/L12</f>
        <v>4.5434482758620689</v>
      </c>
      <c r="U12" s="8">
        <f>P12/L12</f>
        <v>3.0041379310344829</v>
      </c>
    </row>
    <row r="13" spans="1:21" x14ac:dyDescent="0.2">
      <c r="I13" s="3" t="s">
        <v>6</v>
      </c>
      <c r="J13" s="5">
        <v>5</v>
      </c>
      <c r="K13" s="5">
        <v>5</v>
      </c>
      <c r="L13" s="11">
        <f>'CSE Report'!D97</f>
        <v>18.733333333333334</v>
      </c>
      <c r="M13" s="11">
        <f>'CSE Report'!D98</f>
        <v>14.664640649987248</v>
      </c>
      <c r="N13" s="8">
        <v>0.95</v>
      </c>
      <c r="O13" s="4">
        <f>ROUND(J13*L13/2+NORMSINV(N13)*M13*SQRT(J13+K13),0)</f>
        <v>123</v>
      </c>
      <c r="P13" s="4">
        <f>D6</f>
        <v>56</v>
      </c>
      <c r="Q13" s="4">
        <f>P13-O13</f>
        <v>-67</v>
      </c>
      <c r="R13" s="8">
        <f>(P13-J13*L13/2)/(M13*SQRT(J13+K13))</f>
        <v>0.19766965935326444</v>
      </c>
      <c r="S13" s="8">
        <f>NORMSDIST((P13-J13*L13/2)/(M13*SQRT(J13+K13)))</f>
        <v>0.57834823519153566</v>
      </c>
      <c r="T13" s="8">
        <f t="shared" si="1"/>
        <v>6.5658362989323837</v>
      </c>
      <c r="U13" s="8">
        <f>P13/L13</f>
        <v>2.9893238434163698</v>
      </c>
    </row>
    <row r="14" spans="1:21" x14ac:dyDescent="0.2">
      <c r="I14" s="3" t="s">
        <v>5</v>
      </c>
      <c r="J14" s="5">
        <v>5</v>
      </c>
      <c r="K14" s="5">
        <v>5</v>
      </c>
      <c r="L14" s="11">
        <f>'CSE Report'!C97</f>
        <v>8.6111111111111107</v>
      </c>
      <c r="M14" s="11">
        <f>'CSE Report'!C98</f>
        <v>7.8678615863887558</v>
      </c>
      <c r="N14" s="8">
        <v>0.95</v>
      </c>
      <c r="O14" s="4">
        <f>ROUND(J14*L14/2+NORMSINV(N14)*M14*SQRT(J14+K14),0)</f>
        <v>62</v>
      </c>
      <c r="P14" s="4">
        <f>D7</f>
        <v>26</v>
      </c>
      <c r="Q14" s="4">
        <f>P14-O14</f>
        <v>-36</v>
      </c>
      <c r="R14" s="8">
        <f>(P14-J14*L14/2)/(M14*SQRT(J14+K14))</f>
        <v>0.17974907501052131</v>
      </c>
      <c r="S14" s="8">
        <f>NORMSDIST((P14-J14*L14/2)/(M14*SQRT(J14+K14)))</f>
        <v>0.57132521771927003</v>
      </c>
      <c r="T14" s="8">
        <f t="shared" si="1"/>
        <v>7.2</v>
      </c>
      <c r="U14" s="8">
        <f>P14/L14</f>
        <v>3.0193548387096776</v>
      </c>
    </row>
    <row r="15" spans="1:21" x14ac:dyDescent="0.2">
      <c r="P15" s="14"/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zoomScale="125" zoomScaleNormal="125" zoomScalePageLayoutView="125" workbookViewId="0"/>
  </sheetViews>
  <sheetFormatPr baseColWidth="10" defaultColWidth="10.83203125" defaultRowHeight="16" x14ac:dyDescent="0.2"/>
  <sheetData>
    <row r="1" spans="1:9" x14ac:dyDescent="0.2">
      <c r="A1" t="s">
        <v>20</v>
      </c>
      <c r="C1" s="1"/>
      <c r="D1" s="1"/>
      <c r="E1" s="1"/>
      <c r="F1" s="1"/>
    </row>
    <row r="2" spans="1:9" x14ac:dyDescent="0.2">
      <c r="C2" s="1"/>
      <c r="D2" s="1"/>
      <c r="E2" s="1"/>
      <c r="F2" s="1"/>
    </row>
    <row r="3" spans="1:9" x14ac:dyDescent="0.2">
      <c r="B3" s="3" t="s">
        <v>11</v>
      </c>
      <c r="C3" s="3" t="s">
        <v>5</v>
      </c>
      <c r="D3" s="3" t="s">
        <v>6</v>
      </c>
      <c r="E3" s="3" t="s">
        <v>7</v>
      </c>
      <c r="F3" s="3" t="s">
        <v>8</v>
      </c>
      <c r="H3" s="3" t="s">
        <v>0</v>
      </c>
    </row>
    <row r="4" spans="1:9" x14ac:dyDescent="0.2">
      <c r="B4" s="3">
        <v>1</v>
      </c>
      <c r="C4" s="5">
        <v>26</v>
      </c>
      <c r="D4" s="5">
        <v>42</v>
      </c>
      <c r="E4" s="5">
        <v>322</v>
      </c>
      <c r="F4" s="5">
        <v>12</v>
      </c>
      <c r="H4" s="4">
        <v>653</v>
      </c>
      <c r="I4" s="1">
        <f>SUM(C4:F4)/H4</f>
        <v>0.61562021439509951</v>
      </c>
    </row>
    <row r="5" spans="1:9" x14ac:dyDescent="0.2">
      <c r="B5" s="3">
        <v>2</v>
      </c>
      <c r="C5" s="5">
        <v>18</v>
      </c>
      <c r="D5" s="5">
        <v>92</v>
      </c>
      <c r="E5" s="5">
        <v>414</v>
      </c>
      <c r="F5" s="5">
        <v>192</v>
      </c>
      <c r="H5" s="4">
        <v>989</v>
      </c>
      <c r="I5" s="1">
        <f t="shared" ref="I5:I68" si="0">SUM(C5:F5)/H5</f>
        <v>0.72396359959555101</v>
      </c>
    </row>
    <row r="6" spans="1:9" x14ac:dyDescent="0.2">
      <c r="B6" s="3">
        <v>3</v>
      </c>
      <c r="C6" s="5">
        <v>83</v>
      </c>
      <c r="D6" s="5">
        <v>55</v>
      </c>
      <c r="E6" s="5">
        <v>506</v>
      </c>
      <c r="F6" s="5">
        <v>94</v>
      </c>
      <c r="H6" s="4">
        <v>906</v>
      </c>
      <c r="I6" s="1">
        <f t="shared" si="0"/>
        <v>0.81456953642384111</v>
      </c>
    </row>
    <row r="7" spans="1:9" x14ac:dyDescent="0.2">
      <c r="B7" s="3">
        <v>4</v>
      </c>
      <c r="C7" s="5">
        <v>27</v>
      </c>
      <c r="D7" s="5">
        <v>240</v>
      </c>
      <c r="E7" s="5">
        <v>167</v>
      </c>
      <c r="F7" s="5">
        <v>41</v>
      </c>
      <c r="H7" s="4">
        <v>534</v>
      </c>
      <c r="I7" s="1">
        <f t="shared" si="0"/>
        <v>0.88951310861423216</v>
      </c>
    </row>
    <row r="8" spans="1:9" x14ac:dyDescent="0.2">
      <c r="B8" s="3">
        <v>5</v>
      </c>
      <c r="C8" s="5">
        <v>36</v>
      </c>
      <c r="D8" s="5">
        <v>55</v>
      </c>
      <c r="E8" s="5">
        <v>57</v>
      </c>
      <c r="F8" s="5">
        <v>253</v>
      </c>
      <c r="H8" s="4">
        <v>591</v>
      </c>
      <c r="I8" s="1">
        <f t="shared" si="0"/>
        <v>0.67851099830795258</v>
      </c>
    </row>
    <row r="9" spans="1:9" x14ac:dyDescent="0.2">
      <c r="B9" s="3">
        <v>6</v>
      </c>
      <c r="C9" s="5">
        <v>23</v>
      </c>
      <c r="D9" s="5">
        <v>70</v>
      </c>
      <c r="E9" s="5">
        <v>145</v>
      </c>
      <c r="F9" s="5">
        <v>220</v>
      </c>
      <c r="H9" s="4">
        <v>654</v>
      </c>
      <c r="I9" s="1">
        <f t="shared" si="0"/>
        <v>0.70030581039755346</v>
      </c>
    </row>
    <row r="10" spans="1:9" x14ac:dyDescent="0.2">
      <c r="B10" s="3">
        <v>7</v>
      </c>
      <c r="C10" s="5">
        <v>23</v>
      </c>
      <c r="D10" s="5">
        <v>57</v>
      </c>
      <c r="E10" s="5">
        <v>288</v>
      </c>
      <c r="F10" s="5">
        <v>119</v>
      </c>
      <c r="H10" s="4">
        <v>696</v>
      </c>
      <c r="I10" s="1">
        <f t="shared" si="0"/>
        <v>0.69971264367816088</v>
      </c>
    </row>
    <row r="11" spans="1:9" x14ac:dyDescent="0.2">
      <c r="B11" s="3">
        <v>8</v>
      </c>
      <c r="C11" s="5">
        <v>7</v>
      </c>
      <c r="D11" s="5">
        <v>5</v>
      </c>
      <c r="E11" s="5">
        <v>368</v>
      </c>
      <c r="F11" s="5">
        <v>64</v>
      </c>
      <c r="H11" s="4">
        <v>544</v>
      </c>
      <c r="I11" s="1">
        <f t="shared" si="0"/>
        <v>0.81617647058823528</v>
      </c>
    </row>
    <row r="12" spans="1:9" x14ac:dyDescent="0.2">
      <c r="B12" s="3">
        <v>9</v>
      </c>
      <c r="C12" s="5">
        <v>51</v>
      </c>
      <c r="D12" s="5">
        <v>44</v>
      </c>
      <c r="E12" s="5">
        <v>263</v>
      </c>
      <c r="F12" s="5">
        <v>138</v>
      </c>
      <c r="H12" s="4">
        <v>689</v>
      </c>
      <c r="I12" s="1">
        <f t="shared" si="0"/>
        <v>0.71988388969521044</v>
      </c>
    </row>
    <row r="13" spans="1:9" x14ac:dyDescent="0.2">
      <c r="B13" s="3">
        <v>10</v>
      </c>
      <c r="C13" s="5">
        <v>55</v>
      </c>
      <c r="D13" s="5">
        <v>1</v>
      </c>
      <c r="E13" s="5">
        <v>82</v>
      </c>
      <c r="F13" s="5">
        <v>176</v>
      </c>
      <c r="H13" s="4">
        <v>610</v>
      </c>
      <c r="I13" s="1">
        <f t="shared" si="0"/>
        <v>0.51475409836065578</v>
      </c>
    </row>
    <row r="14" spans="1:9" x14ac:dyDescent="0.2">
      <c r="B14" s="3">
        <v>11</v>
      </c>
      <c r="C14" s="5">
        <v>19</v>
      </c>
      <c r="D14" s="5">
        <v>56</v>
      </c>
      <c r="E14" s="5">
        <v>146</v>
      </c>
      <c r="F14" s="5">
        <v>130</v>
      </c>
      <c r="H14" s="4">
        <v>511</v>
      </c>
      <c r="I14" s="1">
        <f t="shared" si="0"/>
        <v>0.6868884540117417</v>
      </c>
    </row>
    <row r="15" spans="1:9" x14ac:dyDescent="0.2">
      <c r="B15" s="3">
        <v>12</v>
      </c>
      <c r="C15" s="5">
        <v>98</v>
      </c>
      <c r="D15" s="5">
        <v>123</v>
      </c>
      <c r="E15" s="5">
        <v>449</v>
      </c>
      <c r="F15" s="5">
        <v>115</v>
      </c>
      <c r="H15" s="4">
        <v>983</v>
      </c>
      <c r="I15" s="1">
        <f t="shared" si="0"/>
        <v>0.79857578840284837</v>
      </c>
    </row>
    <row r="16" spans="1:9" x14ac:dyDescent="0.2">
      <c r="B16" s="3">
        <v>13</v>
      </c>
      <c r="C16" s="5">
        <v>39</v>
      </c>
      <c r="D16" s="5">
        <v>37</v>
      </c>
      <c r="E16" s="5">
        <v>237</v>
      </c>
      <c r="F16" s="5">
        <v>83</v>
      </c>
      <c r="H16" s="4">
        <v>666</v>
      </c>
      <c r="I16" s="1">
        <f t="shared" si="0"/>
        <v>0.59459459459459463</v>
      </c>
    </row>
    <row r="17" spans="2:9" x14ac:dyDescent="0.2">
      <c r="B17" s="3">
        <v>14</v>
      </c>
      <c r="C17" s="5">
        <v>8</v>
      </c>
      <c r="D17" s="5">
        <v>26</v>
      </c>
      <c r="E17" s="5">
        <v>158</v>
      </c>
      <c r="F17" s="5">
        <v>142</v>
      </c>
      <c r="H17" s="4">
        <v>372</v>
      </c>
      <c r="I17" s="1">
        <f t="shared" si="0"/>
        <v>0.89784946236559138</v>
      </c>
    </row>
    <row r="18" spans="2:9" x14ac:dyDescent="0.2">
      <c r="B18" s="3">
        <v>15</v>
      </c>
      <c r="C18" s="5">
        <v>170</v>
      </c>
      <c r="D18" s="5">
        <v>205</v>
      </c>
      <c r="E18" s="5">
        <v>187</v>
      </c>
      <c r="F18" s="5">
        <v>55</v>
      </c>
      <c r="H18" s="4">
        <v>844</v>
      </c>
      <c r="I18" s="1">
        <f t="shared" si="0"/>
        <v>0.73104265402843605</v>
      </c>
    </row>
    <row r="19" spans="2:9" x14ac:dyDescent="0.2">
      <c r="B19" s="3">
        <v>16</v>
      </c>
      <c r="C19" s="5">
        <v>68</v>
      </c>
      <c r="D19" s="5">
        <v>52</v>
      </c>
      <c r="E19" s="5">
        <v>142</v>
      </c>
      <c r="F19" s="5">
        <v>318</v>
      </c>
      <c r="H19" s="4">
        <v>908</v>
      </c>
      <c r="I19" s="1">
        <f t="shared" si="0"/>
        <v>0.63876651982378851</v>
      </c>
    </row>
    <row r="20" spans="2:9" x14ac:dyDescent="0.2">
      <c r="B20" s="3">
        <v>17</v>
      </c>
      <c r="C20" s="5">
        <v>28</v>
      </c>
      <c r="D20" s="5">
        <v>64</v>
      </c>
      <c r="E20" s="5">
        <v>342</v>
      </c>
      <c r="F20" s="5">
        <v>31</v>
      </c>
      <c r="H20" s="4">
        <v>711</v>
      </c>
      <c r="I20" s="1">
        <f t="shared" si="0"/>
        <v>0.65400843881856541</v>
      </c>
    </row>
    <row r="21" spans="2:9" x14ac:dyDescent="0.2">
      <c r="B21" s="3">
        <v>18</v>
      </c>
      <c r="C21" s="5">
        <v>21</v>
      </c>
      <c r="D21" s="5">
        <v>61</v>
      </c>
      <c r="E21" s="5">
        <v>454</v>
      </c>
      <c r="F21" s="5">
        <v>176</v>
      </c>
      <c r="H21" s="4">
        <v>951</v>
      </c>
      <c r="I21" s="1">
        <f t="shared" si="0"/>
        <v>0.74868559411146163</v>
      </c>
    </row>
    <row r="22" spans="2:9" x14ac:dyDescent="0.2">
      <c r="B22" s="3">
        <v>19</v>
      </c>
      <c r="C22" s="5">
        <v>35</v>
      </c>
      <c r="D22" s="5">
        <v>114</v>
      </c>
      <c r="E22" s="5">
        <v>482</v>
      </c>
      <c r="F22" s="5">
        <v>238</v>
      </c>
      <c r="H22" s="4">
        <v>1152</v>
      </c>
      <c r="I22" s="1">
        <f t="shared" si="0"/>
        <v>0.75434027777777779</v>
      </c>
    </row>
    <row r="23" spans="2:9" x14ac:dyDescent="0.2">
      <c r="B23" s="3">
        <v>20</v>
      </c>
      <c r="C23" s="5">
        <v>26</v>
      </c>
      <c r="D23" s="5">
        <v>119</v>
      </c>
      <c r="E23" s="5">
        <v>334</v>
      </c>
      <c r="F23" s="5">
        <v>324</v>
      </c>
      <c r="H23" s="4">
        <v>1120</v>
      </c>
      <c r="I23" s="1">
        <f t="shared" si="0"/>
        <v>0.71696428571428572</v>
      </c>
    </row>
    <row r="24" spans="2:9" x14ac:dyDescent="0.2">
      <c r="B24" s="3">
        <v>21</v>
      </c>
      <c r="C24" s="5">
        <v>44</v>
      </c>
      <c r="D24" s="5">
        <v>2</v>
      </c>
      <c r="E24" s="5">
        <v>116</v>
      </c>
      <c r="F24" s="5">
        <v>115</v>
      </c>
      <c r="H24" s="4">
        <v>436</v>
      </c>
      <c r="I24" s="1">
        <f t="shared" si="0"/>
        <v>0.63532110091743121</v>
      </c>
    </row>
    <row r="25" spans="2:9" x14ac:dyDescent="0.2">
      <c r="B25" s="3">
        <v>22</v>
      </c>
      <c r="C25" s="5">
        <v>80</v>
      </c>
      <c r="D25" s="5">
        <v>65</v>
      </c>
      <c r="E25" s="5">
        <v>175</v>
      </c>
      <c r="F25" s="5">
        <v>186</v>
      </c>
      <c r="H25" s="4">
        <v>729</v>
      </c>
      <c r="I25" s="1">
        <f t="shared" si="0"/>
        <v>0.69410150891632372</v>
      </c>
    </row>
    <row r="26" spans="2:9" x14ac:dyDescent="0.2">
      <c r="B26" s="3">
        <v>23</v>
      </c>
      <c r="C26" s="5">
        <v>71</v>
      </c>
      <c r="D26" s="5">
        <v>64</v>
      </c>
      <c r="E26" s="5">
        <v>179</v>
      </c>
      <c r="F26" s="5">
        <v>240</v>
      </c>
      <c r="H26" s="4">
        <v>620</v>
      </c>
      <c r="I26" s="1">
        <f t="shared" si="0"/>
        <v>0.8935483870967742</v>
      </c>
    </row>
    <row r="27" spans="2:9" x14ac:dyDescent="0.2">
      <c r="B27" s="3">
        <v>24</v>
      </c>
      <c r="C27" s="5">
        <v>67</v>
      </c>
      <c r="D27" s="5">
        <v>26</v>
      </c>
      <c r="E27" s="5">
        <v>236</v>
      </c>
      <c r="F27" s="5">
        <v>253</v>
      </c>
      <c r="H27" s="4">
        <v>848</v>
      </c>
      <c r="I27" s="1">
        <f t="shared" si="0"/>
        <v>0.68632075471698117</v>
      </c>
    </row>
    <row r="28" spans="2:9" x14ac:dyDescent="0.2">
      <c r="B28" s="3">
        <v>25</v>
      </c>
      <c r="C28" s="5">
        <v>76</v>
      </c>
      <c r="D28" s="5">
        <v>117</v>
      </c>
      <c r="E28" s="5">
        <v>158</v>
      </c>
      <c r="F28" s="5">
        <v>173</v>
      </c>
      <c r="H28" s="4">
        <v>537</v>
      </c>
      <c r="I28" s="1">
        <f t="shared" si="0"/>
        <v>0.97579143389199252</v>
      </c>
    </row>
    <row r="29" spans="2:9" x14ac:dyDescent="0.2">
      <c r="B29" s="3">
        <v>26</v>
      </c>
      <c r="C29" s="5">
        <v>37</v>
      </c>
      <c r="D29" s="5">
        <v>98</v>
      </c>
      <c r="E29" s="5">
        <v>98</v>
      </c>
      <c r="F29" s="5">
        <v>103</v>
      </c>
      <c r="H29" s="4">
        <v>564</v>
      </c>
      <c r="I29" s="1">
        <f t="shared" si="0"/>
        <v>0.5957446808510638</v>
      </c>
    </row>
    <row r="30" spans="2:9" x14ac:dyDescent="0.2">
      <c r="B30" s="3">
        <v>27</v>
      </c>
      <c r="C30" s="5">
        <v>39</v>
      </c>
      <c r="D30" s="5">
        <v>37</v>
      </c>
      <c r="E30" s="5">
        <v>316</v>
      </c>
      <c r="F30" s="5">
        <v>44</v>
      </c>
      <c r="H30" s="4">
        <v>720</v>
      </c>
      <c r="I30" s="1">
        <f t="shared" si="0"/>
        <v>0.60555555555555551</v>
      </c>
    </row>
    <row r="31" spans="2:9" x14ac:dyDescent="0.2">
      <c r="B31" s="3">
        <v>28</v>
      </c>
      <c r="C31" s="5">
        <v>42</v>
      </c>
      <c r="D31" s="5">
        <v>220</v>
      </c>
      <c r="E31" s="5">
        <v>126</v>
      </c>
      <c r="F31" s="5">
        <v>271</v>
      </c>
      <c r="H31" s="4">
        <v>920</v>
      </c>
      <c r="I31" s="1">
        <f t="shared" si="0"/>
        <v>0.71630434782608698</v>
      </c>
    </row>
    <row r="32" spans="2:9" x14ac:dyDescent="0.2">
      <c r="B32" s="3">
        <v>29</v>
      </c>
      <c r="C32" s="5">
        <v>106</v>
      </c>
      <c r="D32" s="5">
        <v>80</v>
      </c>
      <c r="E32" s="5">
        <v>360</v>
      </c>
      <c r="F32" s="5">
        <v>192</v>
      </c>
      <c r="H32" s="4">
        <v>776</v>
      </c>
      <c r="I32" s="1">
        <f t="shared" si="0"/>
        <v>0.9510309278350515</v>
      </c>
    </row>
    <row r="33" spans="2:9" x14ac:dyDescent="0.2">
      <c r="B33" s="3">
        <v>30</v>
      </c>
      <c r="C33" s="5">
        <v>37</v>
      </c>
      <c r="D33" s="5">
        <v>179</v>
      </c>
      <c r="E33" s="5">
        <v>59</v>
      </c>
      <c r="F33" s="5">
        <v>31</v>
      </c>
      <c r="H33" s="4">
        <v>811</v>
      </c>
      <c r="I33" s="1">
        <f t="shared" si="0"/>
        <v>0.37731196054254007</v>
      </c>
    </row>
    <row r="34" spans="2:9" x14ac:dyDescent="0.2">
      <c r="B34" s="3">
        <v>31</v>
      </c>
      <c r="C34" s="5">
        <v>14</v>
      </c>
      <c r="D34" s="5">
        <v>45</v>
      </c>
      <c r="E34" s="5">
        <v>246</v>
      </c>
      <c r="F34" s="5">
        <v>219</v>
      </c>
      <c r="H34" s="4">
        <v>605</v>
      </c>
      <c r="I34" s="1">
        <f t="shared" si="0"/>
        <v>0.86611570247933889</v>
      </c>
    </row>
    <row r="35" spans="2:9" x14ac:dyDescent="0.2">
      <c r="B35" s="3">
        <v>32</v>
      </c>
      <c r="C35" s="5">
        <v>43</v>
      </c>
      <c r="D35" s="5">
        <v>13</v>
      </c>
      <c r="E35" s="5">
        <v>236</v>
      </c>
      <c r="F35" s="5">
        <v>247</v>
      </c>
      <c r="H35" s="4">
        <v>1003</v>
      </c>
      <c r="I35" s="1">
        <f t="shared" si="0"/>
        <v>0.53738783649052846</v>
      </c>
    </row>
    <row r="36" spans="2:9" x14ac:dyDescent="0.2">
      <c r="B36" s="3">
        <v>33</v>
      </c>
      <c r="C36" s="5">
        <v>25</v>
      </c>
      <c r="D36" s="5">
        <v>28</v>
      </c>
      <c r="E36" s="5">
        <v>148</v>
      </c>
      <c r="F36" s="5">
        <v>77</v>
      </c>
      <c r="H36" s="4">
        <v>341</v>
      </c>
      <c r="I36" s="1">
        <f t="shared" si="0"/>
        <v>0.81524926686217014</v>
      </c>
    </row>
    <row r="37" spans="2:9" x14ac:dyDescent="0.2">
      <c r="B37" s="3">
        <v>34</v>
      </c>
      <c r="C37" s="5">
        <v>20</v>
      </c>
      <c r="D37" s="5">
        <v>1</v>
      </c>
      <c r="E37" s="5">
        <v>191</v>
      </c>
      <c r="F37" s="5">
        <v>140</v>
      </c>
      <c r="H37" s="4">
        <v>544</v>
      </c>
      <c r="I37" s="1">
        <f t="shared" si="0"/>
        <v>0.6470588235294118</v>
      </c>
    </row>
    <row r="38" spans="2:9" x14ac:dyDescent="0.2">
      <c r="B38" s="3">
        <v>35</v>
      </c>
      <c r="C38" s="5">
        <v>83</v>
      </c>
      <c r="D38" s="5">
        <v>79</v>
      </c>
      <c r="E38" s="5">
        <v>425</v>
      </c>
      <c r="F38" s="5">
        <v>214</v>
      </c>
      <c r="H38" s="4">
        <v>819</v>
      </c>
      <c r="I38" s="1">
        <f t="shared" si="0"/>
        <v>0.97802197802197799</v>
      </c>
    </row>
    <row r="39" spans="2:9" x14ac:dyDescent="0.2">
      <c r="B39" s="3">
        <v>36</v>
      </c>
      <c r="C39" s="5">
        <v>38</v>
      </c>
      <c r="D39" s="5">
        <v>30</v>
      </c>
      <c r="E39" s="5">
        <v>134</v>
      </c>
      <c r="F39" s="5">
        <v>134</v>
      </c>
      <c r="H39" s="4">
        <v>447</v>
      </c>
      <c r="I39" s="1">
        <f t="shared" si="0"/>
        <v>0.75167785234899331</v>
      </c>
    </row>
    <row r="40" spans="2:9" x14ac:dyDescent="0.2">
      <c r="B40" s="3">
        <v>37</v>
      </c>
      <c r="C40" s="5">
        <v>7</v>
      </c>
      <c r="D40" s="5">
        <v>98</v>
      </c>
      <c r="E40" s="5">
        <v>70</v>
      </c>
      <c r="F40" s="5">
        <v>232</v>
      </c>
      <c r="H40" s="4">
        <v>523</v>
      </c>
      <c r="I40" s="1">
        <f t="shared" si="0"/>
        <v>0.77820267686424471</v>
      </c>
    </row>
    <row r="41" spans="2:9" x14ac:dyDescent="0.2">
      <c r="B41" s="3">
        <v>38</v>
      </c>
      <c r="C41" s="5">
        <v>103</v>
      </c>
      <c r="D41" s="5">
        <v>77</v>
      </c>
      <c r="E41" s="5">
        <v>423</v>
      </c>
      <c r="F41" s="5">
        <v>145</v>
      </c>
      <c r="H41" s="4">
        <v>1014</v>
      </c>
      <c r="I41" s="1">
        <f t="shared" si="0"/>
        <v>0.73767258382642997</v>
      </c>
    </row>
    <row r="42" spans="2:9" x14ac:dyDescent="0.2">
      <c r="B42" s="3">
        <v>39</v>
      </c>
      <c r="C42" s="5">
        <v>51</v>
      </c>
      <c r="D42" s="5">
        <v>37</v>
      </c>
      <c r="E42" s="5">
        <v>264</v>
      </c>
      <c r="F42" s="5">
        <v>96</v>
      </c>
      <c r="H42" s="4">
        <v>541</v>
      </c>
      <c r="I42" s="1">
        <f t="shared" si="0"/>
        <v>0.82809611829944552</v>
      </c>
    </row>
    <row r="43" spans="2:9" x14ac:dyDescent="0.2">
      <c r="B43" s="3">
        <v>40</v>
      </c>
      <c r="C43" s="5">
        <v>38</v>
      </c>
      <c r="D43" s="5">
        <v>114</v>
      </c>
      <c r="E43" s="5">
        <v>461</v>
      </c>
      <c r="F43" s="5">
        <v>161</v>
      </c>
      <c r="H43" s="4">
        <v>891</v>
      </c>
      <c r="I43" s="1">
        <f t="shared" si="0"/>
        <v>0.86868686868686873</v>
      </c>
    </row>
    <row r="44" spans="2:9" x14ac:dyDescent="0.2">
      <c r="B44" s="3">
        <v>41</v>
      </c>
      <c r="C44" s="5">
        <v>34</v>
      </c>
      <c r="D44" s="5">
        <v>75</v>
      </c>
      <c r="E44" s="5">
        <v>227</v>
      </c>
      <c r="F44" s="5">
        <v>115</v>
      </c>
      <c r="H44" s="4">
        <v>694</v>
      </c>
      <c r="I44" s="1">
        <f t="shared" si="0"/>
        <v>0.64985590778097979</v>
      </c>
    </row>
    <row r="45" spans="2:9" x14ac:dyDescent="0.2">
      <c r="B45" s="3">
        <v>42</v>
      </c>
      <c r="C45" s="5">
        <v>82</v>
      </c>
      <c r="D45" s="5">
        <v>261</v>
      </c>
      <c r="E45" s="5">
        <v>373</v>
      </c>
      <c r="F45" s="5">
        <v>242</v>
      </c>
      <c r="H45" s="4">
        <v>1018</v>
      </c>
      <c r="I45" s="1">
        <f t="shared" si="0"/>
        <v>0.94106090373280948</v>
      </c>
    </row>
    <row r="46" spans="2:9" x14ac:dyDescent="0.2">
      <c r="B46" s="3">
        <v>43</v>
      </c>
      <c r="C46" s="5">
        <v>59</v>
      </c>
      <c r="D46" s="5">
        <v>138</v>
      </c>
      <c r="E46" s="5">
        <v>47</v>
      </c>
      <c r="F46" s="5">
        <v>136</v>
      </c>
      <c r="H46" s="4">
        <v>842</v>
      </c>
      <c r="I46" s="1">
        <f t="shared" si="0"/>
        <v>0.45130641330166271</v>
      </c>
    </row>
    <row r="47" spans="2:9" x14ac:dyDescent="0.2">
      <c r="B47" s="3">
        <v>44</v>
      </c>
      <c r="C47" s="5">
        <v>51</v>
      </c>
      <c r="D47" s="5">
        <v>218</v>
      </c>
      <c r="E47" s="5">
        <v>0</v>
      </c>
      <c r="F47" s="5">
        <v>292</v>
      </c>
      <c r="H47" s="4">
        <v>1004</v>
      </c>
      <c r="I47" s="1">
        <f t="shared" si="0"/>
        <v>0.55876494023904377</v>
      </c>
    </row>
    <row r="48" spans="2:9" x14ac:dyDescent="0.2">
      <c r="B48" s="3">
        <v>45</v>
      </c>
      <c r="C48" s="5">
        <v>49</v>
      </c>
      <c r="D48" s="5">
        <v>283</v>
      </c>
      <c r="E48" s="5">
        <v>757</v>
      </c>
      <c r="F48" s="5">
        <v>296</v>
      </c>
      <c r="H48" s="4">
        <v>1415</v>
      </c>
      <c r="I48" s="1">
        <f t="shared" si="0"/>
        <v>0.97879858657243812</v>
      </c>
    </row>
    <row r="49" spans="2:9" x14ac:dyDescent="0.2">
      <c r="B49" s="3">
        <v>46</v>
      </c>
      <c r="C49" s="5">
        <v>87</v>
      </c>
      <c r="D49" s="5">
        <v>131</v>
      </c>
      <c r="E49" s="5">
        <v>111</v>
      </c>
      <c r="F49" s="5">
        <v>231</v>
      </c>
      <c r="H49" s="4">
        <v>770</v>
      </c>
      <c r="I49" s="1">
        <f t="shared" si="0"/>
        <v>0.72727272727272729</v>
      </c>
    </row>
    <row r="50" spans="2:9" x14ac:dyDescent="0.2">
      <c r="B50" s="3">
        <v>47</v>
      </c>
      <c r="C50" s="5">
        <v>34</v>
      </c>
      <c r="D50" s="5">
        <v>138</v>
      </c>
      <c r="E50" s="5">
        <v>499</v>
      </c>
      <c r="F50" s="5">
        <v>60</v>
      </c>
      <c r="H50" s="4">
        <v>999</v>
      </c>
      <c r="I50" s="1">
        <f t="shared" si="0"/>
        <v>0.73173173173173178</v>
      </c>
    </row>
    <row r="51" spans="2:9" x14ac:dyDescent="0.2">
      <c r="B51" s="3">
        <v>48</v>
      </c>
      <c r="C51" s="5">
        <v>54</v>
      </c>
      <c r="D51" s="5">
        <v>40</v>
      </c>
      <c r="E51" s="5">
        <v>195</v>
      </c>
      <c r="F51" s="5">
        <v>57</v>
      </c>
      <c r="H51" s="4">
        <v>933</v>
      </c>
      <c r="I51" s="1">
        <f t="shared" si="0"/>
        <v>0.37084673097534832</v>
      </c>
    </row>
    <row r="52" spans="2:9" x14ac:dyDescent="0.2">
      <c r="B52" s="3">
        <v>49</v>
      </c>
      <c r="C52" s="5">
        <v>2</v>
      </c>
      <c r="D52" s="5">
        <v>5</v>
      </c>
      <c r="E52" s="5">
        <v>71</v>
      </c>
      <c r="F52" s="5">
        <v>75</v>
      </c>
      <c r="H52" s="4">
        <v>304</v>
      </c>
      <c r="I52" s="1">
        <f t="shared" si="0"/>
        <v>0.50328947368421051</v>
      </c>
    </row>
    <row r="53" spans="2:9" x14ac:dyDescent="0.2">
      <c r="B53" s="3">
        <v>50</v>
      </c>
      <c r="C53" s="5">
        <v>45</v>
      </c>
      <c r="D53" s="5">
        <v>3</v>
      </c>
      <c r="E53" s="5">
        <v>303</v>
      </c>
      <c r="F53" s="5">
        <v>182</v>
      </c>
      <c r="H53" s="4">
        <v>762</v>
      </c>
      <c r="I53" s="1">
        <f t="shared" si="0"/>
        <v>0.69947506561679795</v>
      </c>
    </row>
    <row r="54" spans="2:9" x14ac:dyDescent="0.2">
      <c r="B54" s="3">
        <v>51</v>
      </c>
      <c r="C54" s="5">
        <v>53</v>
      </c>
      <c r="D54" s="5">
        <v>100</v>
      </c>
      <c r="E54" s="5">
        <v>430</v>
      </c>
      <c r="F54" s="5">
        <v>69</v>
      </c>
      <c r="H54" s="4">
        <v>789</v>
      </c>
      <c r="I54" s="1">
        <f t="shared" si="0"/>
        <v>0.82636248415716096</v>
      </c>
    </row>
    <row r="55" spans="2:9" x14ac:dyDescent="0.2">
      <c r="B55" s="3">
        <v>52</v>
      </c>
      <c r="C55" s="5">
        <v>162</v>
      </c>
      <c r="D55" s="5">
        <v>49</v>
      </c>
      <c r="E55" s="5">
        <v>280</v>
      </c>
      <c r="F55" s="5">
        <v>414</v>
      </c>
      <c r="H55" s="4">
        <v>1114</v>
      </c>
      <c r="I55" s="1">
        <f t="shared" si="0"/>
        <v>0.81238779174147213</v>
      </c>
    </row>
    <row r="56" spans="2:9" x14ac:dyDescent="0.2">
      <c r="B56" s="3">
        <v>53</v>
      </c>
      <c r="C56" s="5">
        <v>20</v>
      </c>
      <c r="D56" s="5">
        <v>36</v>
      </c>
      <c r="E56" s="5">
        <v>283</v>
      </c>
      <c r="F56" s="5">
        <v>180</v>
      </c>
      <c r="H56" s="4">
        <v>631</v>
      </c>
      <c r="I56" s="1">
        <f t="shared" si="0"/>
        <v>0.82250396196513476</v>
      </c>
    </row>
    <row r="57" spans="2:9" x14ac:dyDescent="0.2">
      <c r="B57" s="3">
        <v>54</v>
      </c>
      <c r="C57" s="5">
        <v>21</v>
      </c>
      <c r="D57" s="5">
        <v>112</v>
      </c>
      <c r="E57" s="5">
        <v>59</v>
      </c>
      <c r="F57" s="5">
        <v>58</v>
      </c>
      <c r="H57" s="4">
        <v>651</v>
      </c>
      <c r="I57" s="1">
        <f t="shared" si="0"/>
        <v>0.38402457757296465</v>
      </c>
    </row>
    <row r="58" spans="2:9" x14ac:dyDescent="0.2">
      <c r="B58" s="3">
        <v>55</v>
      </c>
      <c r="C58" s="5">
        <v>11</v>
      </c>
      <c r="D58" s="5">
        <v>49</v>
      </c>
      <c r="E58" s="5">
        <v>306</v>
      </c>
      <c r="F58" s="5">
        <v>169</v>
      </c>
      <c r="H58" s="4">
        <v>785</v>
      </c>
      <c r="I58" s="1">
        <f t="shared" si="0"/>
        <v>0.68152866242038213</v>
      </c>
    </row>
    <row r="59" spans="2:9" x14ac:dyDescent="0.2">
      <c r="B59" s="3">
        <v>56</v>
      </c>
      <c r="C59" s="5">
        <v>93</v>
      </c>
      <c r="D59" s="5">
        <v>102</v>
      </c>
      <c r="E59" s="5">
        <v>512</v>
      </c>
      <c r="F59" s="5">
        <v>164</v>
      </c>
      <c r="H59" s="4">
        <v>1059</v>
      </c>
      <c r="I59" s="1">
        <f t="shared" si="0"/>
        <v>0.8224740321057602</v>
      </c>
    </row>
    <row r="60" spans="2:9" x14ac:dyDescent="0.2">
      <c r="B60" s="3">
        <v>57</v>
      </c>
      <c r="C60" s="5">
        <v>32</v>
      </c>
      <c r="D60" s="5">
        <v>0</v>
      </c>
      <c r="E60" s="5">
        <v>383</v>
      </c>
      <c r="F60" s="5">
        <v>32</v>
      </c>
      <c r="H60" s="4">
        <v>745</v>
      </c>
      <c r="I60" s="1">
        <f t="shared" si="0"/>
        <v>0.6</v>
      </c>
    </row>
    <row r="61" spans="2:9" x14ac:dyDescent="0.2">
      <c r="B61" s="3">
        <v>58</v>
      </c>
      <c r="C61" s="5">
        <v>36</v>
      </c>
      <c r="D61" s="5">
        <v>87</v>
      </c>
      <c r="E61" s="5">
        <v>223</v>
      </c>
      <c r="F61" s="5">
        <v>214</v>
      </c>
      <c r="H61" s="4">
        <v>750</v>
      </c>
      <c r="I61" s="1">
        <f t="shared" si="0"/>
        <v>0.7466666666666667</v>
      </c>
    </row>
    <row r="62" spans="2:9" x14ac:dyDescent="0.2">
      <c r="B62" s="3">
        <v>59</v>
      </c>
      <c r="C62" s="5">
        <v>45</v>
      </c>
      <c r="D62" s="5">
        <v>43</v>
      </c>
      <c r="E62" s="5">
        <v>276</v>
      </c>
      <c r="F62" s="5">
        <v>140</v>
      </c>
      <c r="H62" s="4">
        <v>590</v>
      </c>
      <c r="I62" s="1">
        <f t="shared" si="0"/>
        <v>0.85423728813559319</v>
      </c>
    </row>
    <row r="63" spans="2:9" x14ac:dyDescent="0.2">
      <c r="B63" s="3">
        <v>60</v>
      </c>
      <c r="C63" s="5">
        <v>93</v>
      </c>
      <c r="D63" s="5">
        <v>121</v>
      </c>
      <c r="E63" s="5">
        <v>492</v>
      </c>
      <c r="F63" s="5">
        <v>38</v>
      </c>
      <c r="H63" s="4">
        <v>844</v>
      </c>
      <c r="I63" s="1">
        <f t="shared" si="0"/>
        <v>0.88151658767772512</v>
      </c>
    </row>
    <row r="64" spans="2:9" x14ac:dyDescent="0.2">
      <c r="B64" s="3">
        <v>61</v>
      </c>
      <c r="C64" s="5">
        <v>27</v>
      </c>
      <c r="D64" s="5">
        <v>64</v>
      </c>
      <c r="E64" s="5">
        <v>376</v>
      </c>
      <c r="F64" s="5">
        <v>218</v>
      </c>
      <c r="H64" s="4">
        <v>926</v>
      </c>
      <c r="I64" s="1">
        <f t="shared" si="0"/>
        <v>0.73974082073434122</v>
      </c>
    </row>
    <row r="65" spans="2:9" x14ac:dyDescent="0.2">
      <c r="B65" s="3">
        <v>62</v>
      </c>
      <c r="C65" s="5">
        <v>54</v>
      </c>
      <c r="D65" s="5">
        <v>119</v>
      </c>
      <c r="E65" s="5">
        <v>237</v>
      </c>
      <c r="F65" s="5">
        <v>288</v>
      </c>
      <c r="H65" s="4">
        <v>898</v>
      </c>
      <c r="I65" s="1">
        <f t="shared" si="0"/>
        <v>0.77728285077950998</v>
      </c>
    </row>
    <row r="66" spans="2:9" x14ac:dyDescent="0.2">
      <c r="B66" s="3">
        <v>63</v>
      </c>
      <c r="C66" s="5">
        <v>36</v>
      </c>
      <c r="D66" s="5">
        <v>24</v>
      </c>
      <c r="E66" s="5">
        <v>169</v>
      </c>
      <c r="F66" s="5">
        <v>195</v>
      </c>
      <c r="H66" s="4">
        <v>686</v>
      </c>
      <c r="I66" s="1">
        <f t="shared" si="0"/>
        <v>0.61807580174927113</v>
      </c>
    </row>
    <row r="67" spans="2:9" x14ac:dyDescent="0.2">
      <c r="B67" s="3">
        <v>64</v>
      </c>
      <c r="C67" s="5">
        <v>11</v>
      </c>
      <c r="D67" s="5">
        <v>68</v>
      </c>
      <c r="E67" s="5">
        <v>26</v>
      </c>
      <c r="F67" s="5">
        <v>186</v>
      </c>
      <c r="H67" s="4">
        <v>577</v>
      </c>
      <c r="I67" s="1">
        <f t="shared" si="0"/>
        <v>0.50433275563258229</v>
      </c>
    </row>
    <row r="68" spans="2:9" x14ac:dyDescent="0.2">
      <c r="B68" s="3">
        <v>65</v>
      </c>
      <c r="C68" s="5">
        <v>13</v>
      </c>
      <c r="D68" s="5">
        <v>53</v>
      </c>
      <c r="E68" s="5">
        <v>274</v>
      </c>
      <c r="F68" s="5">
        <v>106</v>
      </c>
      <c r="H68" s="4">
        <v>469</v>
      </c>
      <c r="I68" s="1">
        <f t="shared" si="0"/>
        <v>0.95095948827292109</v>
      </c>
    </row>
    <row r="69" spans="2:9" x14ac:dyDescent="0.2">
      <c r="B69" s="3">
        <v>66</v>
      </c>
      <c r="C69" s="5">
        <v>15</v>
      </c>
      <c r="D69" s="5">
        <v>163</v>
      </c>
      <c r="E69" s="5">
        <v>241</v>
      </c>
      <c r="F69" s="5">
        <v>90</v>
      </c>
      <c r="H69" s="4">
        <v>622</v>
      </c>
      <c r="I69" s="1">
        <f t="shared" ref="I69:I93" si="1">SUM(C69:F69)/H69</f>
        <v>0.81832797427652737</v>
      </c>
    </row>
    <row r="70" spans="2:9" x14ac:dyDescent="0.2">
      <c r="B70" s="3">
        <v>67</v>
      </c>
      <c r="C70" s="5">
        <v>64</v>
      </c>
      <c r="D70" s="5">
        <v>152</v>
      </c>
      <c r="E70" s="5">
        <v>438</v>
      </c>
      <c r="F70" s="5">
        <v>103</v>
      </c>
      <c r="H70" s="4">
        <v>1119</v>
      </c>
      <c r="I70" s="1">
        <f t="shared" si="1"/>
        <v>0.67649687220732801</v>
      </c>
    </row>
    <row r="71" spans="2:9" x14ac:dyDescent="0.2">
      <c r="B71" s="3">
        <v>68</v>
      </c>
      <c r="C71" s="5">
        <v>45</v>
      </c>
      <c r="D71" s="5">
        <v>70</v>
      </c>
      <c r="E71" s="5">
        <v>278</v>
      </c>
      <c r="F71" s="5">
        <v>145</v>
      </c>
      <c r="H71" s="4">
        <v>632</v>
      </c>
      <c r="I71" s="1">
        <f t="shared" si="1"/>
        <v>0.85126582278481011</v>
      </c>
    </row>
    <row r="72" spans="2:9" x14ac:dyDescent="0.2">
      <c r="B72" s="3">
        <v>69</v>
      </c>
      <c r="C72" s="5">
        <v>111</v>
      </c>
      <c r="D72" s="5">
        <v>157</v>
      </c>
      <c r="E72" s="5">
        <v>114</v>
      </c>
      <c r="F72" s="5">
        <v>60</v>
      </c>
      <c r="H72" s="4">
        <v>905</v>
      </c>
      <c r="I72" s="1">
        <f t="shared" si="1"/>
        <v>0.48839779005524864</v>
      </c>
    </row>
    <row r="73" spans="2:9" x14ac:dyDescent="0.2">
      <c r="B73" s="3">
        <v>70</v>
      </c>
      <c r="C73" s="5">
        <v>26</v>
      </c>
      <c r="D73" s="5">
        <v>85</v>
      </c>
      <c r="E73" s="5">
        <v>132</v>
      </c>
      <c r="F73" s="5">
        <v>242</v>
      </c>
      <c r="H73" s="4">
        <v>709</v>
      </c>
      <c r="I73" s="1">
        <f t="shared" si="1"/>
        <v>0.68406205923836394</v>
      </c>
    </row>
    <row r="74" spans="2:9" x14ac:dyDescent="0.2">
      <c r="B74" s="3">
        <v>71</v>
      </c>
      <c r="C74" s="5">
        <v>54</v>
      </c>
      <c r="D74" s="5">
        <v>80</v>
      </c>
      <c r="E74" s="5">
        <v>215</v>
      </c>
      <c r="F74" s="5">
        <v>231</v>
      </c>
      <c r="H74" s="4">
        <v>937</v>
      </c>
      <c r="I74" s="1">
        <f t="shared" si="1"/>
        <v>0.6189967982924226</v>
      </c>
    </row>
    <row r="75" spans="2:9" x14ac:dyDescent="0.2">
      <c r="B75" s="3">
        <v>72</v>
      </c>
      <c r="C75" s="5">
        <v>27</v>
      </c>
      <c r="D75" s="5">
        <v>125</v>
      </c>
      <c r="E75" s="5">
        <v>158</v>
      </c>
      <c r="F75" s="5">
        <v>25</v>
      </c>
      <c r="H75" s="4">
        <v>691</v>
      </c>
      <c r="I75" s="1">
        <f t="shared" si="1"/>
        <v>0.48480463096960924</v>
      </c>
    </row>
    <row r="76" spans="2:9" x14ac:dyDescent="0.2">
      <c r="B76" s="3">
        <v>73</v>
      </c>
      <c r="C76" s="5">
        <v>20</v>
      </c>
      <c r="D76" s="5">
        <v>20</v>
      </c>
      <c r="E76" s="5">
        <v>213</v>
      </c>
      <c r="F76" s="5">
        <v>182</v>
      </c>
      <c r="H76" s="4">
        <v>596</v>
      </c>
      <c r="I76" s="1">
        <f t="shared" si="1"/>
        <v>0.72986577181208057</v>
      </c>
    </row>
    <row r="77" spans="2:9" x14ac:dyDescent="0.2">
      <c r="B77" s="3">
        <v>74</v>
      </c>
      <c r="C77" s="5">
        <v>82</v>
      </c>
      <c r="D77" s="5">
        <v>70</v>
      </c>
      <c r="E77" s="5">
        <v>344</v>
      </c>
      <c r="F77" s="5">
        <v>231</v>
      </c>
      <c r="H77" s="4">
        <v>879</v>
      </c>
      <c r="I77" s="1">
        <f t="shared" si="1"/>
        <v>0.82707622298065986</v>
      </c>
    </row>
    <row r="78" spans="2:9" x14ac:dyDescent="0.2">
      <c r="B78" s="3">
        <v>75</v>
      </c>
      <c r="C78" s="5">
        <v>60</v>
      </c>
      <c r="D78" s="5">
        <v>101</v>
      </c>
      <c r="E78" s="5">
        <v>162</v>
      </c>
      <c r="F78" s="5">
        <v>78</v>
      </c>
      <c r="H78" s="4">
        <v>489</v>
      </c>
      <c r="I78" s="1">
        <f t="shared" si="1"/>
        <v>0.82004089979550099</v>
      </c>
    </row>
    <row r="79" spans="2:9" x14ac:dyDescent="0.2">
      <c r="B79" s="3">
        <v>76</v>
      </c>
      <c r="C79" s="5">
        <v>34</v>
      </c>
      <c r="D79" s="5">
        <v>123</v>
      </c>
      <c r="E79" s="5">
        <v>193</v>
      </c>
      <c r="F79" s="5">
        <v>91</v>
      </c>
      <c r="H79" s="4">
        <v>1100</v>
      </c>
      <c r="I79" s="1">
        <f t="shared" si="1"/>
        <v>0.40090909090909088</v>
      </c>
    </row>
    <row r="80" spans="2:9" x14ac:dyDescent="0.2">
      <c r="B80" s="3">
        <v>77</v>
      </c>
      <c r="C80" s="5">
        <v>97</v>
      </c>
      <c r="D80" s="5">
        <v>107</v>
      </c>
      <c r="E80" s="5">
        <v>409</v>
      </c>
      <c r="F80" s="5">
        <v>20</v>
      </c>
      <c r="H80" s="4">
        <v>776</v>
      </c>
      <c r="I80" s="1">
        <f t="shared" si="1"/>
        <v>0.81572164948453607</v>
      </c>
    </row>
    <row r="81" spans="2:9" x14ac:dyDescent="0.2">
      <c r="B81" s="3">
        <v>78</v>
      </c>
      <c r="C81" s="5">
        <v>66</v>
      </c>
      <c r="D81" s="5">
        <v>172</v>
      </c>
      <c r="E81" s="5">
        <v>233</v>
      </c>
      <c r="F81" s="5">
        <v>238</v>
      </c>
      <c r="H81" s="4">
        <v>731</v>
      </c>
      <c r="I81" s="1">
        <f t="shared" si="1"/>
        <v>0.96990424076607384</v>
      </c>
    </row>
    <row r="82" spans="2:9" x14ac:dyDescent="0.2">
      <c r="B82" s="3">
        <v>79</v>
      </c>
      <c r="C82" s="5">
        <v>93</v>
      </c>
      <c r="D82" s="5">
        <v>129</v>
      </c>
      <c r="E82" s="5">
        <v>194</v>
      </c>
      <c r="F82" s="5">
        <v>98</v>
      </c>
      <c r="H82" s="4">
        <v>956</v>
      </c>
      <c r="I82" s="1">
        <f t="shared" si="1"/>
        <v>0.53765690376569042</v>
      </c>
    </row>
    <row r="83" spans="2:9" x14ac:dyDescent="0.2">
      <c r="B83" s="3">
        <v>80</v>
      </c>
      <c r="C83" s="5">
        <v>13</v>
      </c>
      <c r="D83" s="5">
        <v>112</v>
      </c>
      <c r="E83" s="5">
        <v>380</v>
      </c>
      <c r="F83" s="5">
        <v>271</v>
      </c>
      <c r="H83" s="4">
        <v>923</v>
      </c>
      <c r="I83" s="1">
        <f t="shared" si="1"/>
        <v>0.84073672806067168</v>
      </c>
    </row>
    <row r="84" spans="2:9" x14ac:dyDescent="0.2">
      <c r="B84" s="3">
        <v>81</v>
      </c>
      <c r="C84" s="5">
        <v>83</v>
      </c>
      <c r="D84" s="5">
        <v>275</v>
      </c>
      <c r="E84" s="5">
        <v>361</v>
      </c>
      <c r="F84" s="5">
        <v>123</v>
      </c>
      <c r="H84" s="4">
        <v>1016</v>
      </c>
      <c r="I84" s="1">
        <f t="shared" si="1"/>
        <v>0.82874015748031493</v>
      </c>
    </row>
    <row r="85" spans="2:9" x14ac:dyDescent="0.2">
      <c r="B85" s="3">
        <v>82</v>
      </c>
      <c r="C85" s="5">
        <v>128</v>
      </c>
      <c r="D85" s="5">
        <v>196</v>
      </c>
      <c r="E85" s="5">
        <v>134</v>
      </c>
      <c r="F85" s="5">
        <v>25</v>
      </c>
      <c r="H85" s="4">
        <v>886</v>
      </c>
      <c r="I85" s="1">
        <f t="shared" si="1"/>
        <v>0.54514672686230248</v>
      </c>
    </row>
    <row r="86" spans="2:9" x14ac:dyDescent="0.2">
      <c r="B86" s="3">
        <v>83</v>
      </c>
      <c r="C86" s="5">
        <v>7</v>
      </c>
      <c r="D86" s="5">
        <v>76</v>
      </c>
      <c r="E86" s="5">
        <v>368</v>
      </c>
      <c r="F86" s="5">
        <v>79</v>
      </c>
      <c r="H86" s="4">
        <v>922</v>
      </c>
      <c r="I86" s="1">
        <f t="shared" si="1"/>
        <v>0.57483731019522777</v>
      </c>
    </row>
    <row r="87" spans="2:9" x14ac:dyDescent="0.2">
      <c r="B87" s="3">
        <v>84</v>
      </c>
      <c r="C87" s="5">
        <v>20</v>
      </c>
      <c r="D87" s="5">
        <v>74</v>
      </c>
      <c r="E87" s="5">
        <v>282</v>
      </c>
      <c r="F87" s="5">
        <v>101</v>
      </c>
      <c r="H87" s="4">
        <v>816</v>
      </c>
      <c r="I87" s="1">
        <f t="shared" si="1"/>
        <v>0.5845588235294118</v>
      </c>
    </row>
    <row r="88" spans="2:9" x14ac:dyDescent="0.2">
      <c r="B88" s="3">
        <v>85</v>
      </c>
      <c r="C88" s="5">
        <v>34</v>
      </c>
      <c r="D88" s="5">
        <v>155</v>
      </c>
      <c r="E88" s="5">
        <v>322</v>
      </c>
      <c r="F88" s="5">
        <v>213</v>
      </c>
      <c r="H88" s="4">
        <v>877</v>
      </c>
      <c r="I88" s="1">
        <f t="shared" si="1"/>
        <v>0.82554161915621438</v>
      </c>
    </row>
    <row r="89" spans="2:9" x14ac:dyDescent="0.2">
      <c r="B89" s="3">
        <v>86</v>
      </c>
      <c r="C89" s="5">
        <v>23</v>
      </c>
      <c r="D89" s="5">
        <v>97</v>
      </c>
      <c r="E89" s="5">
        <v>353</v>
      </c>
      <c r="F89" s="5">
        <v>196</v>
      </c>
      <c r="H89" s="4">
        <v>716</v>
      </c>
      <c r="I89" s="1">
        <f t="shared" si="1"/>
        <v>0.93435754189944131</v>
      </c>
    </row>
    <row r="90" spans="2:9" x14ac:dyDescent="0.2">
      <c r="B90" s="3">
        <v>87</v>
      </c>
      <c r="C90" s="5">
        <v>41</v>
      </c>
      <c r="D90" s="5">
        <v>75</v>
      </c>
      <c r="E90" s="5">
        <v>52</v>
      </c>
      <c r="F90" s="5">
        <v>92</v>
      </c>
      <c r="H90" s="4">
        <v>505</v>
      </c>
      <c r="I90" s="1">
        <f t="shared" si="1"/>
        <v>0.51485148514851486</v>
      </c>
    </row>
    <row r="91" spans="2:9" x14ac:dyDescent="0.2">
      <c r="B91" s="3">
        <v>88</v>
      </c>
      <c r="C91" s="5">
        <v>131</v>
      </c>
      <c r="D91" s="5">
        <v>1</v>
      </c>
      <c r="E91" s="5">
        <v>496</v>
      </c>
      <c r="F91" s="5">
        <v>234</v>
      </c>
      <c r="H91" s="4">
        <v>1012</v>
      </c>
      <c r="I91" s="1">
        <f t="shared" si="1"/>
        <v>0.85177865612648218</v>
      </c>
    </row>
    <row r="92" spans="2:9" x14ac:dyDescent="0.2">
      <c r="B92" s="3">
        <v>89</v>
      </c>
      <c r="C92" s="5">
        <v>51</v>
      </c>
      <c r="D92" s="5">
        <v>199</v>
      </c>
      <c r="E92" s="5">
        <v>127</v>
      </c>
      <c r="F92" s="5">
        <v>76</v>
      </c>
      <c r="H92" s="4">
        <v>675</v>
      </c>
      <c r="I92" s="1">
        <f t="shared" si="1"/>
        <v>0.6711111111111111</v>
      </c>
    </row>
    <row r="93" spans="2:9" x14ac:dyDescent="0.2">
      <c r="B93" s="3">
        <v>90</v>
      </c>
      <c r="C93" s="5">
        <v>96</v>
      </c>
      <c r="D93" s="5">
        <v>31</v>
      </c>
      <c r="E93" s="5">
        <v>58</v>
      </c>
      <c r="F93" s="5">
        <v>611</v>
      </c>
      <c r="H93" s="4">
        <v>1023</v>
      </c>
      <c r="I93" s="1">
        <f t="shared" si="1"/>
        <v>0.77810361681329421</v>
      </c>
    </row>
    <row r="95" spans="2:9" x14ac:dyDescent="0.2">
      <c r="B95" t="s">
        <v>22</v>
      </c>
      <c r="C95" s="2">
        <f>MIN(C4:C93)</f>
        <v>2</v>
      </c>
      <c r="D95" s="2">
        <f>MIN(D4:D93)</f>
        <v>0</v>
      </c>
      <c r="E95" s="2">
        <f>MIN(E4:E93)</f>
        <v>0</v>
      </c>
      <c r="F95" s="2">
        <f>MIN(F4:F93)</f>
        <v>12</v>
      </c>
    </row>
    <row r="96" spans="2:9" x14ac:dyDescent="0.2">
      <c r="B96" t="s">
        <v>23</v>
      </c>
      <c r="C96" s="2">
        <f>MAX(C4:C93)</f>
        <v>170</v>
      </c>
      <c r="D96" s="2">
        <f>MAX(D4:D93)</f>
        <v>283</v>
      </c>
      <c r="E96" s="2">
        <f>MAX(E4:E93)</f>
        <v>757</v>
      </c>
      <c r="F96" s="2">
        <f>MAX(F4:F93)</f>
        <v>611</v>
      </c>
    </row>
    <row r="97" spans="2:6" x14ac:dyDescent="0.2">
      <c r="B97" t="s">
        <v>24</v>
      </c>
      <c r="C97" s="1">
        <f>AVERAGE(C4:C93)</f>
        <v>50.077777777777776</v>
      </c>
      <c r="D97" s="1">
        <f>AVERAGE(D4:D93)</f>
        <v>89.911111111111111</v>
      </c>
      <c r="E97" s="1">
        <f>AVERAGE(E4:E93)</f>
        <v>257</v>
      </c>
      <c r="F97" s="1">
        <f>AVERAGE(F4:F93)</f>
        <v>157.84444444444443</v>
      </c>
    </row>
    <row r="98" spans="2:6" x14ac:dyDescent="0.2">
      <c r="B98" t="s">
        <v>25</v>
      </c>
      <c r="C98" s="1">
        <f>STDEV(C4:C93)</f>
        <v>34.607340839048334</v>
      </c>
      <c r="D98" s="1">
        <f>STDEV(D4:D93)</f>
        <v>65.240375663611019</v>
      </c>
      <c r="E98" s="1">
        <f>STDEV(E4:E93)</f>
        <v>142.77852732525483</v>
      </c>
      <c r="F98" s="1">
        <f>STDEV(F4:F93)</f>
        <v>97.091166599801241</v>
      </c>
    </row>
    <row r="99" spans="2:6" x14ac:dyDescent="0.2">
      <c r="B99" t="s">
        <v>26</v>
      </c>
      <c r="C99" s="1">
        <f>C98/C97</f>
        <v>0.69107181617802316</v>
      </c>
      <c r="D99" s="1">
        <f>D98/D97</f>
        <v>0.72560971449888678</v>
      </c>
      <c r="E99" s="1">
        <f>E98/E97</f>
        <v>0.55555847208270359</v>
      </c>
      <c r="F99" s="1">
        <f>F98/F97</f>
        <v>0.6151066446559279</v>
      </c>
    </row>
    <row r="101" spans="2:6" x14ac:dyDescent="0.2">
      <c r="B101" t="s">
        <v>39</v>
      </c>
    </row>
    <row r="103" spans="2:6" x14ac:dyDescent="0.2">
      <c r="B103" t="s">
        <v>40</v>
      </c>
      <c r="C103" s="3" t="s">
        <v>5</v>
      </c>
      <c r="D103" s="3" t="s">
        <v>6</v>
      </c>
      <c r="E103" s="3" t="s">
        <v>7</v>
      </c>
      <c r="F103" s="3" t="s">
        <v>8</v>
      </c>
    </row>
    <row r="104" spans="2:6" x14ac:dyDescent="0.2">
      <c r="B104" t="s">
        <v>27</v>
      </c>
      <c r="C104" s="4">
        <f>SUM(C4:C10)</f>
        <v>236</v>
      </c>
      <c r="D104" s="4">
        <f t="shared" ref="D104:F104" si="2">SUM(D4:D10)</f>
        <v>611</v>
      </c>
      <c r="E104" s="4">
        <f t="shared" si="2"/>
        <v>1899</v>
      </c>
      <c r="F104" s="4">
        <f t="shared" si="2"/>
        <v>931</v>
      </c>
    </row>
    <row r="105" spans="2:6" x14ac:dyDescent="0.2">
      <c r="B105" t="s">
        <v>28</v>
      </c>
      <c r="C105" s="4">
        <f>SUM(C11:C17)</f>
        <v>277</v>
      </c>
      <c r="D105" s="4">
        <f>SUM(D11:D17)</f>
        <v>292</v>
      </c>
      <c r="E105" s="4">
        <f>SUM(E11:E17)</f>
        <v>1703</v>
      </c>
      <c r="F105" s="4">
        <f>SUM(F11:F17)</f>
        <v>848</v>
      </c>
    </row>
    <row r="106" spans="2:6" x14ac:dyDescent="0.2">
      <c r="B106" t="s">
        <v>29</v>
      </c>
      <c r="C106" s="4">
        <f>SUM(C18:C24)</f>
        <v>392</v>
      </c>
      <c r="D106" s="4">
        <f>SUM(D18:D24)</f>
        <v>617</v>
      </c>
      <c r="E106" s="4">
        <f>SUM(E18:E24)</f>
        <v>2057</v>
      </c>
      <c r="F106" s="4">
        <f>SUM(F18:F24)</f>
        <v>1257</v>
      </c>
    </row>
    <row r="107" spans="2:6" x14ac:dyDescent="0.2">
      <c r="B107" t="s">
        <v>30</v>
      </c>
      <c r="C107" s="4">
        <f>SUM(C25:C31)</f>
        <v>412</v>
      </c>
      <c r="D107" s="4">
        <f>SUM(D25:D31)</f>
        <v>627</v>
      </c>
      <c r="E107" s="4">
        <f>SUM(E25:E31)</f>
        <v>1288</v>
      </c>
      <c r="F107" s="4">
        <f>SUM(F25:F31)</f>
        <v>1270</v>
      </c>
    </row>
    <row r="108" spans="2:6" x14ac:dyDescent="0.2">
      <c r="B108" t="s">
        <v>31</v>
      </c>
      <c r="C108" s="4">
        <f>SUM(C32:C38)</f>
        <v>328</v>
      </c>
      <c r="D108" s="4">
        <f>SUM(D32:D38)</f>
        <v>425</v>
      </c>
      <c r="E108" s="4">
        <f>SUM(E32:E38)</f>
        <v>1665</v>
      </c>
      <c r="F108" s="4">
        <f>SUM(F32:F38)</f>
        <v>1120</v>
      </c>
    </row>
    <row r="109" spans="2:6" x14ac:dyDescent="0.2">
      <c r="B109" t="s">
        <v>32</v>
      </c>
      <c r="C109" s="4">
        <f>SUM(C39:C45)</f>
        <v>353</v>
      </c>
      <c r="D109" s="4">
        <f>SUM(D39:D45)</f>
        <v>692</v>
      </c>
      <c r="E109" s="4">
        <f>SUM(E39:E45)</f>
        <v>1952</v>
      </c>
      <c r="F109" s="4">
        <f>SUM(F39:F45)</f>
        <v>1125</v>
      </c>
    </row>
    <row r="110" spans="2:6" x14ac:dyDescent="0.2">
      <c r="B110" t="s">
        <v>33</v>
      </c>
      <c r="C110" s="4">
        <f>SUM(C46:C52)</f>
        <v>336</v>
      </c>
      <c r="D110" s="4">
        <f>SUM(D46:D52)</f>
        <v>953</v>
      </c>
      <c r="E110" s="4">
        <f>SUM(E46:E52)</f>
        <v>1680</v>
      </c>
      <c r="F110" s="4">
        <f>SUM(F46:F52)</f>
        <v>1147</v>
      </c>
    </row>
    <row r="111" spans="2:6" x14ac:dyDescent="0.2">
      <c r="B111" t="s">
        <v>34</v>
      </c>
      <c r="C111" s="4">
        <f>SUM(C53:C59)</f>
        <v>405</v>
      </c>
      <c r="D111" s="4">
        <f>SUM(D53:D59)</f>
        <v>451</v>
      </c>
      <c r="E111" s="4">
        <f>SUM(E53:E59)</f>
        <v>2173</v>
      </c>
      <c r="F111" s="4">
        <f>SUM(F53:F59)</f>
        <v>1236</v>
      </c>
    </row>
    <row r="112" spans="2:6" x14ac:dyDescent="0.2">
      <c r="B112" t="s">
        <v>35</v>
      </c>
      <c r="C112" s="4">
        <f>SUM(C60:C66)</f>
        <v>323</v>
      </c>
      <c r="D112" s="4">
        <f>SUM(D60:D66)</f>
        <v>458</v>
      </c>
      <c r="E112" s="4">
        <f>SUM(E60:E66)</f>
        <v>2156</v>
      </c>
      <c r="F112" s="4">
        <f>SUM(F60:F66)</f>
        <v>1125</v>
      </c>
    </row>
    <row r="113" spans="2:6" x14ac:dyDescent="0.2">
      <c r="B113" t="s">
        <v>36</v>
      </c>
      <c r="C113" s="4">
        <f>SUM(C67:C73)</f>
        <v>285</v>
      </c>
      <c r="D113" s="4">
        <f>SUM(D67:D73)</f>
        <v>748</v>
      </c>
      <c r="E113" s="4">
        <f>SUM(E67:E73)</f>
        <v>1503</v>
      </c>
      <c r="F113" s="4">
        <f>SUM(F67:F73)</f>
        <v>932</v>
      </c>
    </row>
    <row r="114" spans="2:6" x14ac:dyDescent="0.2">
      <c r="B114" t="s">
        <v>37</v>
      </c>
      <c r="C114" s="4">
        <f>SUM(C74:C80)</f>
        <v>374</v>
      </c>
      <c r="D114" s="4">
        <f>SUM(D74:D80)</f>
        <v>626</v>
      </c>
      <c r="E114" s="4">
        <f>SUM(E74:E80)</f>
        <v>1694</v>
      </c>
      <c r="F114" s="4">
        <f>SUM(F74:F80)</f>
        <v>858</v>
      </c>
    </row>
    <row r="115" spans="2:6" x14ac:dyDescent="0.2">
      <c r="B115" t="s">
        <v>38</v>
      </c>
      <c r="C115" s="4">
        <f>SUM(C81:C87)</f>
        <v>410</v>
      </c>
      <c r="D115" s="4">
        <f>SUM(D81:D87)</f>
        <v>1034</v>
      </c>
      <c r="E115" s="4">
        <f>SUM(E81:E87)</f>
        <v>1952</v>
      </c>
      <c r="F115" s="4">
        <f>SUM(F81:F87)</f>
        <v>935</v>
      </c>
    </row>
    <row r="117" spans="2:6" x14ac:dyDescent="0.2">
      <c r="B117" t="s">
        <v>22</v>
      </c>
      <c r="C117" s="2">
        <f>MIN(C104:C115)</f>
        <v>236</v>
      </c>
      <c r="D117" s="2">
        <f>MIN(D104:D115)</f>
        <v>292</v>
      </c>
      <c r="E117" s="2">
        <f>MIN(E104:E115)</f>
        <v>1288</v>
      </c>
      <c r="F117" s="2">
        <f>MIN(F104:F115)</f>
        <v>848</v>
      </c>
    </row>
    <row r="118" spans="2:6" x14ac:dyDescent="0.2">
      <c r="B118" t="s">
        <v>23</v>
      </c>
      <c r="C118" s="2">
        <f>MAX(C104:C115)</f>
        <v>412</v>
      </c>
      <c r="D118" s="2">
        <f>MAX(D104:D115)</f>
        <v>1034</v>
      </c>
      <c r="E118" s="2">
        <f>MAX(E104:E115)</f>
        <v>2173</v>
      </c>
      <c r="F118" s="2">
        <f>MAX(F104:F115)</f>
        <v>1270</v>
      </c>
    </row>
    <row r="119" spans="2:6" x14ac:dyDescent="0.2">
      <c r="B119" t="s">
        <v>24</v>
      </c>
      <c r="C119" s="1">
        <f>AVERAGE(C104:C115)</f>
        <v>344.25</v>
      </c>
      <c r="D119" s="1">
        <f>AVERAGE(D104:D115)</f>
        <v>627.83333333333337</v>
      </c>
      <c r="E119" s="1">
        <f>AVERAGE(E104:E115)</f>
        <v>1810.1666666666667</v>
      </c>
      <c r="F119" s="1">
        <f>AVERAGE(F104:F115)</f>
        <v>1065.3333333333333</v>
      </c>
    </row>
    <row r="120" spans="2:6" x14ac:dyDescent="0.2">
      <c r="B120" t="s">
        <v>25</v>
      </c>
      <c r="C120" s="1">
        <f>STDEV(C104:C115)</f>
        <v>57.509090190555568</v>
      </c>
      <c r="D120" s="1">
        <f>STDEV(D104:D115)</f>
        <v>213.98930871056214</v>
      </c>
      <c r="E120" s="1">
        <f>STDEV(E104:E115)</f>
        <v>268.04098510669871</v>
      </c>
      <c r="F120" s="1">
        <f>STDEV(F104:F115)</f>
        <v>155.96056222550916</v>
      </c>
    </row>
    <row r="121" spans="2:6" x14ac:dyDescent="0.2">
      <c r="B121" t="s">
        <v>26</v>
      </c>
      <c r="C121" s="1">
        <f>C120/C119</f>
        <v>0.16705618065520864</v>
      </c>
      <c r="D121" s="1">
        <f>D120/D119</f>
        <v>0.3408377627457852</v>
      </c>
      <c r="E121" s="1">
        <f>E120/E119</f>
        <v>0.14807530712090897</v>
      </c>
      <c r="F121" s="1">
        <f>F120/F119</f>
        <v>0.14639602211405742</v>
      </c>
    </row>
    <row r="123" spans="2:6" x14ac:dyDescent="0.2">
      <c r="B123" t="s">
        <v>41</v>
      </c>
    </row>
    <row r="125" spans="2:6" x14ac:dyDescent="0.2">
      <c r="B125" t="s">
        <v>45</v>
      </c>
      <c r="C125" s="3" t="s">
        <v>5</v>
      </c>
      <c r="D125" s="3" t="s">
        <v>6</v>
      </c>
      <c r="E125" s="3" t="s">
        <v>7</v>
      </c>
      <c r="F125" s="3" t="s">
        <v>8</v>
      </c>
    </row>
    <row r="126" spans="2:6" x14ac:dyDescent="0.2">
      <c r="B126" t="s">
        <v>42</v>
      </c>
      <c r="C126" s="4">
        <f>SUM(C4:C33)</f>
        <v>1460</v>
      </c>
      <c r="D126" s="4">
        <f>SUM(D4:D33)</f>
        <v>2406</v>
      </c>
      <c r="E126" s="4">
        <f>SUM(E4:E33)</f>
        <v>7366</v>
      </c>
      <c r="F126" s="4">
        <f>SUM(F4:F33)</f>
        <v>4529</v>
      </c>
    </row>
    <row r="127" spans="2:6" x14ac:dyDescent="0.2">
      <c r="B127" t="s">
        <v>43</v>
      </c>
      <c r="C127" s="4">
        <f>SUM(C34:C63)</f>
        <v>1485</v>
      </c>
      <c r="D127" s="4">
        <f>SUM(D34:D63)</f>
        <v>2513</v>
      </c>
      <c r="E127" s="4">
        <f>SUM(E34:E63)</f>
        <v>8425</v>
      </c>
      <c r="F127" s="4">
        <f>SUM(F34:F63)</f>
        <v>4829</v>
      </c>
    </row>
    <row r="128" spans="2:6" x14ac:dyDescent="0.2">
      <c r="B128" t="s">
        <v>44</v>
      </c>
      <c r="C128" s="4">
        <f>SUM(C64:C93)</f>
        <v>1562</v>
      </c>
      <c r="D128" s="4">
        <f>SUM(D64:D93)</f>
        <v>3173</v>
      </c>
      <c r="E128" s="4">
        <f>SUM(E64:E93)</f>
        <v>7339</v>
      </c>
      <c r="F128" s="4">
        <f>SUM(F64:F93)</f>
        <v>4848</v>
      </c>
    </row>
    <row r="130" spans="2:6" x14ac:dyDescent="0.2">
      <c r="B130" t="s">
        <v>22</v>
      </c>
      <c r="C130" s="2">
        <f>MIN(C126:C128)</f>
        <v>1460</v>
      </c>
      <c r="D130" s="2">
        <f>MIN(D126:D128)</f>
        <v>2406</v>
      </c>
      <c r="E130" s="2">
        <f>MIN(E126:E128)</f>
        <v>7339</v>
      </c>
      <c r="F130" s="2">
        <f>MIN(F126:F128)</f>
        <v>4529</v>
      </c>
    </row>
    <row r="131" spans="2:6" x14ac:dyDescent="0.2">
      <c r="B131" t="s">
        <v>23</v>
      </c>
      <c r="C131" s="2">
        <f>MAX(C126:C128)</f>
        <v>1562</v>
      </c>
      <c r="D131" s="2">
        <f>MAX(D126:D128)</f>
        <v>3173</v>
      </c>
      <c r="E131" s="2">
        <f>MAX(E126:E128)</f>
        <v>8425</v>
      </c>
      <c r="F131" s="2">
        <f>MAX(F126:F128)</f>
        <v>4848</v>
      </c>
    </row>
    <row r="132" spans="2:6" x14ac:dyDescent="0.2">
      <c r="B132" t="s">
        <v>24</v>
      </c>
      <c r="C132" s="1">
        <f>AVERAGE(C126:C128)</f>
        <v>1502.3333333333333</v>
      </c>
      <c r="D132" s="1">
        <f>AVERAGE(D126:D128)</f>
        <v>2697.3333333333335</v>
      </c>
      <c r="E132" s="1">
        <f>AVERAGE(E126:E128)</f>
        <v>7710</v>
      </c>
      <c r="F132" s="1">
        <f>AVERAGE(F126:F128)</f>
        <v>4735.333333333333</v>
      </c>
    </row>
    <row r="133" spans="2:6" x14ac:dyDescent="0.2">
      <c r="B133" t="s">
        <v>25</v>
      </c>
      <c r="C133" s="1">
        <f>STDEV(C126:C128)</f>
        <v>53.163270528940686</v>
      </c>
      <c r="D133" s="1">
        <f>STDEV(D126:D128)</f>
        <v>415.39900497393342</v>
      </c>
      <c r="E133" s="1">
        <f>STDEV(E126:E128)</f>
        <v>619.35530997965941</v>
      </c>
      <c r="F133" s="1">
        <f>STDEV(F126:F128)</f>
        <v>178.94226256905699</v>
      </c>
    </row>
    <row r="134" spans="2:6" x14ac:dyDescent="0.2">
      <c r="B134" t="s">
        <v>26</v>
      </c>
      <c r="C134" s="1">
        <f>C133/C132</f>
        <v>3.5387133700204583E-2</v>
      </c>
      <c r="D134" s="1">
        <f>D133/D132</f>
        <v>0.15400358563047456</v>
      </c>
      <c r="E134" s="1">
        <f>E133/E132</f>
        <v>8.033142801292599E-2</v>
      </c>
      <c r="F134" s="1">
        <f>F133/F132</f>
        <v>3.7788736287988949E-2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4"/>
  <sheetViews>
    <sheetView zoomScale="125" zoomScaleNormal="125" zoomScalePageLayoutView="125" workbookViewId="0"/>
  </sheetViews>
  <sheetFormatPr baseColWidth="10" defaultColWidth="10.83203125" defaultRowHeight="16" x14ac:dyDescent="0.2"/>
  <sheetData>
    <row r="1" spans="1:9" x14ac:dyDescent="0.2">
      <c r="A1" t="s">
        <v>21</v>
      </c>
    </row>
    <row r="3" spans="1:9" x14ac:dyDescent="0.2">
      <c r="B3" s="3" t="s">
        <v>11</v>
      </c>
      <c r="C3" s="3" t="s">
        <v>5</v>
      </c>
      <c r="D3" s="3" t="s">
        <v>6</v>
      </c>
      <c r="E3" s="3" t="s">
        <v>7</v>
      </c>
      <c r="F3" s="3" t="s">
        <v>8</v>
      </c>
      <c r="H3" s="3" t="s">
        <v>4</v>
      </c>
    </row>
    <row r="4" spans="1:9" x14ac:dyDescent="0.2">
      <c r="A4" s="2"/>
      <c r="B4" s="3">
        <v>1</v>
      </c>
      <c r="C4" s="5">
        <v>19</v>
      </c>
      <c r="D4" s="5">
        <v>3</v>
      </c>
      <c r="E4" s="5">
        <v>103</v>
      </c>
      <c r="F4" s="5">
        <v>52</v>
      </c>
      <c r="H4" s="4">
        <v>343</v>
      </c>
      <c r="I4" s="1">
        <f>SUM(C4:F4)/H4</f>
        <v>0.51603498542274051</v>
      </c>
    </row>
    <row r="5" spans="1:9" x14ac:dyDescent="0.2">
      <c r="A5" s="2"/>
      <c r="B5" s="3">
        <v>2</v>
      </c>
      <c r="C5" s="5">
        <v>3</v>
      </c>
      <c r="D5" s="5">
        <v>7</v>
      </c>
      <c r="E5" s="5">
        <v>49</v>
      </c>
      <c r="F5" s="5">
        <v>10</v>
      </c>
      <c r="H5" s="4">
        <v>84</v>
      </c>
      <c r="I5" s="1">
        <f t="shared" ref="I5:I68" si="0">SUM(C5:F5)/H5</f>
        <v>0.8214285714285714</v>
      </c>
    </row>
    <row r="6" spans="1:9" x14ac:dyDescent="0.2">
      <c r="A6" s="2"/>
      <c r="B6" s="3">
        <v>3</v>
      </c>
      <c r="C6" s="5">
        <v>1</v>
      </c>
      <c r="D6" s="5">
        <v>2</v>
      </c>
      <c r="E6" s="5">
        <v>7</v>
      </c>
      <c r="F6" s="5">
        <v>2</v>
      </c>
      <c r="H6" s="4">
        <v>22</v>
      </c>
      <c r="I6" s="1">
        <f t="shared" si="0"/>
        <v>0.54545454545454541</v>
      </c>
    </row>
    <row r="7" spans="1:9" x14ac:dyDescent="0.2">
      <c r="A7" s="2"/>
      <c r="B7" s="3">
        <v>4</v>
      </c>
      <c r="C7" s="5">
        <v>4</v>
      </c>
      <c r="D7" s="5">
        <v>11</v>
      </c>
      <c r="E7" s="5">
        <v>5</v>
      </c>
      <c r="F7" s="5">
        <v>26</v>
      </c>
      <c r="H7" s="4">
        <v>69</v>
      </c>
      <c r="I7" s="1">
        <f t="shared" si="0"/>
        <v>0.66666666666666663</v>
      </c>
    </row>
    <row r="8" spans="1:9" x14ac:dyDescent="0.2">
      <c r="A8" s="2"/>
      <c r="B8" s="3">
        <v>5</v>
      </c>
      <c r="C8" s="5">
        <v>24</v>
      </c>
      <c r="D8" s="5">
        <v>14</v>
      </c>
      <c r="E8" s="5">
        <v>80</v>
      </c>
      <c r="F8" s="5">
        <v>8</v>
      </c>
      <c r="H8" s="4">
        <v>223</v>
      </c>
      <c r="I8" s="1">
        <f t="shared" si="0"/>
        <v>0.56502242152466364</v>
      </c>
    </row>
    <row r="9" spans="1:9" x14ac:dyDescent="0.2">
      <c r="A9" s="2"/>
      <c r="B9" s="3">
        <v>6</v>
      </c>
      <c r="C9" s="5">
        <v>1</v>
      </c>
      <c r="D9" s="5">
        <v>5</v>
      </c>
      <c r="E9" s="5">
        <v>23</v>
      </c>
      <c r="F9" s="5">
        <v>9</v>
      </c>
      <c r="H9" s="4">
        <v>64</v>
      </c>
      <c r="I9" s="1">
        <f t="shared" si="0"/>
        <v>0.59375</v>
      </c>
    </row>
    <row r="10" spans="1:9" x14ac:dyDescent="0.2">
      <c r="A10" s="2"/>
      <c r="B10" s="3">
        <v>7</v>
      </c>
      <c r="C10" s="5">
        <v>16</v>
      </c>
      <c r="D10" s="5">
        <v>16</v>
      </c>
      <c r="E10" s="5">
        <v>27</v>
      </c>
      <c r="F10" s="5">
        <v>68</v>
      </c>
      <c r="H10" s="4">
        <v>246</v>
      </c>
      <c r="I10" s="1">
        <f t="shared" si="0"/>
        <v>0.51626016260162599</v>
      </c>
    </row>
    <row r="11" spans="1:9" x14ac:dyDescent="0.2">
      <c r="A11" s="2"/>
      <c r="B11" s="3">
        <v>8</v>
      </c>
      <c r="C11" s="5">
        <v>1</v>
      </c>
      <c r="D11" s="5">
        <v>7</v>
      </c>
      <c r="E11" s="5">
        <v>60</v>
      </c>
      <c r="F11" s="5">
        <v>120</v>
      </c>
      <c r="H11" s="4">
        <v>230</v>
      </c>
      <c r="I11" s="1">
        <f t="shared" si="0"/>
        <v>0.81739130434782614</v>
      </c>
    </row>
    <row r="12" spans="1:9" x14ac:dyDescent="0.2">
      <c r="A12" s="2"/>
      <c r="B12" s="3">
        <v>9</v>
      </c>
      <c r="C12" s="5">
        <v>13</v>
      </c>
      <c r="D12" s="5">
        <v>52</v>
      </c>
      <c r="E12" s="5">
        <v>23</v>
      </c>
      <c r="F12" s="5">
        <v>35</v>
      </c>
      <c r="H12" s="4">
        <v>179</v>
      </c>
      <c r="I12" s="1">
        <f t="shared" si="0"/>
        <v>0.68715083798882681</v>
      </c>
    </row>
    <row r="13" spans="1:9" x14ac:dyDescent="0.2">
      <c r="A13" s="2"/>
      <c r="B13" s="3">
        <v>10</v>
      </c>
      <c r="C13" s="5">
        <v>1</v>
      </c>
      <c r="D13" s="5">
        <v>10</v>
      </c>
      <c r="E13" s="5">
        <v>27</v>
      </c>
      <c r="F13" s="5">
        <v>18</v>
      </c>
      <c r="H13" s="4">
        <v>62</v>
      </c>
      <c r="I13" s="1">
        <f t="shared" si="0"/>
        <v>0.90322580645161288</v>
      </c>
    </row>
    <row r="14" spans="1:9" x14ac:dyDescent="0.2">
      <c r="A14" s="2"/>
      <c r="B14" s="3">
        <v>11</v>
      </c>
      <c r="C14" s="5">
        <v>0</v>
      </c>
      <c r="D14" s="5">
        <v>15</v>
      </c>
      <c r="E14" s="5">
        <v>31</v>
      </c>
      <c r="F14" s="5">
        <v>46</v>
      </c>
      <c r="H14" s="4">
        <v>158</v>
      </c>
      <c r="I14" s="1">
        <f t="shared" si="0"/>
        <v>0.58227848101265822</v>
      </c>
    </row>
    <row r="15" spans="1:9" x14ac:dyDescent="0.2">
      <c r="A15" s="2"/>
      <c r="B15" s="3">
        <v>12</v>
      </c>
      <c r="C15" s="5">
        <v>5</v>
      </c>
      <c r="D15" s="5">
        <v>17</v>
      </c>
      <c r="E15" s="5">
        <v>72</v>
      </c>
      <c r="F15" s="5">
        <v>41</v>
      </c>
      <c r="H15" s="4">
        <v>180</v>
      </c>
      <c r="I15" s="1">
        <f t="shared" si="0"/>
        <v>0.75</v>
      </c>
    </row>
    <row r="16" spans="1:9" x14ac:dyDescent="0.2">
      <c r="A16" s="2"/>
      <c r="B16" s="3">
        <v>13</v>
      </c>
      <c r="C16" s="5">
        <v>17</v>
      </c>
      <c r="D16" s="5">
        <v>15</v>
      </c>
      <c r="E16" s="5">
        <v>78</v>
      </c>
      <c r="F16" s="5">
        <v>14</v>
      </c>
      <c r="H16" s="4">
        <v>305</v>
      </c>
      <c r="I16" s="1">
        <f t="shared" si="0"/>
        <v>0.40655737704918032</v>
      </c>
    </row>
    <row r="17" spans="1:9" x14ac:dyDescent="0.2">
      <c r="A17" s="2"/>
      <c r="B17" s="3">
        <v>14</v>
      </c>
      <c r="C17" s="5">
        <v>1</v>
      </c>
      <c r="D17" s="5">
        <v>22</v>
      </c>
      <c r="E17" s="5">
        <v>68</v>
      </c>
      <c r="F17" s="5">
        <v>37</v>
      </c>
      <c r="H17" s="4">
        <v>134</v>
      </c>
      <c r="I17" s="1">
        <f t="shared" si="0"/>
        <v>0.95522388059701491</v>
      </c>
    </row>
    <row r="18" spans="1:9" x14ac:dyDescent="0.2">
      <c r="A18" s="2"/>
      <c r="B18" s="3">
        <v>15</v>
      </c>
      <c r="C18" s="5">
        <v>30</v>
      </c>
      <c r="D18" s="5">
        <v>8</v>
      </c>
      <c r="E18" s="5">
        <v>140</v>
      </c>
      <c r="F18" s="5">
        <v>110</v>
      </c>
      <c r="H18" s="4">
        <v>410</v>
      </c>
      <c r="I18" s="1">
        <f t="shared" si="0"/>
        <v>0.70243902439024386</v>
      </c>
    </row>
    <row r="19" spans="1:9" x14ac:dyDescent="0.2">
      <c r="A19" s="2"/>
      <c r="B19" s="3">
        <v>16</v>
      </c>
      <c r="C19" s="5">
        <v>21</v>
      </c>
      <c r="D19" s="5">
        <v>26</v>
      </c>
      <c r="E19" s="5">
        <v>74</v>
      </c>
      <c r="F19" s="5">
        <v>58</v>
      </c>
      <c r="H19" s="4">
        <v>225</v>
      </c>
      <c r="I19" s="1">
        <f t="shared" si="0"/>
        <v>0.79555555555555557</v>
      </c>
    </row>
    <row r="20" spans="1:9" x14ac:dyDescent="0.2">
      <c r="A20" s="2"/>
      <c r="B20" s="3">
        <v>17</v>
      </c>
      <c r="C20" s="5">
        <v>12</v>
      </c>
      <c r="D20" s="5">
        <v>18</v>
      </c>
      <c r="E20" s="5">
        <v>31</v>
      </c>
      <c r="F20" s="5">
        <v>60</v>
      </c>
      <c r="H20" s="4">
        <v>214</v>
      </c>
      <c r="I20" s="1">
        <f t="shared" si="0"/>
        <v>0.56542056074766356</v>
      </c>
    </row>
    <row r="21" spans="1:9" x14ac:dyDescent="0.2">
      <c r="A21" s="2"/>
      <c r="B21" s="3">
        <v>18</v>
      </c>
      <c r="C21" s="5">
        <v>10</v>
      </c>
      <c r="D21" s="5">
        <v>20</v>
      </c>
      <c r="E21" s="5">
        <v>77</v>
      </c>
      <c r="F21" s="5">
        <v>7</v>
      </c>
      <c r="H21" s="4">
        <v>136</v>
      </c>
      <c r="I21" s="1">
        <f t="shared" si="0"/>
        <v>0.83823529411764708</v>
      </c>
    </row>
    <row r="22" spans="1:9" x14ac:dyDescent="0.2">
      <c r="A22" s="2"/>
      <c r="B22" s="3">
        <v>19</v>
      </c>
      <c r="C22" s="5">
        <v>20</v>
      </c>
      <c r="D22" s="5">
        <v>32</v>
      </c>
      <c r="E22" s="5">
        <v>8</v>
      </c>
      <c r="F22" s="5">
        <v>113</v>
      </c>
      <c r="H22" s="4">
        <v>254</v>
      </c>
      <c r="I22" s="1">
        <f t="shared" si="0"/>
        <v>0.68110236220472442</v>
      </c>
    </row>
    <row r="23" spans="1:9" x14ac:dyDescent="0.2">
      <c r="A23" s="2"/>
      <c r="B23" s="3">
        <v>20</v>
      </c>
      <c r="C23" s="5">
        <v>2</v>
      </c>
      <c r="D23" s="5">
        <v>2</v>
      </c>
      <c r="E23" s="5">
        <v>23</v>
      </c>
      <c r="F23" s="5">
        <v>14</v>
      </c>
      <c r="H23" s="4">
        <v>62</v>
      </c>
      <c r="I23" s="1">
        <f t="shared" si="0"/>
        <v>0.66129032258064513</v>
      </c>
    </row>
    <row r="24" spans="1:9" x14ac:dyDescent="0.2">
      <c r="A24" s="2"/>
      <c r="B24" s="3">
        <v>21</v>
      </c>
      <c r="C24" s="5">
        <v>3</v>
      </c>
      <c r="D24" s="5">
        <v>14</v>
      </c>
      <c r="E24" s="5">
        <v>44</v>
      </c>
      <c r="F24" s="5">
        <v>35</v>
      </c>
      <c r="H24" s="4">
        <v>108</v>
      </c>
      <c r="I24" s="1">
        <f t="shared" si="0"/>
        <v>0.88888888888888884</v>
      </c>
    </row>
    <row r="25" spans="1:9" x14ac:dyDescent="0.2">
      <c r="A25" s="2"/>
      <c r="B25" s="3">
        <v>22</v>
      </c>
      <c r="C25" s="5">
        <v>9</v>
      </c>
      <c r="D25" s="5">
        <v>33</v>
      </c>
      <c r="E25" s="5">
        <v>10</v>
      </c>
      <c r="F25" s="5">
        <v>0</v>
      </c>
      <c r="H25" s="4">
        <v>117</v>
      </c>
      <c r="I25" s="1">
        <f t="shared" si="0"/>
        <v>0.44444444444444442</v>
      </c>
    </row>
    <row r="26" spans="1:9" x14ac:dyDescent="0.2">
      <c r="A26" s="2"/>
      <c r="B26" s="3">
        <v>23</v>
      </c>
      <c r="C26" s="5">
        <v>1</v>
      </c>
      <c r="D26" s="5">
        <v>12</v>
      </c>
      <c r="E26" s="5">
        <v>66</v>
      </c>
      <c r="F26" s="5">
        <v>11</v>
      </c>
      <c r="H26" s="4">
        <v>128</v>
      </c>
      <c r="I26" s="1">
        <f t="shared" si="0"/>
        <v>0.703125</v>
      </c>
    </row>
    <row r="27" spans="1:9" x14ac:dyDescent="0.2">
      <c r="A27" s="2"/>
      <c r="B27" s="3">
        <v>24</v>
      </c>
      <c r="C27" s="5">
        <v>5</v>
      </c>
      <c r="D27" s="5">
        <v>48</v>
      </c>
      <c r="E27" s="5">
        <v>8</v>
      </c>
      <c r="F27" s="5">
        <v>124</v>
      </c>
      <c r="H27" s="4">
        <v>238</v>
      </c>
      <c r="I27" s="1">
        <f t="shared" si="0"/>
        <v>0.77731092436974791</v>
      </c>
    </row>
    <row r="28" spans="1:9" x14ac:dyDescent="0.2">
      <c r="A28" s="2"/>
      <c r="B28" s="3">
        <v>25</v>
      </c>
      <c r="C28" s="5">
        <v>16</v>
      </c>
      <c r="D28" s="5">
        <v>5</v>
      </c>
      <c r="E28" s="5">
        <v>44</v>
      </c>
      <c r="F28" s="5">
        <v>71</v>
      </c>
      <c r="H28" s="4">
        <v>235</v>
      </c>
      <c r="I28" s="1">
        <f t="shared" si="0"/>
        <v>0.5787234042553191</v>
      </c>
    </row>
    <row r="29" spans="1:9" x14ac:dyDescent="0.2">
      <c r="A29" s="2"/>
      <c r="B29" s="3">
        <v>26</v>
      </c>
      <c r="C29" s="5">
        <v>0</v>
      </c>
      <c r="D29" s="5">
        <v>38</v>
      </c>
      <c r="E29" s="5">
        <v>14</v>
      </c>
      <c r="F29" s="5">
        <v>34</v>
      </c>
      <c r="H29" s="4">
        <v>113</v>
      </c>
      <c r="I29" s="1">
        <f t="shared" si="0"/>
        <v>0.76106194690265483</v>
      </c>
    </row>
    <row r="30" spans="1:9" x14ac:dyDescent="0.2">
      <c r="A30" s="2"/>
      <c r="B30" s="3">
        <v>27</v>
      </c>
      <c r="C30" s="5">
        <v>4</v>
      </c>
      <c r="D30" s="5">
        <v>1</v>
      </c>
      <c r="E30" s="5">
        <v>53</v>
      </c>
      <c r="F30" s="5">
        <v>10</v>
      </c>
      <c r="H30" s="4">
        <v>111</v>
      </c>
      <c r="I30" s="1">
        <f t="shared" si="0"/>
        <v>0.61261261261261257</v>
      </c>
    </row>
    <row r="31" spans="1:9" x14ac:dyDescent="0.2">
      <c r="A31" s="2"/>
      <c r="B31" s="3">
        <v>28</v>
      </c>
      <c r="C31" s="5">
        <v>2</v>
      </c>
      <c r="D31" s="5">
        <v>2</v>
      </c>
      <c r="E31" s="5">
        <v>8</v>
      </c>
      <c r="F31" s="5">
        <v>7</v>
      </c>
      <c r="H31" s="4">
        <v>37</v>
      </c>
      <c r="I31" s="1">
        <f t="shared" si="0"/>
        <v>0.51351351351351349</v>
      </c>
    </row>
    <row r="32" spans="1:9" x14ac:dyDescent="0.2">
      <c r="A32" s="2"/>
      <c r="B32" s="3">
        <v>29</v>
      </c>
      <c r="C32" s="5">
        <v>27</v>
      </c>
      <c r="D32" s="5">
        <v>42</v>
      </c>
      <c r="E32" s="5">
        <v>123</v>
      </c>
      <c r="F32" s="5">
        <v>62</v>
      </c>
      <c r="H32" s="4">
        <v>356</v>
      </c>
      <c r="I32" s="1">
        <f t="shared" si="0"/>
        <v>0.7134831460674157</v>
      </c>
    </row>
    <row r="33" spans="1:9" x14ac:dyDescent="0.2">
      <c r="A33" s="2"/>
      <c r="B33" s="3">
        <v>30</v>
      </c>
      <c r="C33" s="5">
        <v>0</v>
      </c>
      <c r="D33" s="5">
        <v>0</v>
      </c>
      <c r="E33" s="5">
        <v>11</v>
      </c>
      <c r="F33" s="5">
        <v>1</v>
      </c>
      <c r="H33" s="4">
        <v>23</v>
      </c>
      <c r="I33" s="1">
        <f t="shared" si="0"/>
        <v>0.52173913043478259</v>
      </c>
    </row>
    <row r="34" spans="1:9" x14ac:dyDescent="0.2">
      <c r="A34" s="2"/>
      <c r="B34" s="3">
        <v>31</v>
      </c>
      <c r="C34" s="5">
        <v>22</v>
      </c>
      <c r="D34" s="5">
        <v>18</v>
      </c>
      <c r="E34" s="5">
        <v>25</v>
      </c>
      <c r="F34" s="5">
        <v>41</v>
      </c>
      <c r="H34" s="4">
        <v>178</v>
      </c>
      <c r="I34" s="1">
        <f t="shared" si="0"/>
        <v>0.5955056179775281</v>
      </c>
    </row>
    <row r="35" spans="1:9" x14ac:dyDescent="0.2">
      <c r="A35" s="2"/>
      <c r="B35" s="3">
        <v>32</v>
      </c>
      <c r="C35" s="5">
        <v>7</v>
      </c>
      <c r="D35" s="5">
        <v>8</v>
      </c>
      <c r="E35" s="5">
        <v>21</v>
      </c>
      <c r="F35" s="5">
        <v>44</v>
      </c>
      <c r="H35" s="4">
        <v>134</v>
      </c>
      <c r="I35" s="1">
        <f t="shared" si="0"/>
        <v>0.59701492537313428</v>
      </c>
    </row>
    <row r="36" spans="1:9" x14ac:dyDescent="0.2">
      <c r="A36" s="2"/>
      <c r="B36" s="3">
        <v>33</v>
      </c>
      <c r="C36" s="5">
        <v>9</v>
      </c>
      <c r="D36" s="5">
        <v>5</v>
      </c>
      <c r="E36" s="5">
        <v>71</v>
      </c>
      <c r="F36" s="5">
        <v>67</v>
      </c>
      <c r="H36" s="4">
        <v>213</v>
      </c>
      <c r="I36" s="1">
        <f t="shared" si="0"/>
        <v>0.71361502347417838</v>
      </c>
    </row>
    <row r="37" spans="1:9" x14ac:dyDescent="0.2">
      <c r="A37" s="2"/>
      <c r="B37" s="3">
        <v>34</v>
      </c>
      <c r="C37" s="5">
        <v>4</v>
      </c>
      <c r="D37" s="5">
        <v>24</v>
      </c>
      <c r="E37" s="5">
        <v>2</v>
      </c>
      <c r="F37" s="5">
        <v>6</v>
      </c>
      <c r="H37" s="4">
        <v>93</v>
      </c>
      <c r="I37" s="1">
        <f t="shared" si="0"/>
        <v>0.38709677419354838</v>
      </c>
    </row>
    <row r="38" spans="1:9" x14ac:dyDescent="0.2">
      <c r="A38" s="2"/>
      <c r="B38" s="3">
        <v>35</v>
      </c>
      <c r="C38" s="5">
        <v>14</v>
      </c>
      <c r="D38" s="5">
        <v>34</v>
      </c>
      <c r="E38" s="5">
        <v>43</v>
      </c>
      <c r="F38" s="5">
        <v>96</v>
      </c>
      <c r="H38" s="4">
        <v>191</v>
      </c>
      <c r="I38" s="1">
        <f t="shared" si="0"/>
        <v>0.97905759162303663</v>
      </c>
    </row>
    <row r="39" spans="1:9" x14ac:dyDescent="0.2">
      <c r="A39" s="2"/>
      <c r="B39" s="3">
        <v>36</v>
      </c>
      <c r="C39" s="5">
        <v>17</v>
      </c>
      <c r="D39" s="5">
        <v>39</v>
      </c>
      <c r="E39" s="5">
        <v>55</v>
      </c>
      <c r="F39" s="5">
        <v>35</v>
      </c>
      <c r="H39" s="4">
        <v>304</v>
      </c>
      <c r="I39" s="1">
        <f t="shared" si="0"/>
        <v>0.48026315789473684</v>
      </c>
    </row>
    <row r="40" spans="1:9" x14ac:dyDescent="0.2">
      <c r="A40" s="2"/>
      <c r="B40" s="3">
        <v>37</v>
      </c>
      <c r="C40" s="5">
        <v>1</v>
      </c>
      <c r="D40" s="5">
        <v>11</v>
      </c>
      <c r="E40" s="5">
        <v>50</v>
      </c>
      <c r="F40" s="5">
        <v>2</v>
      </c>
      <c r="H40" s="4">
        <v>107</v>
      </c>
      <c r="I40" s="1">
        <f t="shared" si="0"/>
        <v>0.59813084112149528</v>
      </c>
    </row>
    <row r="41" spans="1:9" x14ac:dyDescent="0.2">
      <c r="A41" s="2"/>
      <c r="B41" s="3">
        <v>38</v>
      </c>
      <c r="C41" s="5">
        <v>4</v>
      </c>
      <c r="D41" s="5">
        <v>7</v>
      </c>
      <c r="E41" s="5">
        <v>42</v>
      </c>
      <c r="F41" s="5">
        <v>15</v>
      </c>
      <c r="H41" s="4">
        <v>115</v>
      </c>
      <c r="I41" s="1">
        <f t="shared" si="0"/>
        <v>0.59130434782608698</v>
      </c>
    </row>
    <row r="42" spans="1:9" x14ac:dyDescent="0.2">
      <c r="A42" s="2"/>
      <c r="B42" s="3">
        <v>39</v>
      </c>
      <c r="C42" s="5">
        <v>2</v>
      </c>
      <c r="D42" s="5">
        <v>6</v>
      </c>
      <c r="E42" s="5">
        <v>32</v>
      </c>
      <c r="F42" s="5">
        <v>4</v>
      </c>
      <c r="H42" s="4">
        <v>59</v>
      </c>
      <c r="I42" s="1">
        <f t="shared" si="0"/>
        <v>0.74576271186440679</v>
      </c>
    </row>
    <row r="43" spans="1:9" x14ac:dyDescent="0.2">
      <c r="A43" s="2"/>
      <c r="B43" s="3">
        <v>40</v>
      </c>
      <c r="C43" s="5">
        <v>1</v>
      </c>
      <c r="D43" s="5">
        <v>11</v>
      </c>
      <c r="E43" s="5">
        <v>39</v>
      </c>
      <c r="F43" s="5">
        <v>24</v>
      </c>
      <c r="H43" s="4">
        <v>86</v>
      </c>
      <c r="I43" s="1">
        <f t="shared" si="0"/>
        <v>0.87209302325581395</v>
      </c>
    </row>
    <row r="44" spans="1:9" x14ac:dyDescent="0.2">
      <c r="A44" s="2"/>
      <c r="B44" s="3">
        <v>41</v>
      </c>
      <c r="C44" s="5">
        <v>7</v>
      </c>
      <c r="D44" s="5">
        <v>15</v>
      </c>
      <c r="E44" s="5">
        <v>5</v>
      </c>
      <c r="F44" s="5">
        <v>69</v>
      </c>
      <c r="H44" s="4">
        <v>127</v>
      </c>
      <c r="I44" s="1">
        <f t="shared" si="0"/>
        <v>0.75590551181102361</v>
      </c>
    </row>
    <row r="45" spans="1:9" x14ac:dyDescent="0.2">
      <c r="A45" s="2"/>
      <c r="B45" s="3">
        <v>42</v>
      </c>
      <c r="C45" s="5">
        <v>2</v>
      </c>
      <c r="D45" s="5">
        <v>3</v>
      </c>
      <c r="E45" s="5">
        <v>16</v>
      </c>
      <c r="F45" s="5">
        <v>12</v>
      </c>
      <c r="H45" s="4">
        <v>44</v>
      </c>
      <c r="I45" s="1">
        <f t="shared" si="0"/>
        <v>0.75</v>
      </c>
    </row>
    <row r="46" spans="1:9" x14ac:dyDescent="0.2">
      <c r="A46" s="2"/>
      <c r="B46" s="3">
        <v>43</v>
      </c>
      <c r="C46" s="5">
        <v>4</v>
      </c>
      <c r="D46" s="5">
        <v>26</v>
      </c>
      <c r="E46" s="5">
        <v>36</v>
      </c>
      <c r="F46" s="5">
        <v>73</v>
      </c>
      <c r="H46" s="4">
        <v>164</v>
      </c>
      <c r="I46" s="1">
        <f t="shared" si="0"/>
        <v>0.84756097560975607</v>
      </c>
    </row>
    <row r="47" spans="1:9" x14ac:dyDescent="0.2">
      <c r="A47" s="2"/>
      <c r="B47" s="3">
        <v>44</v>
      </c>
      <c r="C47" s="5">
        <v>4</v>
      </c>
      <c r="D47" s="5">
        <v>31</v>
      </c>
      <c r="E47" s="5">
        <v>67</v>
      </c>
      <c r="F47" s="5">
        <v>55</v>
      </c>
      <c r="H47" s="4">
        <v>219</v>
      </c>
      <c r="I47" s="1">
        <f t="shared" si="0"/>
        <v>0.71689497716894979</v>
      </c>
    </row>
    <row r="48" spans="1:9" x14ac:dyDescent="0.2">
      <c r="A48" s="2"/>
      <c r="B48" s="3">
        <v>45</v>
      </c>
      <c r="C48" s="5">
        <v>1</v>
      </c>
      <c r="D48" s="5">
        <v>5</v>
      </c>
      <c r="E48" s="5">
        <v>24</v>
      </c>
      <c r="F48" s="5">
        <v>13</v>
      </c>
      <c r="H48" s="4">
        <v>63</v>
      </c>
      <c r="I48" s="1">
        <f t="shared" si="0"/>
        <v>0.68253968253968256</v>
      </c>
    </row>
    <row r="49" spans="1:9" x14ac:dyDescent="0.2">
      <c r="A49" s="2"/>
      <c r="B49" s="3">
        <v>46</v>
      </c>
      <c r="C49" s="5">
        <v>29</v>
      </c>
      <c r="D49" s="5">
        <v>37</v>
      </c>
      <c r="E49" s="5">
        <v>68</v>
      </c>
      <c r="F49" s="5">
        <v>115</v>
      </c>
      <c r="H49" s="4">
        <v>289</v>
      </c>
      <c r="I49" s="1">
        <f t="shared" si="0"/>
        <v>0.86159169550173009</v>
      </c>
    </row>
    <row r="50" spans="1:9" x14ac:dyDescent="0.2">
      <c r="A50" s="2"/>
      <c r="B50" s="3">
        <v>47</v>
      </c>
      <c r="C50" s="5">
        <v>13</v>
      </c>
      <c r="D50" s="5">
        <v>42</v>
      </c>
      <c r="E50" s="5">
        <v>66</v>
      </c>
      <c r="F50" s="5">
        <v>27</v>
      </c>
      <c r="H50" s="4">
        <v>219</v>
      </c>
      <c r="I50" s="1">
        <f t="shared" si="0"/>
        <v>0.67579908675799083</v>
      </c>
    </row>
    <row r="51" spans="1:9" x14ac:dyDescent="0.2">
      <c r="A51" s="2"/>
      <c r="B51" s="3">
        <v>48</v>
      </c>
      <c r="C51" s="5">
        <v>12</v>
      </c>
      <c r="D51" s="5">
        <v>36</v>
      </c>
      <c r="E51" s="5">
        <v>82</v>
      </c>
      <c r="F51" s="5">
        <v>16</v>
      </c>
      <c r="H51" s="4">
        <v>229</v>
      </c>
      <c r="I51" s="1">
        <f t="shared" si="0"/>
        <v>0.63755458515283847</v>
      </c>
    </row>
    <row r="52" spans="1:9" x14ac:dyDescent="0.2">
      <c r="A52" s="2"/>
      <c r="B52" s="3">
        <v>49</v>
      </c>
      <c r="C52" s="5">
        <v>5</v>
      </c>
      <c r="D52" s="5">
        <v>1</v>
      </c>
      <c r="E52" s="5">
        <v>41</v>
      </c>
      <c r="F52" s="5">
        <v>3</v>
      </c>
      <c r="H52" s="4">
        <v>63</v>
      </c>
      <c r="I52" s="1">
        <f t="shared" si="0"/>
        <v>0.79365079365079361</v>
      </c>
    </row>
    <row r="53" spans="1:9" x14ac:dyDescent="0.2">
      <c r="A53" s="2"/>
      <c r="B53" s="3">
        <v>50</v>
      </c>
      <c r="C53" s="5">
        <v>8</v>
      </c>
      <c r="D53" s="5">
        <v>16</v>
      </c>
      <c r="E53" s="5">
        <v>63</v>
      </c>
      <c r="F53" s="5">
        <v>5</v>
      </c>
      <c r="H53" s="4">
        <v>140</v>
      </c>
      <c r="I53" s="1">
        <f t="shared" si="0"/>
        <v>0.65714285714285714</v>
      </c>
    </row>
    <row r="54" spans="1:9" x14ac:dyDescent="0.2">
      <c r="A54" s="2"/>
      <c r="B54" s="3">
        <v>51</v>
      </c>
      <c r="C54" s="5">
        <v>0</v>
      </c>
      <c r="D54" s="5">
        <v>2</v>
      </c>
      <c r="E54" s="5">
        <v>7</v>
      </c>
      <c r="F54" s="5">
        <v>3</v>
      </c>
      <c r="H54" s="4">
        <v>28</v>
      </c>
      <c r="I54" s="1">
        <f t="shared" si="0"/>
        <v>0.42857142857142855</v>
      </c>
    </row>
    <row r="55" spans="1:9" x14ac:dyDescent="0.2">
      <c r="A55" s="2"/>
      <c r="B55" s="3">
        <v>52</v>
      </c>
      <c r="C55" s="5">
        <v>10</v>
      </c>
      <c r="D55" s="5">
        <v>16</v>
      </c>
      <c r="E55" s="5">
        <v>81</v>
      </c>
      <c r="F55" s="5">
        <v>51</v>
      </c>
      <c r="H55" s="4">
        <v>234</v>
      </c>
      <c r="I55" s="1">
        <f t="shared" si="0"/>
        <v>0.67521367521367526</v>
      </c>
    </row>
    <row r="56" spans="1:9" x14ac:dyDescent="0.2">
      <c r="A56" s="2"/>
      <c r="B56" s="3">
        <v>53</v>
      </c>
      <c r="C56" s="5">
        <v>6</v>
      </c>
      <c r="D56" s="5">
        <v>4</v>
      </c>
      <c r="E56" s="5">
        <v>86</v>
      </c>
      <c r="F56" s="5">
        <v>56</v>
      </c>
      <c r="H56" s="4">
        <v>190</v>
      </c>
      <c r="I56" s="1">
        <f t="shared" si="0"/>
        <v>0.8</v>
      </c>
    </row>
    <row r="57" spans="1:9" x14ac:dyDescent="0.2">
      <c r="A57" s="2"/>
      <c r="B57" s="3">
        <v>54</v>
      </c>
      <c r="C57" s="5">
        <v>2</v>
      </c>
      <c r="D57" s="5">
        <v>33</v>
      </c>
      <c r="E57" s="5">
        <v>65</v>
      </c>
      <c r="F57" s="5">
        <v>192</v>
      </c>
      <c r="H57" s="4">
        <v>369</v>
      </c>
      <c r="I57" s="1">
        <f t="shared" si="0"/>
        <v>0.79132791327913277</v>
      </c>
    </row>
    <row r="58" spans="1:9" x14ac:dyDescent="0.2">
      <c r="A58" s="2"/>
      <c r="B58" s="3">
        <v>55</v>
      </c>
      <c r="C58" s="5">
        <v>0</v>
      </c>
      <c r="D58" s="5">
        <v>22</v>
      </c>
      <c r="E58" s="5">
        <v>44</v>
      </c>
      <c r="F58" s="5">
        <v>8</v>
      </c>
      <c r="H58" s="4">
        <v>167</v>
      </c>
      <c r="I58" s="1">
        <f t="shared" si="0"/>
        <v>0.44311377245508982</v>
      </c>
    </row>
    <row r="59" spans="1:9" x14ac:dyDescent="0.2">
      <c r="A59" s="2"/>
      <c r="B59" s="3">
        <v>56</v>
      </c>
      <c r="C59" s="5">
        <v>18</v>
      </c>
      <c r="D59" s="5">
        <v>21</v>
      </c>
      <c r="E59" s="5">
        <v>89</v>
      </c>
      <c r="F59" s="5">
        <v>5</v>
      </c>
      <c r="H59" s="4">
        <v>266</v>
      </c>
      <c r="I59" s="1">
        <f t="shared" si="0"/>
        <v>0.5</v>
      </c>
    </row>
    <row r="60" spans="1:9" x14ac:dyDescent="0.2">
      <c r="A60" s="2"/>
      <c r="B60" s="3">
        <v>57</v>
      </c>
      <c r="C60" s="5">
        <v>9</v>
      </c>
      <c r="D60" s="5">
        <v>1</v>
      </c>
      <c r="E60" s="5">
        <v>81</v>
      </c>
      <c r="F60" s="5">
        <v>50</v>
      </c>
      <c r="H60" s="4">
        <v>219</v>
      </c>
      <c r="I60" s="1">
        <f t="shared" si="0"/>
        <v>0.64383561643835618</v>
      </c>
    </row>
    <row r="61" spans="1:9" x14ac:dyDescent="0.2">
      <c r="A61" s="2"/>
      <c r="B61" s="3">
        <v>58</v>
      </c>
      <c r="C61" s="5">
        <v>14</v>
      </c>
      <c r="D61" s="5">
        <v>35</v>
      </c>
      <c r="E61" s="5">
        <v>25</v>
      </c>
      <c r="F61" s="5">
        <v>10</v>
      </c>
      <c r="H61" s="4">
        <v>212</v>
      </c>
      <c r="I61" s="1">
        <f t="shared" si="0"/>
        <v>0.39622641509433965</v>
      </c>
    </row>
    <row r="62" spans="1:9" x14ac:dyDescent="0.2">
      <c r="A62" s="2"/>
      <c r="B62" s="3">
        <v>59</v>
      </c>
      <c r="C62" s="5">
        <v>0</v>
      </c>
      <c r="D62" s="5">
        <v>28</v>
      </c>
      <c r="E62" s="5">
        <v>86</v>
      </c>
      <c r="F62" s="5">
        <v>17</v>
      </c>
      <c r="H62" s="4">
        <v>152</v>
      </c>
      <c r="I62" s="1">
        <f t="shared" si="0"/>
        <v>0.86184210526315785</v>
      </c>
    </row>
    <row r="63" spans="1:9" x14ac:dyDescent="0.2">
      <c r="A63" s="2"/>
      <c r="B63" s="3">
        <v>60</v>
      </c>
      <c r="C63" s="5">
        <v>7</v>
      </c>
      <c r="D63" s="5">
        <v>29</v>
      </c>
      <c r="E63" s="5">
        <v>56</v>
      </c>
      <c r="F63" s="5">
        <v>53</v>
      </c>
      <c r="H63" s="4">
        <v>206</v>
      </c>
      <c r="I63" s="1">
        <f t="shared" si="0"/>
        <v>0.70388349514563109</v>
      </c>
    </row>
    <row r="64" spans="1:9" x14ac:dyDescent="0.2">
      <c r="A64" s="2"/>
      <c r="B64" s="3">
        <v>61</v>
      </c>
      <c r="C64" s="5">
        <v>27</v>
      </c>
      <c r="D64" s="5">
        <v>6</v>
      </c>
      <c r="E64" s="5">
        <v>93</v>
      </c>
      <c r="F64" s="5">
        <v>168</v>
      </c>
      <c r="H64" s="4">
        <v>346</v>
      </c>
      <c r="I64" s="1">
        <f t="shared" si="0"/>
        <v>0.8497109826589595</v>
      </c>
    </row>
    <row r="65" spans="1:9" x14ac:dyDescent="0.2">
      <c r="A65" s="2"/>
      <c r="B65" s="3">
        <v>62</v>
      </c>
      <c r="C65" s="5">
        <v>2</v>
      </c>
      <c r="D65" s="5">
        <v>15</v>
      </c>
      <c r="E65" s="5">
        <v>31</v>
      </c>
      <c r="F65" s="5">
        <v>21</v>
      </c>
      <c r="H65" s="4">
        <v>115</v>
      </c>
      <c r="I65" s="1">
        <f t="shared" si="0"/>
        <v>0.6</v>
      </c>
    </row>
    <row r="66" spans="1:9" x14ac:dyDescent="0.2">
      <c r="A66" s="2"/>
      <c r="B66" s="3">
        <v>63</v>
      </c>
      <c r="C66" s="5">
        <v>2</v>
      </c>
      <c r="D66" s="5">
        <v>1</v>
      </c>
      <c r="E66" s="5">
        <v>20</v>
      </c>
      <c r="F66" s="5">
        <v>57</v>
      </c>
      <c r="H66" s="4">
        <v>161</v>
      </c>
      <c r="I66" s="1">
        <f t="shared" si="0"/>
        <v>0.49689440993788819</v>
      </c>
    </row>
    <row r="67" spans="1:9" x14ac:dyDescent="0.2">
      <c r="A67" s="2"/>
      <c r="B67" s="3">
        <v>64</v>
      </c>
      <c r="C67" s="5">
        <v>8</v>
      </c>
      <c r="D67" s="5">
        <v>20</v>
      </c>
      <c r="E67" s="5">
        <v>154</v>
      </c>
      <c r="F67" s="5">
        <v>67</v>
      </c>
      <c r="H67" s="4">
        <v>254</v>
      </c>
      <c r="I67" s="1">
        <f t="shared" si="0"/>
        <v>0.98031496062992129</v>
      </c>
    </row>
    <row r="68" spans="1:9" x14ac:dyDescent="0.2">
      <c r="A68" s="2"/>
      <c r="B68" s="3">
        <v>65</v>
      </c>
      <c r="C68" s="5">
        <v>10</v>
      </c>
      <c r="D68" s="5">
        <v>27</v>
      </c>
      <c r="E68" s="5">
        <v>39</v>
      </c>
      <c r="F68" s="5">
        <v>8</v>
      </c>
      <c r="H68" s="4">
        <v>116</v>
      </c>
      <c r="I68" s="1">
        <f t="shared" si="0"/>
        <v>0.72413793103448276</v>
      </c>
    </row>
    <row r="69" spans="1:9" x14ac:dyDescent="0.2">
      <c r="A69" s="2"/>
      <c r="B69" s="3">
        <v>66</v>
      </c>
      <c r="C69" s="5">
        <v>8</v>
      </c>
      <c r="D69" s="5">
        <v>6</v>
      </c>
      <c r="E69" s="5">
        <v>29</v>
      </c>
      <c r="F69" s="5">
        <v>3</v>
      </c>
      <c r="H69" s="4">
        <v>88</v>
      </c>
      <c r="I69" s="1">
        <f t="shared" ref="I69:I93" si="1">SUM(C69:F69)/H69</f>
        <v>0.52272727272727271</v>
      </c>
    </row>
    <row r="70" spans="1:9" x14ac:dyDescent="0.2">
      <c r="A70" s="2"/>
      <c r="B70" s="3">
        <v>67</v>
      </c>
      <c r="C70" s="5">
        <v>21</v>
      </c>
      <c r="D70" s="5">
        <v>49</v>
      </c>
      <c r="E70" s="5">
        <v>89</v>
      </c>
      <c r="F70" s="5">
        <v>81</v>
      </c>
      <c r="H70" s="4">
        <v>252</v>
      </c>
      <c r="I70" s="1">
        <f t="shared" si="1"/>
        <v>0.95238095238095233</v>
      </c>
    </row>
    <row r="71" spans="1:9" x14ac:dyDescent="0.2">
      <c r="A71" s="2"/>
      <c r="B71" s="3">
        <v>68</v>
      </c>
      <c r="C71" s="5">
        <v>8</v>
      </c>
      <c r="D71" s="5">
        <v>47</v>
      </c>
      <c r="E71" s="5">
        <v>30</v>
      </c>
      <c r="F71" s="5">
        <v>56</v>
      </c>
      <c r="H71" s="4">
        <v>158</v>
      </c>
      <c r="I71" s="1">
        <f t="shared" si="1"/>
        <v>0.89240506329113922</v>
      </c>
    </row>
    <row r="72" spans="1:9" x14ac:dyDescent="0.2">
      <c r="A72" s="2"/>
      <c r="B72" s="3">
        <v>69</v>
      </c>
      <c r="C72" s="5">
        <v>8</v>
      </c>
      <c r="D72" s="5">
        <v>4</v>
      </c>
      <c r="E72" s="5">
        <v>60</v>
      </c>
      <c r="F72" s="5">
        <v>16</v>
      </c>
      <c r="H72" s="4">
        <v>92</v>
      </c>
      <c r="I72" s="1">
        <f t="shared" si="1"/>
        <v>0.95652173913043481</v>
      </c>
    </row>
    <row r="73" spans="1:9" x14ac:dyDescent="0.2">
      <c r="A73" s="2"/>
      <c r="B73" s="3">
        <v>70</v>
      </c>
      <c r="C73" s="5">
        <v>0</v>
      </c>
      <c r="D73" s="5">
        <v>3</v>
      </c>
      <c r="E73" s="5">
        <v>7</v>
      </c>
      <c r="F73" s="5">
        <v>7</v>
      </c>
      <c r="H73" s="4">
        <v>22</v>
      </c>
      <c r="I73" s="1">
        <f t="shared" si="1"/>
        <v>0.77272727272727271</v>
      </c>
    </row>
    <row r="74" spans="1:9" x14ac:dyDescent="0.2">
      <c r="A74" s="2"/>
      <c r="B74" s="3">
        <v>71</v>
      </c>
      <c r="C74" s="5">
        <v>8</v>
      </c>
      <c r="D74" s="5">
        <v>10</v>
      </c>
      <c r="E74" s="5">
        <v>31</v>
      </c>
      <c r="F74" s="5">
        <v>38</v>
      </c>
      <c r="H74" s="4">
        <v>139</v>
      </c>
      <c r="I74" s="1">
        <f t="shared" si="1"/>
        <v>0.62589928057553956</v>
      </c>
    </row>
    <row r="75" spans="1:9" x14ac:dyDescent="0.2">
      <c r="A75" s="2"/>
      <c r="B75" s="3">
        <v>72</v>
      </c>
      <c r="C75" s="5">
        <v>2</v>
      </c>
      <c r="D75" s="5">
        <v>24</v>
      </c>
      <c r="E75" s="5">
        <v>31</v>
      </c>
      <c r="F75" s="5">
        <v>54</v>
      </c>
      <c r="H75" s="4">
        <v>193</v>
      </c>
      <c r="I75" s="1">
        <f t="shared" si="1"/>
        <v>0.57512953367875652</v>
      </c>
    </row>
    <row r="76" spans="1:9" x14ac:dyDescent="0.2">
      <c r="A76" s="2"/>
      <c r="B76" s="3">
        <v>73</v>
      </c>
      <c r="C76" s="5">
        <v>8</v>
      </c>
      <c r="D76" s="5">
        <v>14</v>
      </c>
      <c r="E76" s="5">
        <v>108</v>
      </c>
      <c r="F76" s="5">
        <v>47</v>
      </c>
      <c r="H76" s="4">
        <v>258</v>
      </c>
      <c r="I76" s="1">
        <f t="shared" si="1"/>
        <v>0.68604651162790697</v>
      </c>
    </row>
    <row r="77" spans="1:9" x14ac:dyDescent="0.2">
      <c r="A77" s="2"/>
      <c r="B77" s="3">
        <v>74</v>
      </c>
      <c r="C77" s="5">
        <v>8</v>
      </c>
      <c r="D77" s="5">
        <v>29</v>
      </c>
      <c r="E77" s="5">
        <v>51</v>
      </c>
      <c r="F77" s="5">
        <v>60</v>
      </c>
      <c r="H77" s="4">
        <v>153</v>
      </c>
      <c r="I77" s="1">
        <f t="shared" si="1"/>
        <v>0.9673202614379085</v>
      </c>
    </row>
    <row r="78" spans="1:9" x14ac:dyDescent="0.2">
      <c r="A78" s="2"/>
      <c r="B78" s="3">
        <v>75</v>
      </c>
      <c r="C78" s="5">
        <v>6</v>
      </c>
      <c r="D78" s="5">
        <v>9</v>
      </c>
      <c r="E78" s="5">
        <v>5</v>
      </c>
      <c r="F78" s="5">
        <v>25</v>
      </c>
      <c r="H78" s="4">
        <v>96</v>
      </c>
      <c r="I78" s="1">
        <f t="shared" si="1"/>
        <v>0.46875</v>
      </c>
    </row>
    <row r="79" spans="1:9" x14ac:dyDescent="0.2">
      <c r="A79" s="2"/>
      <c r="B79" s="3">
        <v>76</v>
      </c>
      <c r="C79" s="5">
        <v>5</v>
      </c>
      <c r="D79" s="5">
        <v>17</v>
      </c>
      <c r="E79" s="5">
        <v>103</v>
      </c>
      <c r="F79" s="5">
        <v>65</v>
      </c>
      <c r="H79" s="4">
        <v>290</v>
      </c>
      <c r="I79" s="1">
        <f t="shared" si="1"/>
        <v>0.65517241379310343</v>
      </c>
    </row>
    <row r="80" spans="1:9" x14ac:dyDescent="0.2">
      <c r="A80" s="2"/>
      <c r="B80" s="3">
        <v>77</v>
      </c>
      <c r="C80" s="5">
        <v>17</v>
      </c>
      <c r="D80" s="5">
        <v>41</v>
      </c>
      <c r="E80" s="5">
        <v>26</v>
      </c>
      <c r="F80" s="5">
        <v>59</v>
      </c>
      <c r="H80" s="4">
        <v>176</v>
      </c>
      <c r="I80" s="1">
        <f t="shared" si="1"/>
        <v>0.8125</v>
      </c>
    </row>
    <row r="81" spans="1:9" x14ac:dyDescent="0.2">
      <c r="A81" s="2"/>
      <c r="B81" s="3">
        <v>78</v>
      </c>
      <c r="C81" s="5">
        <v>9</v>
      </c>
      <c r="D81" s="5">
        <v>20</v>
      </c>
      <c r="E81" s="5">
        <v>81</v>
      </c>
      <c r="F81" s="5">
        <v>3</v>
      </c>
      <c r="H81" s="4">
        <v>137</v>
      </c>
      <c r="I81" s="1">
        <f t="shared" si="1"/>
        <v>0.82481751824817517</v>
      </c>
    </row>
    <row r="82" spans="1:9" x14ac:dyDescent="0.2">
      <c r="A82" s="2"/>
      <c r="B82" s="3">
        <v>79</v>
      </c>
      <c r="C82" s="5">
        <v>2</v>
      </c>
      <c r="D82" s="5">
        <v>6</v>
      </c>
      <c r="E82" s="5">
        <v>36</v>
      </c>
      <c r="F82" s="5">
        <v>8</v>
      </c>
      <c r="H82" s="4">
        <v>126</v>
      </c>
      <c r="I82" s="1">
        <f t="shared" si="1"/>
        <v>0.41269841269841268</v>
      </c>
    </row>
    <row r="83" spans="1:9" x14ac:dyDescent="0.2">
      <c r="A83" s="2"/>
      <c r="B83" s="3">
        <v>80</v>
      </c>
      <c r="C83" s="5">
        <v>2</v>
      </c>
      <c r="D83" s="5">
        <v>5</v>
      </c>
      <c r="E83" s="5">
        <v>0</v>
      </c>
      <c r="F83" s="5">
        <v>4</v>
      </c>
      <c r="H83" s="4">
        <v>22</v>
      </c>
      <c r="I83" s="1">
        <f t="shared" si="1"/>
        <v>0.5</v>
      </c>
    </row>
    <row r="84" spans="1:9" x14ac:dyDescent="0.2">
      <c r="A84" s="2"/>
      <c r="B84" s="3">
        <v>81</v>
      </c>
      <c r="C84" s="5">
        <v>22</v>
      </c>
      <c r="D84" s="5">
        <v>57</v>
      </c>
      <c r="E84" s="5">
        <v>133</v>
      </c>
      <c r="F84" s="5">
        <v>0</v>
      </c>
      <c r="H84" s="4">
        <v>265</v>
      </c>
      <c r="I84" s="1">
        <f t="shared" si="1"/>
        <v>0.8</v>
      </c>
    </row>
    <row r="85" spans="1:9" x14ac:dyDescent="0.2">
      <c r="A85" s="2"/>
      <c r="B85" s="3">
        <v>82</v>
      </c>
      <c r="C85" s="5">
        <v>2</v>
      </c>
      <c r="D85" s="5">
        <v>14</v>
      </c>
      <c r="E85" s="5">
        <v>47</v>
      </c>
      <c r="F85" s="5">
        <v>14</v>
      </c>
      <c r="H85" s="4">
        <v>123</v>
      </c>
      <c r="I85" s="1">
        <f t="shared" si="1"/>
        <v>0.62601626016260159</v>
      </c>
    </row>
    <row r="86" spans="1:9" x14ac:dyDescent="0.2">
      <c r="A86" s="2"/>
      <c r="B86" s="3">
        <v>83</v>
      </c>
      <c r="C86" s="5">
        <v>21</v>
      </c>
      <c r="D86" s="5">
        <v>10</v>
      </c>
      <c r="E86" s="5">
        <v>23</v>
      </c>
      <c r="F86" s="5">
        <v>114</v>
      </c>
      <c r="H86" s="4">
        <v>178</v>
      </c>
      <c r="I86" s="1">
        <f t="shared" si="1"/>
        <v>0.9438202247191011</v>
      </c>
    </row>
    <row r="87" spans="1:9" x14ac:dyDescent="0.2">
      <c r="A87" s="2"/>
      <c r="B87" s="3">
        <v>84</v>
      </c>
      <c r="C87" s="5">
        <v>12</v>
      </c>
      <c r="D87" s="5">
        <v>28</v>
      </c>
      <c r="E87" s="5">
        <v>45</v>
      </c>
      <c r="F87" s="5">
        <v>101</v>
      </c>
      <c r="H87" s="4">
        <v>265</v>
      </c>
      <c r="I87" s="1">
        <f t="shared" si="1"/>
        <v>0.70188679245283014</v>
      </c>
    </row>
    <row r="88" spans="1:9" x14ac:dyDescent="0.2">
      <c r="A88" s="2"/>
      <c r="B88" s="3">
        <v>85</v>
      </c>
      <c r="C88" s="5">
        <v>21</v>
      </c>
      <c r="D88" s="5">
        <v>50</v>
      </c>
      <c r="E88" s="5">
        <v>28</v>
      </c>
      <c r="F88" s="5">
        <v>33</v>
      </c>
      <c r="H88" s="4">
        <v>259</v>
      </c>
      <c r="I88" s="1">
        <f t="shared" si="1"/>
        <v>0.50965250965250963</v>
      </c>
    </row>
    <row r="89" spans="1:9" x14ac:dyDescent="0.2">
      <c r="A89" s="2"/>
      <c r="B89" s="3">
        <v>86</v>
      </c>
      <c r="C89" s="5">
        <v>7</v>
      </c>
      <c r="D89" s="5">
        <v>40</v>
      </c>
      <c r="E89" s="5">
        <v>117</v>
      </c>
      <c r="F89" s="5">
        <v>35</v>
      </c>
      <c r="H89" s="4">
        <v>209</v>
      </c>
      <c r="I89" s="1">
        <f t="shared" si="1"/>
        <v>0.95215311004784686</v>
      </c>
    </row>
    <row r="90" spans="1:9" x14ac:dyDescent="0.2">
      <c r="A90" s="2"/>
      <c r="B90" s="3">
        <v>87</v>
      </c>
      <c r="C90" s="5">
        <v>11</v>
      </c>
      <c r="D90" s="5">
        <v>13</v>
      </c>
      <c r="E90" s="5">
        <v>12</v>
      </c>
      <c r="F90" s="5">
        <v>64</v>
      </c>
      <c r="H90" s="4">
        <v>111</v>
      </c>
      <c r="I90" s="1">
        <f t="shared" si="1"/>
        <v>0.90090090090090091</v>
      </c>
    </row>
    <row r="91" spans="1:9" x14ac:dyDescent="0.2">
      <c r="A91" s="2"/>
      <c r="B91" s="3">
        <v>88</v>
      </c>
      <c r="C91" s="5">
        <v>1</v>
      </c>
      <c r="D91" s="5">
        <v>4</v>
      </c>
      <c r="E91" s="5">
        <v>23</v>
      </c>
      <c r="F91" s="5">
        <v>13</v>
      </c>
      <c r="H91" s="4">
        <v>45</v>
      </c>
      <c r="I91" s="1">
        <f t="shared" si="1"/>
        <v>0.91111111111111109</v>
      </c>
    </row>
    <row r="92" spans="1:9" x14ac:dyDescent="0.2">
      <c r="A92" s="2"/>
      <c r="B92" s="3">
        <v>89</v>
      </c>
      <c r="C92" s="5">
        <v>1</v>
      </c>
      <c r="D92" s="5">
        <v>12</v>
      </c>
      <c r="E92" s="5">
        <v>23</v>
      </c>
      <c r="F92" s="5">
        <v>24</v>
      </c>
      <c r="H92" s="4">
        <v>100</v>
      </c>
      <c r="I92" s="1">
        <f t="shared" si="1"/>
        <v>0.6</v>
      </c>
    </row>
    <row r="93" spans="1:9" x14ac:dyDescent="0.2">
      <c r="A93" s="2"/>
      <c r="B93" s="3">
        <v>90</v>
      </c>
      <c r="C93" s="5">
        <v>16</v>
      </c>
      <c r="D93" s="5">
        <v>42</v>
      </c>
      <c r="E93" s="5">
        <v>195</v>
      </c>
      <c r="F93" s="5">
        <v>10</v>
      </c>
      <c r="H93" s="4">
        <v>371</v>
      </c>
      <c r="I93" s="1">
        <f t="shared" si="1"/>
        <v>0.70889487870619949</v>
      </c>
    </row>
    <row r="95" spans="1:9" x14ac:dyDescent="0.2">
      <c r="B95" t="s">
        <v>22</v>
      </c>
      <c r="C95" s="2">
        <f>MIN(C4:C93)</f>
        <v>0</v>
      </c>
      <c r="D95" s="2">
        <f>MIN(D4:D93)</f>
        <v>0</v>
      </c>
      <c r="E95" s="2">
        <f>MIN(E4:E93)</f>
        <v>0</v>
      </c>
      <c r="F95" s="2">
        <f>MIN(F4:F93)</f>
        <v>0</v>
      </c>
    </row>
    <row r="96" spans="1:9" x14ac:dyDescent="0.2">
      <c r="B96" t="s">
        <v>23</v>
      </c>
      <c r="C96" s="2">
        <f>MAX(C4:C93)</f>
        <v>30</v>
      </c>
      <c r="D96" s="2">
        <f>MAX(D4:D93)</f>
        <v>57</v>
      </c>
      <c r="E96" s="2">
        <f>MAX(E4:E93)</f>
        <v>195</v>
      </c>
      <c r="F96" s="2">
        <f>MAX(F4:F93)</f>
        <v>192</v>
      </c>
    </row>
    <row r="97" spans="2:6" x14ac:dyDescent="0.2">
      <c r="B97" t="s">
        <v>24</v>
      </c>
      <c r="C97" s="1">
        <f>AVERAGE(C4:C93)</f>
        <v>8.6111111111111107</v>
      </c>
      <c r="D97" s="1">
        <f>AVERAGE(D4:D93)</f>
        <v>18.733333333333334</v>
      </c>
      <c r="E97" s="1">
        <f>AVERAGE(E4:E93)</f>
        <v>50.277777777777779</v>
      </c>
      <c r="F97" s="1">
        <f>AVERAGE(F4:F93)</f>
        <v>40.277777777777779</v>
      </c>
    </row>
    <row r="98" spans="2:6" x14ac:dyDescent="0.2">
      <c r="B98" t="s">
        <v>25</v>
      </c>
      <c r="C98" s="1">
        <f>STDEV(C4:C93)</f>
        <v>7.8678615863887558</v>
      </c>
      <c r="D98" s="1">
        <f>STDEV(D4:D93)</f>
        <v>14.664640649987248</v>
      </c>
      <c r="E98" s="1">
        <f>STDEV(E4:E93)</f>
        <v>37.607681434401279</v>
      </c>
      <c r="F98" s="1">
        <f>STDEV(F4:F93)</f>
        <v>38.764059508944413</v>
      </c>
    </row>
    <row r="99" spans="2:6" x14ac:dyDescent="0.2">
      <c r="B99" t="s">
        <v>26</v>
      </c>
      <c r="C99" s="1">
        <f>C98/C97</f>
        <v>0.91368715196772654</v>
      </c>
      <c r="D99" s="1">
        <f>D98/D97</f>
        <v>0.78280999910963955</v>
      </c>
      <c r="E99" s="1">
        <f>E98/E97</f>
        <v>0.74799808377814692</v>
      </c>
      <c r="F99" s="1">
        <f>F98/F97</f>
        <v>0.96241802918758546</v>
      </c>
    </row>
    <row r="101" spans="2:6" x14ac:dyDescent="0.2">
      <c r="B101" t="s">
        <v>39</v>
      </c>
    </row>
    <row r="103" spans="2:6" x14ac:dyDescent="0.2">
      <c r="B103" t="s">
        <v>40</v>
      </c>
      <c r="C103" s="3" t="s">
        <v>5</v>
      </c>
      <c r="D103" s="3" t="s">
        <v>6</v>
      </c>
      <c r="E103" s="3" t="s">
        <v>7</v>
      </c>
      <c r="F103" s="3" t="s">
        <v>8</v>
      </c>
    </row>
    <row r="104" spans="2:6" x14ac:dyDescent="0.2">
      <c r="B104" t="s">
        <v>27</v>
      </c>
      <c r="C104" s="4">
        <f>SUM(C4:C10)</f>
        <v>68</v>
      </c>
      <c r="D104" s="4">
        <f t="shared" ref="D104:F104" si="2">SUM(D4:D10)</f>
        <v>58</v>
      </c>
      <c r="E104" s="4">
        <f t="shared" si="2"/>
        <v>294</v>
      </c>
      <c r="F104" s="4">
        <f t="shared" si="2"/>
        <v>175</v>
      </c>
    </row>
    <row r="105" spans="2:6" x14ac:dyDescent="0.2">
      <c r="B105" t="s">
        <v>28</v>
      </c>
      <c r="C105" s="4">
        <f>SUM(C11:C17)</f>
        <v>38</v>
      </c>
      <c r="D105" s="4">
        <f>SUM(D11:D17)</f>
        <v>138</v>
      </c>
      <c r="E105" s="4">
        <f>SUM(E11:E17)</f>
        <v>359</v>
      </c>
      <c r="F105" s="4">
        <f>SUM(F11:F17)</f>
        <v>311</v>
      </c>
    </row>
    <row r="106" spans="2:6" x14ac:dyDescent="0.2">
      <c r="B106" t="s">
        <v>29</v>
      </c>
      <c r="C106" s="4">
        <f>SUM(C18:C24)</f>
        <v>98</v>
      </c>
      <c r="D106" s="4">
        <f>SUM(D18:D24)</f>
        <v>120</v>
      </c>
      <c r="E106" s="4">
        <f>SUM(E18:E24)</f>
        <v>397</v>
      </c>
      <c r="F106" s="4">
        <f>SUM(F18:F24)</f>
        <v>397</v>
      </c>
    </row>
    <row r="107" spans="2:6" x14ac:dyDescent="0.2">
      <c r="B107" t="s">
        <v>30</v>
      </c>
      <c r="C107" s="4">
        <f>SUM(C25:C31)</f>
        <v>37</v>
      </c>
      <c r="D107" s="4">
        <f>SUM(D25:D31)</f>
        <v>139</v>
      </c>
      <c r="E107" s="4">
        <f>SUM(E25:E31)</f>
        <v>203</v>
      </c>
      <c r="F107" s="4">
        <f>SUM(F25:F31)</f>
        <v>257</v>
      </c>
    </row>
    <row r="108" spans="2:6" x14ac:dyDescent="0.2">
      <c r="B108" t="s">
        <v>31</v>
      </c>
      <c r="C108" s="4">
        <f>SUM(C32:C38)</f>
        <v>83</v>
      </c>
      <c r="D108" s="4">
        <f>SUM(D32:D38)</f>
        <v>131</v>
      </c>
      <c r="E108" s="4">
        <f>SUM(E32:E38)</f>
        <v>296</v>
      </c>
      <c r="F108" s="4">
        <f>SUM(F32:F38)</f>
        <v>317</v>
      </c>
    </row>
    <row r="109" spans="2:6" x14ac:dyDescent="0.2">
      <c r="B109" t="s">
        <v>32</v>
      </c>
      <c r="C109" s="4">
        <f>SUM(C39:C45)</f>
        <v>34</v>
      </c>
      <c r="D109" s="4">
        <f>SUM(D39:D45)</f>
        <v>92</v>
      </c>
      <c r="E109" s="4">
        <f>SUM(E39:E45)</f>
        <v>239</v>
      </c>
      <c r="F109" s="4">
        <f>SUM(F39:F45)</f>
        <v>161</v>
      </c>
    </row>
    <row r="110" spans="2:6" x14ac:dyDescent="0.2">
      <c r="B110" t="s">
        <v>33</v>
      </c>
      <c r="C110" s="4">
        <f>SUM(C46:C52)</f>
        <v>68</v>
      </c>
      <c r="D110" s="4">
        <f>SUM(D46:D52)</f>
        <v>178</v>
      </c>
      <c r="E110" s="4">
        <f>SUM(E46:E52)</f>
        <v>384</v>
      </c>
      <c r="F110" s="4">
        <f>SUM(F46:F52)</f>
        <v>302</v>
      </c>
    </row>
    <row r="111" spans="2:6" x14ac:dyDescent="0.2">
      <c r="B111" t="s">
        <v>34</v>
      </c>
      <c r="C111" s="4">
        <f>SUM(C53:C59)</f>
        <v>44</v>
      </c>
      <c r="D111" s="4">
        <f>SUM(D53:D59)</f>
        <v>114</v>
      </c>
      <c r="E111" s="4">
        <f>SUM(E53:E59)</f>
        <v>435</v>
      </c>
      <c r="F111" s="4">
        <f>SUM(F53:F59)</f>
        <v>320</v>
      </c>
    </row>
    <row r="112" spans="2:6" x14ac:dyDescent="0.2">
      <c r="B112" t="s">
        <v>35</v>
      </c>
      <c r="C112" s="4">
        <f>SUM(C60:C66)</f>
        <v>61</v>
      </c>
      <c r="D112" s="4">
        <f>SUM(D60:D66)</f>
        <v>115</v>
      </c>
      <c r="E112" s="4">
        <f>SUM(E60:E66)</f>
        <v>392</v>
      </c>
      <c r="F112" s="4">
        <f>SUM(F60:F66)</f>
        <v>376</v>
      </c>
    </row>
    <row r="113" spans="2:6" x14ac:dyDescent="0.2">
      <c r="B113" t="s">
        <v>36</v>
      </c>
      <c r="C113" s="4">
        <f>SUM(C67:C73)</f>
        <v>63</v>
      </c>
      <c r="D113" s="4">
        <f>SUM(D67:D73)</f>
        <v>156</v>
      </c>
      <c r="E113" s="4">
        <f>SUM(E67:E73)</f>
        <v>408</v>
      </c>
      <c r="F113" s="4">
        <f>SUM(F67:F73)</f>
        <v>238</v>
      </c>
    </row>
    <row r="114" spans="2:6" x14ac:dyDescent="0.2">
      <c r="B114" t="s">
        <v>37</v>
      </c>
      <c r="C114" s="4">
        <f>SUM(C74:C80)</f>
        <v>54</v>
      </c>
      <c r="D114" s="4">
        <f>SUM(D74:D80)</f>
        <v>144</v>
      </c>
      <c r="E114" s="4">
        <f>SUM(E74:E80)</f>
        <v>355</v>
      </c>
      <c r="F114" s="4">
        <f>SUM(F74:F80)</f>
        <v>348</v>
      </c>
    </row>
    <row r="115" spans="2:6" x14ac:dyDescent="0.2">
      <c r="B115" t="s">
        <v>38</v>
      </c>
      <c r="C115" s="4">
        <f>SUM(C81:C87)</f>
        <v>70</v>
      </c>
      <c r="D115" s="4">
        <f>SUM(D81:D87)</f>
        <v>140</v>
      </c>
      <c r="E115" s="4">
        <f>SUM(E81:E87)</f>
        <v>365</v>
      </c>
      <c r="F115" s="4">
        <f>SUM(F81:F87)</f>
        <v>244</v>
      </c>
    </row>
    <row r="117" spans="2:6" x14ac:dyDescent="0.2">
      <c r="B117" t="s">
        <v>22</v>
      </c>
      <c r="C117" s="2">
        <f>MIN(C104:C115)</f>
        <v>34</v>
      </c>
      <c r="D117" s="2">
        <f>MIN(D104:D115)</f>
        <v>58</v>
      </c>
      <c r="E117" s="2">
        <f>MIN(E104:E115)</f>
        <v>203</v>
      </c>
      <c r="F117" s="2">
        <f>MIN(F104:F115)</f>
        <v>161</v>
      </c>
    </row>
    <row r="118" spans="2:6" x14ac:dyDescent="0.2">
      <c r="B118" t="s">
        <v>23</v>
      </c>
      <c r="C118" s="2">
        <f>MAX(C104:C115)</f>
        <v>98</v>
      </c>
      <c r="D118" s="2">
        <f>MAX(D104:D115)</f>
        <v>178</v>
      </c>
      <c r="E118" s="2">
        <f>MAX(E104:E115)</f>
        <v>435</v>
      </c>
      <c r="F118" s="2">
        <f>MAX(F104:F115)</f>
        <v>397</v>
      </c>
    </row>
    <row r="119" spans="2:6" x14ac:dyDescent="0.2">
      <c r="B119" t="s">
        <v>24</v>
      </c>
      <c r="C119" s="1">
        <f>AVERAGE(C104:C115)</f>
        <v>59.833333333333336</v>
      </c>
      <c r="D119" s="1">
        <f>AVERAGE(D104:D115)</f>
        <v>127.08333333333333</v>
      </c>
      <c r="E119" s="1">
        <f>AVERAGE(E104:E115)</f>
        <v>343.91666666666669</v>
      </c>
      <c r="F119" s="1">
        <f>AVERAGE(F104:F115)</f>
        <v>287.16666666666669</v>
      </c>
    </row>
    <row r="120" spans="2:6" x14ac:dyDescent="0.2">
      <c r="B120" t="s">
        <v>25</v>
      </c>
      <c r="C120" s="1">
        <f>STDEV(C104:C115)</f>
        <v>19.52077370548119</v>
      </c>
      <c r="D120" s="1">
        <f>STDEV(D104:D115)</f>
        <v>30.938232697170044</v>
      </c>
      <c r="E120" s="1">
        <f>STDEV(E104:E115)</f>
        <v>71.086961255957959</v>
      </c>
      <c r="F120" s="1">
        <f>STDEV(F104:F115)</f>
        <v>73.91743961196083</v>
      </c>
    </row>
    <row r="121" spans="2:6" x14ac:dyDescent="0.2">
      <c r="B121" t="s">
        <v>26</v>
      </c>
      <c r="C121" s="1">
        <f>C120/C119</f>
        <v>0.32625248532837642</v>
      </c>
      <c r="D121" s="1">
        <f>D120/D119</f>
        <v>0.2434483884367479</v>
      </c>
      <c r="E121" s="1">
        <f>E120/E119</f>
        <v>0.20669821542803379</v>
      </c>
      <c r="F121" s="1">
        <f>F120/F119</f>
        <v>0.25740257554948631</v>
      </c>
    </row>
    <row r="123" spans="2:6" x14ac:dyDescent="0.2">
      <c r="B123" t="s">
        <v>41</v>
      </c>
    </row>
    <row r="125" spans="2:6" x14ac:dyDescent="0.2">
      <c r="B125" t="s">
        <v>45</v>
      </c>
      <c r="C125" s="3" t="s">
        <v>5</v>
      </c>
      <c r="D125" s="3" t="s">
        <v>6</v>
      </c>
      <c r="E125" s="3" t="s">
        <v>7</v>
      </c>
      <c r="F125" s="3" t="s">
        <v>8</v>
      </c>
    </row>
    <row r="126" spans="2:6" x14ac:dyDescent="0.2">
      <c r="B126" t="s">
        <v>42</v>
      </c>
      <c r="C126" s="4">
        <f>SUM(C4:C33)</f>
        <v>268</v>
      </c>
      <c r="D126" s="4">
        <f>SUM(D4:D33)</f>
        <v>497</v>
      </c>
      <c r="E126" s="4">
        <f>SUM(E4:E33)</f>
        <v>1387</v>
      </c>
      <c r="F126" s="4">
        <f>SUM(F4:F33)</f>
        <v>1203</v>
      </c>
    </row>
    <row r="127" spans="2:6" x14ac:dyDescent="0.2">
      <c r="B127" t="s">
        <v>43</v>
      </c>
      <c r="C127" s="4">
        <f>SUM(C34:C63)</f>
        <v>232</v>
      </c>
      <c r="D127" s="4">
        <f>SUM(D34:D63)</f>
        <v>566</v>
      </c>
      <c r="E127" s="4">
        <f>SUM(E34:E63)</f>
        <v>1468</v>
      </c>
      <c r="F127" s="4">
        <f>SUM(F34:F63)</f>
        <v>1167</v>
      </c>
    </row>
    <row r="128" spans="2:6" x14ac:dyDescent="0.2">
      <c r="B128" t="s">
        <v>44</v>
      </c>
      <c r="C128" s="4">
        <f>SUM(C64:C93)</f>
        <v>275</v>
      </c>
      <c r="D128" s="4">
        <f>SUM(D64:D93)</f>
        <v>623</v>
      </c>
      <c r="E128" s="4">
        <f>SUM(E64:E93)</f>
        <v>1670</v>
      </c>
      <c r="F128" s="4">
        <f>SUM(F64:F93)</f>
        <v>1255</v>
      </c>
    </row>
    <row r="130" spans="2:6" x14ac:dyDescent="0.2">
      <c r="B130" t="s">
        <v>22</v>
      </c>
      <c r="C130" s="2">
        <f>MIN(C126:C128)</f>
        <v>232</v>
      </c>
      <c r="D130" s="2">
        <f>MIN(D126:D128)</f>
        <v>497</v>
      </c>
      <c r="E130" s="2">
        <f>MIN(E126:E128)</f>
        <v>1387</v>
      </c>
      <c r="F130" s="2">
        <f>MIN(F126:F128)</f>
        <v>1167</v>
      </c>
    </row>
    <row r="131" spans="2:6" x14ac:dyDescent="0.2">
      <c r="B131" t="s">
        <v>23</v>
      </c>
      <c r="C131" s="2">
        <f>MAX(C126:C128)</f>
        <v>275</v>
      </c>
      <c r="D131" s="2">
        <f>MAX(D126:D128)</f>
        <v>623</v>
      </c>
      <c r="E131" s="2">
        <f>MAX(E126:E128)</f>
        <v>1670</v>
      </c>
      <c r="F131" s="2">
        <f>MAX(F126:F128)</f>
        <v>1255</v>
      </c>
    </row>
    <row r="132" spans="2:6" x14ac:dyDescent="0.2">
      <c r="B132" t="s">
        <v>24</v>
      </c>
      <c r="C132" s="1">
        <f>AVERAGE(C126:C128)</f>
        <v>258.33333333333331</v>
      </c>
      <c r="D132" s="1">
        <f>AVERAGE(D126:D128)</f>
        <v>562</v>
      </c>
      <c r="E132" s="1">
        <f>AVERAGE(E126:E128)</f>
        <v>1508.3333333333333</v>
      </c>
      <c r="F132" s="1">
        <f>AVERAGE(F126:F128)</f>
        <v>1208.3333333333333</v>
      </c>
    </row>
    <row r="133" spans="2:6" x14ac:dyDescent="0.2">
      <c r="B133" t="s">
        <v>25</v>
      </c>
      <c r="C133" s="1">
        <f>STDEV(C126:C128)</f>
        <v>23.072349974229613</v>
      </c>
      <c r="D133" s="1">
        <f>STDEV(D126:D128)</f>
        <v>63.095166217389426</v>
      </c>
      <c r="E133" s="1">
        <f>STDEV(E126:E128)</f>
        <v>145.74749854914606</v>
      </c>
      <c r="F133" s="1">
        <f>STDEV(F126:F128)</f>
        <v>44.241760061432153</v>
      </c>
    </row>
    <row r="134" spans="2:6" x14ac:dyDescent="0.2">
      <c r="B134" t="s">
        <v>26</v>
      </c>
      <c r="C134" s="1">
        <f>C133/C132</f>
        <v>8.9312322480888828E-2</v>
      </c>
      <c r="D134" s="1">
        <f>D133/D132</f>
        <v>0.11226897903450075</v>
      </c>
      <c r="E134" s="1">
        <f>E133/E132</f>
        <v>9.6628175833688004E-2</v>
      </c>
      <c r="F134" s="1">
        <f>F133/F132</f>
        <v>3.6613870395667991E-2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Depletion Report</vt:lpstr>
      <vt:lpstr>Inventory Report</vt:lpstr>
      <vt:lpstr>CSA Report</vt:lpstr>
      <vt:lpstr>CSE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Microsoft Office User</cp:lastModifiedBy>
  <cp:lastPrinted>2015-02-19T13:30:28Z</cp:lastPrinted>
  <dcterms:created xsi:type="dcterms:W3CDTF">2015-02-16T02:16:35Z</dcterms:created>
  <dcterms:modified xsi:type="dcterms:W3CDTF">2023-02-27T14:41:01Z</dcterms:modified>
</cp:coreProperties>
</file>