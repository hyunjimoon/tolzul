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f2e75999e4bb43dd/MIT SDM Course/Spring 2023/Inventory analytics/S7 Cleansing Smoothies/"/>
    </mc:Choice>
  </mc:AlternateContent>
  <xr:revisionPtr revIDLastSave="200" documentId="13_ncr:1_{CFD8C1C1-7B5A-944A-83DB-E958BB110BA8}" xr6:coauthVersionLast="47" xr6:coauthVersionMax="47" xr10:uidLastSave="{84C73BA6-20BE-4CF3-9558-ED22F5D82E15}"/>
  <bookViews>
    <workbookView xWindow="-108" yWindow="-108" windowWidth="23256" windowHeight="12456" tabRatio="500" activeTab="2" xr2:uid="{00000000-000D-0000-FFFF-FFFF00000000}"/>
  </bookViews>
  <sheets>
    <sheet name="Depletion Report" sheetId="6" r:id="rId1"/>
    <sheet name="Inventory Report" sheetId="11" r:id="rId2"/>
    <sheet name="CSA Report" sheetId="10" r:id="rId3"/>
    <sheet name="CSE Report" sheetId="8" r:id="rId4"/>
  </sheets>
  <definedNames>
    <definedName name="_xlchart.v1.0" hidden="1">'CSA Report'!$C$9:$C$98</definedName>
    <definedName name="_xlchart.v1.1" hidden="1">'CSA Report'!$D$9:$D$98</definedName>
    <definedName name="_xlchart.v1.2" hidden="1">'CSA Report'!$G$9:$G$98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" i="10" l="1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" i="10"/>
  <c r="N29" i="6"/>
  <c r="N28" i="6"/>
  <c r="M29" i="6"/>
  <c r="M28" i="6"/>
  <c r="L29" i="6"/>
  <c r="L28" i="6"/>
  <c r="K29" i="6"/>
  <c r="K28" i="6"/>
  <c r="L31" i="6"/>
  <c r="M31" i="6"/>
  <c r="N31" i="6"/>
  <c r="L32" i="6"/>
  <c r="M32" i="6"/>
  <c r="N32" i="6"/>
  <c r="K32" i="6"/>
  <c r="K31" i="6"/>
  <c r="N26" i="6"/>
  <c r="M26" i="6"/>
  <c r="L26" i="6"/>
  <c r="N25" i="6"/>
  <c r="M25" i="6"/>
  <c r="L25" i="6"/>
  <c r="K26" i="6"/>
  <c r="K25" i="6"/>
  <c r="L22" i="6"/>
  <c r="M22" i="6"/>
  <c r="N22" i="6"/>
  <c r="L23" i="6"/>
  <c r="M23" i="6"/>
  <c r="N23" i="6"/>
  <c r="K23" i="6"/>
  <c r="K22" i="6"/>
  <c r="L19" i="6"/>
  <c r="M19" i="6"/>
  <c r="N19" i="6"/>
  <c r="L20" i="6"/>
  <c r="M20" i="6"/>
  <c r="N20" i="6"/>
  <c r="K20" i="6"/>
  <c r="K19" i="6"/>
  <c r="L17" i="6"/>
  <c r="M17" i="6"/>
  <c r="N17" i="6"/>
  <c r="K17" i="6"/>
  <c r="L11" i="6"/>
  <c r="M11" i="6"/>
  <c r="N11" i="6"/>
  <c r="L8" i="6"/>
  <c r="M8" i="6"/>
  <c r="N8" i="6"/>
  <c r="L5" i="6"/>
  <c r="M5" i="6"/>
  <c r="N5" i="6"/>
  <c r="K11" i="6"/>
  <c r="K8" i="6"/>
  <c r="K5" i="6"/>
  <c r="D3" i="8"/>
  <c r="E3" i="8"/>
  <c r="F3" i="8"/>
  <c r="D4" i="8"/>
  <c r="E4" i="8"/>
  <c r="F4" i="8"/>
  <c r="D5" i="8"/>
  <c r="E5" i="8"/>
  <c r="F5" i="8"/>
  <c r="C5" i="8"/>
  <c r="C4" i="8"/>
  <c r="C3" i="8"/>
  <c r="L10" i="6"/>
  <c r="M10" i="6"/>
  <c r="N10" i="6"/>
  <c r="L7" i="6"/>
  <c r="M7" i="6"/>
  <c r="N7" i="6"/>
  <c r="K10" i="6"/>
  <c r="K7" i="6"/>
  <c r="L4" i="6"/>
  <c r="M4" i="6"/>
  <c r="N4" i="6"/>
  <c r="K4" i="6"/>
  <c r="D3" i="10"/>
  <c r="E3" i="10"/>
  <c r="F3" i="10"/>
  <c r="D4" i="10"/>
  <c r="E4" i="10"/>
  <c r="F4" i="10"/>
  <c r="D5" i="10"/>
  <c r="E5" i="10"/>
  <c r="F5" i="10"/>
  <c r="C5" i="10"/>
  <c r="C4" i="10"/>
  <c r="C3" i="10"/>
  <c r="C8" i="6"/>
  <c r="C7" i="6"/>
  <c r="C6" i="6"/>
  <c r="C5" i="6"/>
  <c r="C4" i="6"/>
</calcChain>
</file>

<file path=xl/sharedStrings.xml><?xml version="1.0" encoding="utf-8"?>
<sst xmlns="http://schemas.openxmlformats.org/spreadsheetml/2006/main" count="77" uniqueCount="38">
  <si>
    <t>CSA</t>
  </si>
  <si>
    <t>CSB</t>
  </si>
  <si>
    <t>CSC</t>
  </si>
  <si>
    <t>CSD</t>
  </si>
  <si>
    <t>CSE</t>
  </si>
  <si>
    <t>SFO</t>
  </si>
  <si>
    <t>LAX</t>
  </si>
  <si>
    <t>BOS</t>
  </si>
  <si>
    <t>JFK</t>
  </si>
  <si>
    <t>Total Units</t>
  </si>
  <si>
    <t>SKU</t>
  </si>
  <si>
    <t>Day</t>
  </si>
  <si>
    <t>Total Depletions from all Cleansing Smoothies Distributors for the Last 90 days (aggregated)</t>
  </si>
  <si>
    <t>Total Depletions from all Cleansing Smoothie Distributors for the Last 90 days (by day)</t>
  </si>
  <si>
    <t>Distributor</t>
  </si>
  <si>
    <t>Review Period</t>
  </si>
  <si>
    <t>Leadtime</t>
  </si>
  <si>
    <t>Current Inventory Report for SKUs CSA and CSE at Distributors BOS, JFK, LAX, and SFO</t>
  </si>
  <si>
    <t>Last 90 Days of Depletions of SKU CSA at Four Distributors</t>
  </si>
  <si>
    <t>Last 90 Days of Depletions of SKU CSE at Four Distributors</t>
  </si>
  <si>
    <t>Daily Actual Average Inventory On Hand  for CSA</t>
  </si>
  <si>
    <t>Daily Actual Average Inventory On Hand  for CSE</t>
  </si>
  <si>
    <t>Mean</t>
  </si>
  <si>
    <t>SD</t>
  </si>
  <si>
    <t>Sum</t>
  </si>
  <si>
    <t>sum</t>
  </si>
  <si>
    <t>mean</t>
  </si>
  <si>
    <t>sd</t>
  </si>
  <si>
    <t>R</t>
  </si>
  <si>
    <t>L</t>
  </si>
  <si>
    <t>Z</t>
  </si>
  <si>
    <t>CSL</t>
  </si>
  <si>
    <t>SS</t>
  </si>
  <si>
    <t>CS</t>
  </si>
  <si>
    <t>EPL</t>
  </si>
  <si>
    <t>Actual</t>
  </si>
  <si>
    <t>IOH</t>
  </si>
  <si>
    <t>AIOH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</si>
</sst>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2" borderId="0" applyNumberFormat="0" applyBorder="0" applyAlignment="0" applyProtection="0"/>
  </cellStyleXfs>
  <cellXfs count="19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3" fontId="0" fillId="0" borderId="1" xfId="0" applyNumberFormat="1" applyBorder="1"/>
    <xf numFmtId="0" fontId="0" fillId="3" borderId="1" xfId="0" applyFill="1" applyBorder="1" applyAlignment="1">
      <alignment horizontal="center"/>
    </xf>
    <xf numFmtId="0" fontId="4" fillId="2" borderId="1" xfId="22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222">
    <cellStyle name="Bad" xfId="221" builtinId="27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AEBB9A70-0A6B-4D38-8DCD-DA3FC461E960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8</xdr:row>
      <xdr:rowOff>129540</xdr:rowOff>
    </xdr:from>
    <xdr:to>
      <xdr:col>12</xdr:col>
      <xdr:colOff>403860</xdr:colOff>
      <xdr:row>22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8F4411E-3EBA-3754-8595-D267BD0976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11240" y="1714500"/>
              <a:ext cx="4533900" cy="2739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zoomScale="69" zoomScaleNormal="100" zoomScalePageLayoutView="125" workbookViewId="0">
      <selection activeCell="B13" sqref="B13"/>
    </sheetView>
  </sheetViews>
  <sheetFormatPr defaultColWidth="11.19921875" defaultRowHeight="15.6" x14ac:dyDescent="0.3"/>
  <cols>
    <col min="9" max="9" width="7.59765625" style="16" customWidth="1"/>
    <col min="10" max="10" width="7.59765625" customWidth="1"/>
  </cols>
  <sheetData>
    <row r="1" spans="1:14" x14ac:dyDescent="0.3">
      <c r="A1" t="s">
        <v>12</v>
      </c>
      <c r="B1" s="1"/>
      <c r="C1" s="1"/>
      <c r="D1" s="1"/>
      <c r="E1" s="1"/>
      <c r="F1" s="1"/>
      <c r="H1" s="1"/>
    </row>
    <row r="2" spans="1:14" x14ac:dyDescent="0.3">
      <c r="B2" s="1"/>
      <c r="C2" s="1"/>
      <c r="D2" s="1"/>
      <c r="E2" s="1"/>
      <c r="F2" s="1"/>
      <c r="H2" s="1"/>
      <c r="J2" s="13"/>
    </row>
    <row r="3" spans="1:14" x14ac:dyDescent="0.3">
      <c r="B3" t="s">
        <v>10</v>
      </c>
      <c r="C3" t="s">
        <v>9</v>
      </c>
      <c r="E3" s="1"/>
      <c r="F3" s="1"/>
      <c r="H3" s="1"/>
      <c r="J3" s="13"/>
      <c r="K3" s="18" t="s">
        <v>5</v>
      </c>
      <c r="L3" s="18" t="s">
        <v>6</v>
      </c>
      <c r="M3" s="18" t="s">
        <v>7</v>
      </c>
      <c r="N3" s="18" t="s">
        <v>8</v>
      </c>
    </row>
    <row r="4" spans="1:14" x14ac:dyDescent="0.3">
      <c r="B4" t="s">
        <v>0</v>
      </c>
      <c r="C4" s="7">
        <f>SUM(B13:B102)</f>
        <v>69541</v>
      </c>
      <c r="D4" s="1"/>
      <c r="E4" s="1"/>
      <c r="F4" s="1"/>
      <c r="I4" s="16" t="s">
        <v>24</v>
      </c>
      <c r="J4" s="16" t="s">
        <v>0</v>
      </c>
      <c r="K4" s="12">
        <f>'CSA Report'!C3</f>
        <v>4507</v>
      </c>
      <c r="L4" s="12">
        <f>'CSA Report'!D3</f>
        <v>8092</v>
      </c>
      <c r="M4" s="12">
        <f>'CSA Report'!E3</f>
        <v>23130</v>
      </c>
      <c r="N4" s="12">
        <f>'CSA Report'!F3</f>
        <v>14206</v>
      </c>
    </row>
    <row r="5" spans="1:14" x14ac:dyDescent="0.3">
      <c r="B5" t="s">
        <v>1</v>
      </c>
      <c r="C5" s="7">
        <f>SUM(C13:C102)</f>
        <v>11786</v>
      </c>
      <c r="D5" s="1"/>
      <c r="E5" s="1"/>
      <c r="F5" s="1"/>
      <c r="J5" s="16" t="s">
        <v>4</v>
      </c>
      <c r="K5" s="12">
        <f>'CSE Report'!C3</f>
        <v>775</v>
      </c>
      <c r="L5" s="12">
        <f>'CSE Report'!D3</f>
        <v>1686</v>
      </c>
      <c r="M5" s="12">
        <f>'CSE Report'!E3</f>
        <v>4525</v>
      </c>
      <c r="N5" s="12">
        <f>'CSE Report'!F3</f>
        <v>3625</v>
      </c>
    </row>
    <row r="6" spans="1:14" x14ac:dyDescent="0.3">
      <c r="B6" t="s">
        <v>2</v>
      </c>
      <c r="C6" s="7">
        <f>SUM(D13:D102)</f>
        <v>62920</v>
      </c>
      <c r="D6" s="1"/>
      <c r="E6" s="1"/>
      <c r="F6" s="1"/>
      <c r="J6" s="16"/>
      <c r="K6" s="3"/>
      <c r="L6" s="3"/>
      <c r="M6" s="3"/>
      <c r="N6" s="3"/>
    </row>
    <row r="7" spans="1:14" x14ac:dyDescent="0.3">
      <c r="B7" t="s">
        <v>3</v>
      </c>
      <c r="C7" s="7">
        <f>SUM(E13:E102)</f>
        <v>37483</v>
      </c>
      <c r="D7" s="1"/>
      <c r="E7" s="1"/>
      <c r="F7" s="1"/>
      <c r="I7" s="17" t="s">
        <v>22</v>
      </c>
      <c r="J7" s="16" t="s">
        <v>0</v>
      </c>
      <c r="K7" s="12">
        <f>'CSA Report'!C4</f>
        <v>50.077777777777776</v>
      </c>
      <c r="L7" s="12">
        <f>'CSA Report'!D4</f>
        <v>89.911111111111111</v>
      </c>
      <c r="M7" s="12">
        <f>'CSA Report'!E4</f>
        <v>257</v>
      </c>
      <c r="N7" s="12">
        <f>'CSA Report'!F4</f>
        <v>157.84444444444443</v>
      </c>
    </row>
    <row r="8" spans="1:14" x14ac:dyDescent="0.3">
      <c r="B8" t="s">
        <v>4</v>
      </c>
      <c r="C8" s="7">
        <f>SUM(F13:F102)</f>
        <v>15266</v>
      </c>
      <c r="D8" s="1"/>
      <c r="E8" s="1"/>
      <c r="F8" s="1"/>
      <c r="J8" s="16" t="s">
        <v>4</v>
      </c>
      <c r="K8" s="12">
        <f>'CSE Report'!C4</f>
        <v>8.6111111111111107</v>
      </c>
      <c r="L8" s="12">
        <f>'CSE Report'!D4</f>
        <v>18.733333333333334</v>
      </c>
      <c r="M8" s="12">
        <f>'CSE Report'!E4</f>
        <v>50.277777777777779</v>
      </c>
      <c r="N8" s="12">
        <f>'CSE Report'!F4</f>
        <v>40.277777777777779</v>
      </c>
    </row>
    <row r="9" spans="1:14" x14ac:dyDescent="0.3">
      <c r="B9" s="1"/>
      <c r="C9" s="1"/>
      <c r="D9" s="1"/>
      <c r="E9" s="1"/>
      <c r="F9" s="1"/>
      <c r="J9" s="16"/>
      <c r="K9" s="12"/>
      <c r="L9" s="12"/>
      <c r="M9" s="12"/>
      <c r="N9" s="12"/>
    </row>
    <row r="10" spans="1:14" x14ac:dyDescent="0.3">
      <c r="A10" t="s">
        <v>13</v>
      </c>
      <c r="B10" s="1"/>
      <c r="C10" s="1"/>
      <c r="D10" s="1"/>
      <c r="E10" s="1"/>
      <c r="F10" s="1"/>
      <c r="I10" s="17" t="s">
        <v>23</v>
      </c>
      <c r="J10" s="16" t="s">
        <v>0</v>
      </c>
      <c r="K10" s="12">
        <f>'CSA Report'!C5</f>
        <v>34.607340839048334</v>
      </c>
      <c r="L10" s="12">
        <f>'CSA Report'!D5</f>
        <v>65.240375663611019</v>
      </c>
      <c r="M10" s="12">
        <f>'CSA Report'!E5</f>
        <v>142.77852732525483</v>
      </c>
      <c r="N10" s="12">
        <f>'CSA Report'!F5</f>
        <v>97.091166599801241</v>
      </c>
    </row>
    <row r="11" spans="1:14" x14ac:dyDescent="0.3">
      <c r="B11" s="1"/>
      <c r="C11" s="1"/>
      <c r="D11" s="1"/>
      <c r="E11" s="1"/>
      <c r="F11" s="1"/>
      <c r="J11" s="16" t="s">
        <v>4</v>
      </c>
      <c r="K11" s="12">
        <f>'CSE Report'!C5</f>
        <v>7.8678615863887558</v>
      </c>
      <c r="L11" s="12">
        <f>'CSE Report'!D5</f>
        <v>14.664640649987248</v>
      </c>
      <c r="M11" s="12">
        <f>'CSE Report'!E5</f>
        <v>37.607681434401279</v>
      </c>
      <c r="N11" s="12">
        <f>'CSE Report'!F5</f>
        <v>38.764059508944413</v>
      </c>
    </row>
    <row r="12" spans="1:14" x14ac:dyDescent="0.3">
      <c r="A12" s="3" t="s">
        <v>11</v>
      </c>
      <c r="B12" s="3" t="s">
        <v>0</v>
      </c>
      <c r="C12" s="3" t="s">
        <v>1</v>
      </c>
      <c r="D12" s="3" t="s">
        <v>2</v>
      </c>
      <c r="E12" s="3" t="s">
        <v>3</v>
      </c>
      <c r="F12" s="3" t="s">
        <v>4</v>
      </c>
      <c r="J12" s="16"/>
      <c r="K12" s="3"/>
      <c r="L12" s="3"/>
      <c r="M12" s="3"/>
      <c r="N12" s="3"/>
    </row>
    <row r="13" spans="1:14" x14ac:dyDescent="0.3">
      <c r="A13" s="3">
        <v>1</v>
      </c>
      <c r="B13" s="10">
        <v>653</v>
      </c>
      <c r="C13" s="4">
        <v>146</v>
      </c>
      <c r="D13" s="4">
        <v>687</v>
      </c>
      <c r="E13" s="4">
        <v>575</v>
      </c>
      <c r="F13" s="4">
        <v>343</v>
      </c>
      <c r="H13" s="2"/>
      <c r="J13" s="16" t="s">
        <v>28</v>
      </c>
      <c r="K13" s="3">
        <v>5</v>
      </c>
      <c r="L13" s="3">
        <v>5</v>
      </c>
      <c r="M13" s="3">
        <v>1</v>
      </c>
      <c r="N13" s="3">
        <v>2</v>
      </c>
    </row>
    <row r="14" spans="1:14" x14ac:dyDescent="0.3">
      <c r="A14" s="3">
        <v>2</v>
      </c>
      <c r="B14" s="4">
        <v>989</v>
      </c>
      <c r="C14" s="4">
        <v>101</v>
      </c>
      <c r="D14" s="4">
        <v>257</v>
      </c>
      <c r="E14" s="4">
        <v>124</v>
      </c>
      <c r="F14" s="4">
        <v>84</v>
      </c>
      <c r="H14" s="2"/>
      <c r="J14" s="16" t="s">
        <v>29</v>
      </c>
      <c r="K14" s="3">
        <v>5</v>
      </c>
      <c r="L14" s="3">
        <v>5</v>
      </c>
      <c r="M14" s="3">
        <v>1</v>
      </c>
      <c r="N14" s="3">
        <v>3</v>
      </c>
    </row>
    <row r="15" spans="1:14" x14ac:dyDescent="0.3">
      <c r="A15" s="3">
        <v>3</v>
      </c>
      <c r="B15" s="4">
        <v>906</v>
      </c>
      <c r="C15" s="4">
        <v>192</v>
      </c>
      <c r="D15" s="4">
        <v>608</v>
      </c>
      <c r="E15" s="4">
        <v>305</v>
      </c>
      <c r="F15" s="4">
        <v>22</v>
      </c>
      <c r="H15" s="2"/>
      <c r="J15" s="13"/>
    </row>
    <row r="16" spans="1:14" x14ac:dyDescent="0.3">
      <c r="A16" s="3">
        <v>4</v>
      </c>
      <c r="B16" s="4">
        <v>534</v>
      </c>
      <c r="C16" s="4">
        <v>35</v>
      </c>
      <c r="D16" s="4">
        <v>876</v>
      </c>
      <c r="E16" s="4">
        <v>189</v>
      </c>
      <c r="F16" s="4">
        <v>69</v>
      </c>
      <c r="H16" s="2"/>
      <c r="J16" s="16" t="s">
        <v>31</v>
      </c>
      <c r="K16" s="15">
        <v>0.98</v>
      </c>
      <c r="L16" s="15">
        <v>0.98</v>
      </c>
      <c r="M16" s="15">
        <v>0.98</v>
      </c>
      <c r="N16" s="15">
        <v>0.98</v>
      </c>
    </row>
    <row r="17" spans="1:14" x14ac:dyDescent="0.3">
      <c r="A17" s="3">
        <v>5</v>
      </c>
      <c r="B17" s="4">
        <v>591</v>
      </c>
      <c r="C17" s="4">
        <v>53</v>
      </c>
      <c r="D17" s="4">
        <v>509</v>
      </c>
      <c r="E17" s="4">
        <v>253</v>
      </c>
      <c r="F17" s="4">
        <v>223</v>
      </c>
      <c r="H17" s="2"/>
      <c r="J17" s="16" t="s">
        <v>30</v>
      </c>
      <c r="K17" s="15">
        <f>_xlfn.NORM.S.INV(K16)</f>
        <v>2.0537489106318221</v>
      </c>
      <c r="L17" s="15">
        <f t="shared" ref="L17:N17" si="0">_xlfn.NORM.S.INV(L16)</f>
        <v>2.0537489106318221</v>
      </c>
      <c r="M17" s="15">
        <f t="shared" si="0"/>
        <v>2.0537489106318221</v>
      </c>
      <c r="N17" s="15">
        <f t="shared" si="0"/>
        <v>2.0537489106318221</v>
      </c>
    </row>
    <row r="18" spans="1:14" x14ac:dyDescent="0.3">
      <c r="A18" s="3">
        <v>6</v>
      </c>
      <c r="B18" s="4">
        <v>654</v>
      </c>
      <c r="C18" s="4">
        <v>31</v>
      </c>
      <c r="D18" s="4">
        <v>905</v>
      </c>
      <c r="E18" s="4">
        <v>221</v>
      </c>
      <c r="F18" s="4">
        <v>64</v>
      </c>
      <c r="H18" s="2"/>
    </row>
    <row r="19" spans="1:14" x14ac:dyDescent="0.3">
      <c r="A19" s="3">
        <v>7</v>
      </c>
      <c r="B19" s="4">
        <v>696</v>
      </c>
      <c r="C19" s="4">
        <v>134</v>
      </c>
      <c r="D19" s="4">
        <v>892</v>
      </c>
      <c r="E19" s="4">
        <v>458</v>
      </c>
      <c r="F19" s="4">
        <v>246</v>
      </c>
      <c r="H19" s="2"/>
      <c r="I19" s="16" t="s">
        <v>32</v>
      </c>
      <c r="J19" s="16" t="s">
        <v>0</v>
      </c>
      <c r="K19" s="14">
        <f>K$17*K10*POWER(K13+K14,0.5)</f>
        <v>224.75821602672053</v>
      </c>
      <c r="L19" s="14">
        <f t="shared" ref="L19:N19" si="1">L$17*L10*POWER(L13+L14,0.5)</f>
        <v>423.70520506797516</v>
      </c>
      <c r="M19" s="14">
        <f t="shared" si="1"/>
        <v>414.69160352812156</v>
      </c>
      <c r="N19" s="14">
        <f t="shared" si="1"/>
        <v>445.87391716791694</v>
      </c>
    </row>
    <row r="20" spans="1:14" x14ac:dyDescent="0.3">
      <c r="A20" s="3">
        <v>8</v>
      </c>
      <c r="B20" s="4">
        <v>544</v>
      </c>
      <c r="C20" s="4">
        <v>224</v>
      </c>
      <c r="D20" s="4">
        <v>496</v>
      </c>
      <c r="E20" s="4">
        <v>272</v>
      </c>
      <c r="F20" s="4">
        <v>230</v>
      </c>
      <c r="H20" s="2"/>
      <c r="J20" s="16" t="s">
        <v>4</v>
      </c>
      <c r="K20" s="14">
        <f>K$17*K11*POWER(K13+K14,0.5)</f>
        <v>51.098018259369049</v>
      </c>
      <c r="L20" s="14">
        <f t="shared" ref="L20:N20" si="2">L$17*L11*POWER(L13+L14,0.5)</f>
        <v>95.239865047507578</v>
      </c>
      <c r="M20" s="14">
        <f t="shared" si="2"/>
        <v>109.22923783545754</v>
      </c>
      <c r="N20" s="14">
        <f t="shared" si="2"/>
        <v>178.01704999411004</v>
      </c>
    </row>
    <row r="21" spans="1:14" x14ac:dyDescent="0.3">
      <c r="A21" s="3">
        <v>9</v>
      </c>
      <c r="B21" s="4">
        <v>689</v>
      </c>
      <c r="C21" s="4">
        <v>126</v>
      </c>
      <c r="D21" s="4">
        <v>634</v>
      </c>
      <c r="E21" s="4">
        <v>769</v>
      </c>
      <c r="F21" s="4">
        <v>179</v>
      </c>
      <c r="H21" s="2"/>
      <c r="K21" s="13"/>
      <c r="L21" s="13"/>
      <c r="M21" s="13"/>
      <c r="N21" s="13"/>
    </row>
    <row r="22" spans="1:14" x14ac:dyDescent="0.3">
      <c r="A22" s="3">
        <v>10</v>
      </c>
      <c r="B22" s="4">
        <v>610</v>
      </c>
      <c r="C22" s="4">
        <v>83</v>
      </c>
      <c r="D22" s="4">
        <v>526</v>
      </c>
      <c r="E22" s="4">
        <v>522</v>
      </c>
      <c r="F22" s="4">
        <v>62</v>
      </c>
      <c r="H22" s="2"/>
      <c r="I22" s="16" t="s">
        <v>33</v>
      </c>
      <c r="J22" s="16" t="s">
        <v>0</v>
      </c>
      <c r="K22" s="14">
        <f>(K13+K14)*K7</f>
        <v>500.77777777777777</v>
      </c>
      <c r="L22" s="14">
        <f t="shared" ref="L22:N22" si="3">(L13+L14)*L7</f>
        <v>899.11111111111109</v>
      </c>
      <c r="M22" s="14">
        <f t="shared" si="3"/>
        <v>514</v>
      </c>
      <c r="N22" s="14">
        <f t="shared" si="3"/>
        <v>789.22222222222217</v>
      </c>
    </row>
    <row r="23" spans="1:14" x14ac:dyDescent="0.3">
      <c r="A23" s="3">
        <v>11</v>
      </c>
      <c r="B23" s="4">
        <v>511</v>
      </c>
      <c r="C23" s="4">
        <v>85</v>
      </c>
      <c r="D23" s="4">
        <v>756</v>
      </c>
      <c r="E23" s="4">
        <v>592</v>
      </c>
      <c r="F23" s="4">
        <v>158</v>
      </c>
      <c r="H23" s="2"/>
      <c r="J23" s="16" t="s">
        <v>4</v>
      </c>
      <c r="K23" s="14">
        <f>(K13+K14)*K8</f>
        <v>86.111111111111114</v>
      </c>
      <c r="L23" s="14">
        <f t="shared" ref="L23:N23" si="4">(L13+L14)*L8</f>
        <v>187.33333333333334</v>
      </c>
      <c r="M23" s="14">
        <f t="shared" si="4"/>
        <v>100.55555555555556</v>
      </c>
      <c r="N23" s="14">
        <f t="shared" si="4"/>
        <v>201.38888888888889</v>
      </c>
    </row>
    <row r="24" spans="1:14" x14ac:dyDescent="0.3">
      <c r="A24" s="3">
        <v>12</v>
      </c>
      <c r="B24" s="4">
        <v>983</v>
      </c>
      <c r="C24" s="4">
        <v>165</v>
      </c>
      <c r="D24" s="4">
        <v>511</v>
      </c>
      <c r="E24" s="4">
        <v>425</v>
      </c>
      <c r="F24" s="4">
        <v>180</v>
      </c>
      <c r="H24" s="2"/>
      <c r="K24" s="13"/>
      <c r="L24" s="13"/>
      <c r="M24" s="13"/>
      <c r="N24" s="13"/>
    </row>
    <row r="25" spans="1:14" x14ac:dyDescent="0.3">
      <c r="A25" s="3">
        <v>13</v>
      </c>
      <c r="B25" s="4">
        <v>666</v>
      </c>
      <c r="C25" s="4">
        <v>47</v>
      </c>
      <c r="D25" s="4">
        <v>686</v>
      </c>
      <c r="E25" s="4">
        <v>438</v>
      </c>
      <c r="F25" s="4">
        <v>305</v>
      </c>
      <c r="H25" s="2"/>
      <c r="I25" s="16" t="s">
        <v>37</v>
      </c>
      <c r="J25" s="16" t="s">
        <v>0</v>
      </c>
      <c r="K25" s="14">
        <f>K19+(K$13*K7*0.5)</f>
        <v>349.95266047116496</v>
      </c>
      <c r="L25" s="14">
        <f t="shared" ref="L25:N25" si="5">L19+(L$13*L7*0.5)</f>
        <v>648.48298284575299</v>
      </c>
      <c r="M25" s="14">
        <f t="shared" si="5"/>
        <v>543.1916035281215</v>
      </c>
      <c r="N25" s="14">
        <f t="shared" si="5"/>
        <v>603.71836161236138</v>
      </c>
    </row>
    <row r="26" spans="1:14" x14ac:dyDescent="0.3">
      <c r="A26" s="3">
        <v>14</v>
      </c>
      <c r="B26" s="4">
        <v>372</v>
      </c>
      <c r="C26" s="4">
        <v>185</v>
      </c>
      <c r="D26" s="4">
        <v>935</v>
      </c>
      <c r="E26" s="4">
        <v>341</v>
      </c>
      <c r="F26" s="4">
        <v>134</v>
      </c>
      <c r="H26" s="2"/>
      <c r="J26" s="16" t="s">
        <v>4</v>
      </c>
      <c r="K26" s="14">
        <f>K20+(K$13*K8*0.5)</f>
        <v>72.625796037146827</v>
      </c>
      <c r="L26" s="14">
        <f t="shared" ref="L26:N26" si="6">L20+(L$13*L8*0.5)</f>
        <v>142.07319838084092</v>
      </c>
      <c r="M26" s="14">
        <f t="shared" si="6"/>
        <v>134.36812672434644</v>
      </c>
      <c r="N26" s="14">
        <f t="shared" si="6"/>
        <v>218.29482777188781</v>
      </c>
    </row>
    <row r="27" spans="1:14" x14ac:dyDescent="0.3">
      <c r="A27" s="3">
        <v>15</v>
      </c>
      <c r="B27" s="4">
        <v>844</v>
      </c>
      <c r="C27" s="4">
        <v>107</v>
      </c>
      <c r="D27" s="4">
        <v>660</v>
      </c>
      <c r="E27" s="4">
        <v>596</v>
      </c>
      <c r="F27" s="4">
        <v>410</v>
      </c>
      <c r="H27" s="2"/>
      <c r="K27" s="13"/>
      <c r="L27" s="13"/>
      <c r="M27" s="13"/>
      <c r="N27" s="13"/>
    </row>
    <row r="28" spans="1:14" x14ac:dyDescent="0.3">
      <c r="A28" s="3">
        <v>16</v>
      </c>
      <c r="B28" s="4">
        <v>908</v>
      </c>
      <c r="C28" s="4">
        <v>137</v>
      </c>
      <c r="D28" s="4">
        <v>923</v>
      </c>
      <c r="E28" s="4">
        <v>587</v>
      </c>
      <c r="F28" s="4">
        <v>225</v>
      </c>
      <c r="H28" s="2"/>
      <c r="I28" s="16" t="s">
        <v>35</v>
      </c>
      <c r="J28" s="16" t="s">
        <v>0</v>
      </c>
      <c r="K28" s="13">
        <f>'Inventory Report'!C7</f>
        <v>150</v>
      </c>
      <c r="L28" s="13">
        <f>'Inventory Report'!C6</f>
        <v>270</v>
      </c>
      <c r="M28" s="14">
        <f>'Inventory Report'!C4</f>
        <v>771</v>
      </c>
      <c r="N28" s="13">
        <f>'Inventory Report'!C5</f>
        <v>473</v>
      </c>
    </row>
    <row r="29" spans="1:14" x14ac:dyDescent="0.3">
      <c r="A29" s="3">
        <v>17</v>
      </c>
      <c r="B29" s="4">
        <v>711</v>
      </c>
      <c r="C29" s="4">
        <v>148</v>
      </c>
      <c r="D29" s="4">
        <v>572</v>
      </c>
      <c r="E29" s="4">
        <v>261</v>
      </c>
      <c r="F29" s="4">
        <v>214</v>
      </c>
      <c r="H29" s="2"/>
      <c r="I29" s="16" t="s">
        <v>36</v>
      </c>
      <c r="J29" s="16" t="s">
        <v>4</v>
      </c>
      <c r="K29" s="13">
        <f>'Inventory Report'!D7</f>
        <v>26</v>
      </c>
      <c r="L29" s="13">
        <f>'Inventory Report'!D6</f>
        <v>56</v>
      </c>
      <c r="M29" s="13">
        <f>'Inventory Report'!D4</f>
        <v>151</v>
      </c>
      <c r="N29" s="13">
        <f>'Inventory Report'!D5</f>
        <v>121</v>
      </c>
    </row>
    <row r="30" spans="1:14" x14ac:dyDescent="0.3">
      <c r="A30" s="3">
        <v>18</v>
      </c>
      <c r="B30" s="4">
        <v>951</v>
      </c>
      <c r="C30" s="10">
        <v>-30</v>
      </c>
      <c r="D30" s="4">
        <v>652</v>
      </c>
      <c r="E30" s="4">
        <v>409</v>
      </c>
      <c r="F30" s="4">
        <v>136</v>
      </c>
      <c r="H30" s="2"/>
      <c r="K30" s="13"/>
      <c r="L30" s="13"/>
      <c r="M30" s="13"/>
      <c r="N30" s="13"/>
    </row>
    <row r="31" spans="1:14" x14ac:dyDescent="0.3">
      <c r="A31" s="3">
        <v>19</v>
      </c>
      <c r="B31" s="4">
        <v>1152</v>
      </c>
      <c r="C31" s="4">
        <v>97</v>
      </c>
      <c r="D31" s="4">
        <v>841</v>
      </c>
      <c r="E31" s="4">
        <v>475</v>
      </c>
      <c r="F31" s="4">
        <v>254</v>
      </c>
      <c r="H31" s="2"/>
      <c r="I31" s="16" t="s">
        <v>34</v>
      </c>
      <c r="J31" s="16" t="s">
        <v>0</v>
      </c>
      <c r="K31" s="14">
        <f>K$14*K7</f>
        <v>250.38888888888889</v>
      </c>
      <c r="L31" s="14">
        <f t="shared" ref="L31:N31" si="7">L$14*L7</f>
        <v>449.55555555555554</v>
      </c>
      <c r="M31" s="14">
        <f t="shared" si="7"/>
        <v>257</v>
      </c>
      <c r="N31" s="14">
        <f t="shared" si="7"/>
        <v>473.5333333333333</v>
      </c>
    </row>
    <row r="32" spans="1:14" x14ac:dyDescent="0.3">
      <c r="A32" s="3">
        <v>20</v>
      </c>
      <c r="B32" s="4">
        <v>1120</v>
      </c>
      <c r="C32" s="4">
        <v>100</v>
      </c>
      <c r="D32" s="4">
        <v>547</v>
      </c>
      <c r="E32" s="4">
        <v>215</v>
      </c>
      <c r="F32" s="4">
        <v>62</v>
      </c>
      <c r="H32" s="2"/>
      <c r="J32" s="16" t="s">
        <v>4</v>
      </c>
      <c r="K32" s="14">
        <f>K$14*K8</f>
        <v>43.055555555555557</v>
      </c>
      <c r="L32" s="14">
        <f t="shared" ref="L32:N32" si="8">L$14*L8</f>
        <v>93.666666666666671</v>
      </c>
      <c r="M32" s="14">
        <f t="shared" si="8"/>
        <v>50.277777777777779</v>
      </c>
      <c r="N32" s="14">
        <f t="shared" si="8"/>
        <v>120.83333333333334</v>
      </c>
    </row>
    <row r="33" spans="1:8" x14ac:dyDescent="0.3">
      <c r="A33" s="3">
        <v>21</v>
      </c>
      <c r="B33" s="4">
        <v>436</v>
      </c>
      <c r="C33" s="4">
        <v>98</v>
      </c>
      <c r="D33" s="4">
        <v>505</v>
      </c>
      <c r="E33" s="4">
        <v>284</v>
      </c>
      <c r="F33" s="4">
        <v>108</v>
      </c>
      <c r="H33" s="2"/>
    </row>
    <row r="34" spans="1:8" x14ac:dyDescent="0.3">
      <c r="A34" s="3">
        <v>22</v>
      </c>
      <c r="B34" s="4">
        <v>729</v>
      </c>
      <c r="C34" s="4">
        <v>81</v>
      </c>
      <c r="D34" s="4">
        <v>783</v>
      </c>
      <c r="E34" s="4">
        <v>617</v>
      </c>
      <c r="F34" s="4">
        <v>117</v>
      </c>
      <c r="H34" s="2"/>
    </row>
    <row r="35" spans="1:8" x14ac:dyDescent="0.3">
      <c r="A35" s="3">
        <v>23</v>
      </c>
      <c r="B35" s="4">
        <v>620</v>
      </c>
      <c r="C35" s="4">
        <v>183</v>
      </c>
      <c r="D35" s="4">
        <v>553</v>
      </c>
      <c r="E35" s="4">
        <v>223</v>
      </c>
      <c r="F35" s="4">
        <v>128</v>
      </c>
      <c r="H35" s="2"/>
    </row>
    <row r="36" spans="1:8" x14ac:dyDescent="0.3">
      <c r="A36" s="3">
        <v>24</v>
      </c>
      <c r="B36" s="4">
        <v>848</v>
      </c>
      <c r="C36" s="4">
        <v>68</v>
      </c>
      <c r="D36" s="4">
        <v>789</v>
      </c>
      <c r="E36" s="4">
        <v>347</v>
      </c>
      <c r="F36" s="4">
        <v>238</v>
      </c>
      <c r="H36" s="2"/>
    </row>
    <row r="37" spans="1:8" x14ac:dyDescent="0.3">
      <c r="A37" s="3">
        <v>25</v>
      </c>
      <c r="B37" s="4">
        <v>537</v>
      </c>
      <c r="C37" s="4">
        <v>49</v>
      </c>
      <c r="D37" s="4">
        <v>794</v>
      </c>
      <c r="E37" s="4">
        <v>433</v>
      </c>
      <c r="F37" s="4">
        <v>235</v>
      </c>
      <c r="H37" s="2"/>
    </row>
    <row r="38" spans="1:8" x14ac:dyDescent="0.3">
      <c r="A38" s="3">
        <v>26</v>
      </c>
      <c r="B38" s="4">
        <v>564</v>
      </c>
      <c r="C38" s="4">
        <v>250</v>
      </c>
      <c r="D38" s="4">
        <v>706</v>
      </c>
      <c r="E38" s="4">
        <v>45</v>
      </c>
      <c r="F38" s="4">
        <v>113</v>
      </c>
      <c r="H38" s="2"/>
    </row>
    <row r="39" spans="1:8" x14ac:dyDescent="0.3">
      <c r="A39" s="3">
        <v>27</v>
      </c>
      <c r="B39" s="4">
        <v>720</v>
      </c>
      <c r="C39" s="4">
        <v>168</v>
      </c>
      <c r="D39" s="4">
        <v>1016</v>
      </c>
      <c r="E39" s="4">
        <v>628</v>
      </c>
      <c r="F39" s="4">
        <v>111</v>
      </c>
      <c r="H39" s="2"/>
    </row>
    <row r="40" spans="1:8" x14ac:dyDescent="0.3">
      <c r="A40" s="3">
        <v>28</v>
      </c>
      <c r="B40" s="4">
        <v>920</v>
      </c>
      <c r="C40" s="4">
        <v>255</v>
      </c>
      <c r="D40" s="4">
        <v>618</v>
      </c>
      <c r="E40" s="4">
        <v>321</v>
      </c>
      <c r="F40" s="4">
        <v>37</v>
      </c>
      <c r="H40" s="2"/>
    </row>
    <row r="41" spans="1:8" x14ac:dyDescent="0.3">
      <c r="A41" s="3">
        <v>29</v>
      </c>
      <c r="B41" s="4">
        <v>776</v>
      </c>
      <c r="C41" s="4">
        <v>107</v>
      </c>
      <c r="D41" s="4">
        <v>952</v>
      </c>
      <c r="E41" s="4">
        <v>620</v>
      </c>
      <c r="F41" s="4">
        <v>356</v>
      </c>
      <c r="H41" s="2"/>
    </row>
    <row r="42" spans="1:8" x14ac:dyDescent="0.3">
      <c r="A42" s="3">
        <v>30</v>
      </c>
      <c r="B42" s="4">
        <v>811</v>
      </c>
      <c r="C42" s="4">
        <v>143</v>
      </c>
      <c r="D42" s="4">
        <v>589</v>
      </c>
      <c r="E42" s="4">
        <v>334</v>
      </c>
      <c r="F42" s="4">
        <v>23</v>
      </c>
      <c r="H42" s="2"/>
    </row>
    <row r="43" spans="1:8" x14ac:dyDescent="0.3">
      <c r="A43" s="3">
        <v>31</v>
      </c>
      <c r="B43" s="4">
        <v>605</v>
      </c>
      <c r="C43" s="4">
        <v>163</v>
      </c>
      <c r="D43" s="4">
        <v>754</v>
      </c>
      <c r="E43" s="4">
        <v>626</v>
      </c>
      <c r="F43" s="4">
        <v>178</v>
      </c>
      <c r="H43" s="2"/>
    </row>
    <row r="44" spans="1:8" x14ac:dyDescent="0.3">
      <c r="A44" s="3">
        <v>32</v>
      </c>
      <c r="B44" s="4">
        <v>1003</v>
      </c>
      <c r="C44" s="4">
        <v>146</v>
      </c>
      <c r="D44" s="4">
        <v>642</v>
      </c>
      <c r="E44" s="4">
        <v>281</v>
      </c>
      <c r="F44" s="4">
        <v>134</v>
      </c>
      <c r="H44" s="2"/>
    </row>
    <row r="45" spans="1:8" x14ac:dyDescent="0.3">
      <c r="A45" s="3">
        <v>33</v>
      </c>
      <c r="B45" s="4">
        <v>341</v>
      </c>
      <c r="C45" s="4">
        <v>107</v>
      </c>
      <c r="D45" s="4">
        <v>906</v>
      </c>
      <c r="E45" s="4">
        <v>512</v>
      </c>
      <c r="F45" s="4">
        <v>213</v>
      </c>
      <c r="H45" s="2"/>
    </row>
    <row r="46" spans="1:8" x14ac:dyDescent="0.3">
      <c r="A46" s="3">
        <v>34</v>
      </c>
      <c r="B46" s="4">
        <v>544</v>
      </c>
      <c r="C46" s="4">
        <v>164</v>
      </c>
      <c r="D46" s="4">
        <v>731</v>
      </c>
      <c r="E46" s="4">
        <v>491</v>
      </c>
      <c r="F46" s="4">
        <v>93</v>
      </c>
      <c r="H46" s="2"/>
    </row>
    <row r="47" spans="1:8" x14ac:dyDescent="0.3">
      <c r="A47" s="3">
        <v>35</v>
      </c>
      <c r="B47" s="4">
        <v>819</v>
      </c>
      <c r="C47" s="4">
        <v>142</v>
      </c>
      <c r="D47" s="4">
        <v>682</v>
      </c>
      <c r="E47" s="4">
        <v>414</v>
      </c>
      <c r="F47" s="4">
        <v>191</v>
      </c>
      <c r="H47" s="2"/>
    </row>
    <row r="48" spans="1:8" x14ac:dyDescent="0.3">
      <c r="A48" s="3">
        <v>36</v>
      </c>
      <c r="B48" s="4">
        <v>447</v>
      </c>
      <c r="C48" s="4">
        <v>199</v>
      </c>
      <c r="D48" s="4">
        <v>451</v>
      </c>
      <c r="E48" s="4">
        <v>472</v>
      </c>
      <c r="F48" s="4">
        <v>304</v>
      </c>
      <c r="H48" s="2"/>
    </row>
    <row r="49" spans="1:8" x14ac:dyDescent="0.3">
      <c r="A49" s="3">
        <v>37</v>
      </c>
      <c r="B49" s="4">
        <v>523</v>
      </c>
      <c r="C49" s="4">
        <v>134</v>
      </c>
      <c r="D49" s="4">
        <v>743</v>
      </c>
      <c r="E49" s="4">
        <v>606</v>
      </c>
      <c r="F49" s="4">
        <v>107</v>
      </c>
      <c r="H49" s="2"/>
    </row>
    <row r="50" spans="1:8" x14ac:dyDescent="0.3">
      <c r="A50" s="3">
        <v>38</v>
      </c>
      <c r="B50" s="4">
        <v>1014</v>
      </c>
      <c r="C50" s="4">
        <v>105</v>
      </c>
      <c r="D50" s="4">
        <v>591</v>
      </c>
      <c r="E50" s="4">
        <v>521</v>
      </c>
      <c r="F50" s="4">
        <v>115</v>
      </c>
      <c r="H50" s="2"/>
    </row>
    <row r="51" spans="1:8" x14ac:dyDescent="0.3">
      <c r="A51" s="3">
        <v>39</v>
      </c>
      <c r="B51" s="4">
        <v>541</v>
      </c>
      <c r="C51" s="4">
        <v>99</v>
      </c>
      <c r="D51" s="4">
        <v>510</v>
      </c>
      <c r="E51" s="4">
        <v>406</v>
      </c>
      <c r="F51" s="4">
        <v>59</v>
      </c>
      <c r="H51" s="2"/>
    </row>
    <row r="52" spans="1:8" x14ac:dyDescent="0.3">
      <c r="A52" s="3">
        <v>40</v>
      </c>
      <c r="B52" s="4">
        <v>891</v>
      </c>
      <c r="C52" s="4">
        <v>104</v>
      </c>
      <c r="D52" s="4">
        <v>1005</v>
      </c>
      <c r="E52" s="4">
        <v>447</v>
      </c>
      <c r="F52" s="4">
        <v>86</v>
      </c>
      <c r="H52" s="2"/>
    </row>
    <row r="53" spans="1:8" x14ac:dyDescent="0.3">
      <c r="A53" s="3">
        <v>41</v>
      </c>
      <c r="B53" s="4">
        <v>694</v>
      </c>
      <c r="C53" s="4">
        <v>196</v>
      </c>
      <c r="D53" s="4">
        <v>629</v>
      </c>
      <c r="E53" s="4">
        <v>455</v>
      </c>
      <c r="F53" s="4">
        <v>127</v>
      </c>
      <c r="H53" s="2"/>
    </row>
    <row r="54" spans="1:8" x14ac:dyDescent="0.3">
      <c r="A54" s="3">
        <v>42</v>
      </c>
      <c r="B54" s="4">
        <v>1018</v>
      </c>
      <c r="C54" s="4">
        <v>55</v>
      </c>
      <c r="D54" s="4">
        <v>805</v>
      </c>
      <c r="E54" s="4">
        <v>470</v>
      </c>
      <c r="F54" s="4">
        <v>44</v>
      </c>
      <c r="H54" s="2"/>
    </row>
    <row r="55" spans="1:8" x14ac:dyDescent="0.3">
      <c r="A55" s="3">
        <v>43</v>
      </c>
      <c r="B55" s="4">
        <v>842</v>
      </c>
      <c r="C55" s="4">
        <v>101</v>
      </c>
      <c r="D55" s="4">
        <v>547</v>
      </c>
      <c r="E55" s="4">
        <v>541</v>
      </c>
      <c r="F55" s="4">
        <v>164</v>
      </c>
      <c r="H55" s="2"/>
    </row>
    <row r="56" spans="1:8" x14ac:dyDescent="0.3">
      <c r="A56" s="3">
        <v>44</v>
      </c>
      <c r="B56" s="4">
        <v>1004</v>
      </c>
      <c r="C56" s="4">
        <v>130</v>
      </c>
      <c r="D56" s="4">
        <v>504</v>
      </c>
      <c r="E56" s="4">
        <v>190</v>
      </c>
      <c r="F56" s="4">
        <v>219</v>
      </c>
      <c r="H56" s="2"/>
    </row>
    <row r="57" spans="1:8" x14ac:dyDescent="0.3">
      <c r="A57" s="3">
        <v>45</v>
      </c>
      <c r="B57" s="4">
        <v>1415</v>
      </c>
      <c r="C57" s="4">
        <v>145</v>
      </c>
      <c r="D57" s="4">
        <v>439</v>
      </c>
      <c r="E57" s="4">
        <v>250</v>
      </c>
      <c r="F57" s="4">
        <v>63</v>
      </c>
      <c r="H57" s="2"/>
    </row>
    <row r="58" spans="1:8" x14ac:dyDescent="0.3">
      <c r="A58" s="3">
        <v>46</v>
      </c>
      <c r="B58" s="4">
        <v>770</v>
      </c>
      <c r="C58" s="4">
        <v>110</v>
      </c>
      <c r="D58" s="4">
        <v>652</v>
      </c>
      <c r="E58" s="4">
        <v>407</v>
      </c>
      <c r="F58" s="4">
        <v>289</v>
      </c>
      <c r="H58" s="2"/>
    </row>
    <row r="59" spans="1:8" x14ac:dyDescent="0.3">
      <c r="A59" s="3">
        <v>47</v>
      </c>
      <c r="B59" s="4">
        <v>999</v>
      </c>
      <c r="C59" s="4">
        <v>129</v>
      </c>
      <c r="D59" s="4">
        <v>710</v>
      </c>
      <c r="E59" s="4">
        <v>223</v>
      </c>
      <c r="F59" s="4">
        <v>219</v>
      </c>
      <c r="H59" s="2"/>
    </row>
    <row r="60" spans="1:8" x14ac:dyDescent="0.3">
      <c r="A60" s="3">
        <v>48</v>
      </c>
      <c r="B60" s="4">
        <v>933</v>
      </c>
      <c r="C60" s="4">
        <v>36</v>
      </c>
      <c r="D60" s="4">
        <v>505</v>
      </c>
      <c r="E60" s="4">
        <v>738</v>
      </c>
      <c r="F60" s="4">
        <v>229</v>
      </c>
      <c r="H60" s="2"/>
    </row>
    <row r="61" spans="1:8" x14ac:dyDescent="0.3">
      <c r="A61" s="3">
        <v>49</v>
      </c>
      <c r="B61" s="4">
        <v>304</v>
      </c>
      <c r="C61" s="4">
        <v>129</v>
      </c>
      <c r="D61" s="4">
        <v>660</v>
      </c>
      <c r="E61" s="4">
        <v>333</v>
      </c>
      <c r="F61" s="4">
        <v>63</v>
      </c>
      <c r="H61" s="2"/>
    </row>
    <row r="62" spans="1:8" x14ac:dyDescent="0.3">
      <c r="A62" s="3">
        <v>50</v>
      </c>
      <c r="B62" s="4">
        <v>762</v>
      </c>
      <c r="C62" s="4">
        <v>189</v>
      </c>
      <c r="D62" s="4">
        <v>833</v>
      </c>
      <c r="E62" s="4">
        <v>374</v>
      </c>
      <c r="F62" s="4">
        <v>140</v>
      </c>
      <c r="H62" s="2"/>
    </row>
    <row r="63" spans="1:8" x14ac:dyDescent="0.3">
      <c r="A63" s="3">
        <v>51</v>
      </c>
      <c r="B63" s="4">
        <v>789</v>
      </c>
      <c r="C63" s="4">
        <v>49</v>
      </c>
      <c r="D63" s="4">
        <v>843</v>
      </c>
      <c r="E63" s="4">
        <v>635</v>
      </c>
      <c r="F63" s="4">
        <v>28</v>
      </c>
      <c r="H63" s="2"/>
    </row>
    <row r="64" spans="1:8" x14ac:dyDescent="0.3">
      <c r="A64" s="3">
        <v>52</v>
      </c>
      <c r="B64" s="4">
        <v>1114</v>
      </c>
      <c r="C64" s="4">
        <v>167</v>
      </c>
      <c r="D64" s="4">
        <v>484</v>
      </c>
      <c r="E64" s="4">
        <v>176</v>
      </c>
      <c r="F64" s="4">
        <v>234</v>
      </c>
      <c r="H64" s="2"/>
    </row>
    <row r="65" spans="1:8" x14ac:dyDescent="0.3">
      <c r="A65" s="3">
        <v>53</v>
      </c>
      <c r="B65" s="4">
        <v>631</v>
      </c>
      <c r="C65" s="4">
        <v>179</v>
      </c>
      <c r="D65" s="4">
        <v>691</v>
      </c>
      <c r="E65" s="4">
        <v>244</v>
      </c>
      <c r="F65" s="4">
        <v>190</v>
      </c>
      <c r="H65" s="2"/>
    </row>
    <row r="66" spans="1:8" x14ac:dyDescent="0.3">
      <c r="A66" s="3">
        <v>54</v>
      </c>
      <c r="B66" s="4">
        <v>651</v>
      </c>
      <c r="C66" s="4">
        <v>218</v>
      </c>
      <c r="D66" s="4">
        <v>773</v>
      </c>
      <c r="E66" s="4">
        <v>494</v>
      </c>
      <c r="F66" s="4">
        <v>369</v>
      </c>
      <c r="H66" s="2"/>
    </row>
    <row r="67" spans="1:8" x14ac:dyDescent="0.3">
      <c r="A67" s="3">
        <v>55</v>
      </c>
      <c r="B67" s="4">
        <v>785</v>
      </c>
      <c r="C67" s="4">
        <v>141</v>
      </c>
      <c r="D67" s="4">
        <v>576</v>
      </c>
      <c r="E67" s="4">
        <v>37</v>
      </c>
      <c r="F67" s="4">
        <v>167</v>
      </c>
      <c r="H67" s="2"/>
    </row>
    <row r="68" spans="1:8" x14ac:dyDescent="0.3">
      <c r="A68" s="3">
        <v>56</v>
      </c>
      <c r="B68" s="4">
        <v>1059</v>
      </c>
      <c r="C68" s="4">
        <v>178</v>
      </c>
      <c r="D68" s="4">
        <v>584</v>
      </c>
      <c r="E68" s="4">
        <v>659</v>
      </c>
      <c r="F68" s="4">
        <v>266</v>
      </c>
      <c r="H68" s="2"/>
    </row>
    <row r="69" spans="1:8" x14ac:dyDescent="0.3">
      <c r="A69" s="3">
        <v>57</v>
      </c>
      <c r="B69" s="4">
        <v>745</v>
      </c>
      <c r="C69" s="4">
        <v>13</v>
      </c>
      <c r="D69" s="4">
        <v>798</v>
      </c>
      <c r="E69" s="4">
        <v>212</v>
      </c>
      <c r="F69" s="4">
        <v>219</v>
      </c>
      <c r="H69" s="2"/>
    </row>
    <row r="70" spans="1:8" x14ac:dyDescent="0.3">
      <c r="A70" s="3">
        <v>58</v>
      </c>
      <c r="B70" s="4">
        <v>750</v>
      </c>
      <c r="C70" s="4">
        <v>133</v>
      </c>
      <c r="D70" s="4">
        <v>767</v>
      </c>
      <c r="E70" s="4">
        <v>141</v>
      </c>
      <c r="F70" s="4">
        <v>212</v>
      </c>
      <c r="H70" s="2"/>
    </row>
    <row r="71" spans="1:8" x14ac:dyDescent="0.3">
      <c r="A71" s="3">
        <v>59</v>
      </c>
      <c r="B71" s="4">
        <v>590</v>
      </c>
      <c r="C71" s="4">
        <v>103</v>
      </c>
      <c r="D71" s="4">
        <v>559</v>
      </c>
      <c r="E71" s="4">
        <v>272</v>
      </c>
      <c r="F71" s="4">
        <v>152</v>
      </c>
      <c r="H71" s="2"/>
    </row>
    <row r="72" spans="1:8" x14ac:dyDescent="0.3">
      <c r="A72" s="3">
        <v>60</v>
      </c>
      <c r="B72" s="4">
        <v>844</v>
      </c>
      <c r="C72" s="4">
        <v>114</v>
      </c>
      <c r="D72" s="4">
        <v>1042</v>
      </c>
      <c r="E72" s="4">
        <v>686</v>
      </c>
      <c r="F72" s="4">
        <v>206</v>
      </c>
      <c r="H72" s="2"/>
    </row>
    <row r="73" spans="1:8" x14ac:dyDescent="0.3">
      <c r="A73" s="3">
        <v>61</v>
      </c>
      <c r="B73" s="4">
        <v>926</v>
      </c>
      <c r="C73" s="4">
        <v>116</v>
      </c>
      <c r="D73" s="4">
        <v>628</v>
      </c>
      <c r="E73" s="4">
        <v>377</v>
      </c>
      <c r="F73" s="4">
        <v>346</v>
      </c>
      <c r="H73" s="2"/>
    </row>
    <row r="74" spans="1:8" x14ac:dyDescent="0.3">
      <c r="A74" s="3">
        <v>62</v>
      </c>
      <c r="B74" s="4">
        <v>898</v>
      </c>
      <c r="C74" s="4">
        <v>118</v>
      </c>
      <c r="D74" s="4">
        <v>858</v>
      </c>
      <c r="E74" s="4">
        <v>213</v>
      </c>
      <c r="F74" s="4">
        <v>115</v>
      </c>
      <c r="H74" s="2"/>
    </row>
    <row r="75" spans="1:8" x14ac:dyDescent="0.3">
      <c r="A75" s="3">
        <v>63</v>
      </c>
      <c r="B75" s="4">
        <v>686</v>
      </c>
      <c r="C75" s="4">
        <v>211</v>
      </c>
      <c r="D75" s="4">
        <v>1081</v>
      </c>
      <c r="E75" s="4">
        <v>527</v>
      </c>
      <c r="F75" s="4">
        <v>161</v>
      </c>
      <c r="H75" s="2"/>
    </row>
    <row r="76" spans="1:8" x14ac:dyDescent="0.3">
      <c r="A76" s="3">
        <v>64</v>
      </c>
      <c r="B76" s="4">
        <v>577</v>
      </c>
      <c r="C76" s="4">
        <v>110</v>
      </c>
      <c r="D76" s="4">
        <v>551</v>
      </c>
      <c r="E76" s="4">
        <v>616</v>
      </c>
      <c r="F76" s="4">
        <v>254</v>
      </c>
      <c r="H76" s="2"/>
    </row>
    <row r="77" spans="1:8" x14ac:dyDescent="0.3">
      <c r="A77" s="3">
        <v>65</v>
      </c>
      <c r="B77" s="4">
        <v>469</v>
      </c>
      <c r="C77" s="4">
        <v>209</v>
      </c>
      <c r="D77" s="4">
        <v>567</v>
      </c>
      <c r="E77" s="4">
        <v>560</v>
      </c>
      <c r="F77" s="4">
        <v>116</v>
      </c>
      <c r="H77" s="2"/>
    </row>
    <row r="78" spans="1:8" x14ac:dyDescent="0.3">
      <c r="A78" s="3">
        <v>66</v>
      </c>
      <c r="B78" s="4">
        <v>622</v>
      </c>
      <c r="C78" s="4">
        <v>32</v>
      </c>
      <c r="D78" s="4">
        <v>648</v>
      </c>
      <c r="E78" s="4">
        <v>751</v>
      </c>
      <c r="F78" s="4">
        <v>88</v>
      </c>
      <c r="H78" s="2"/>
    </row>
    <row r="79" spans="1:8" x14ac:dyDescent="0.3">
      <c r="A79" s="3">
        <v>67</v>
      </c>
      <c r="B79" s="4">
        <v>1119</v>
      </c>
      <c r="C79" s="4">
        <v>103</v>
      </c>
      <c r="D79" s="4">
        <v>602</v>
      </c>
      <c r="E79" s="4">
        <v>330</v>
      </c>
      <c r="F79" s="4">
        <v>252</v>
      </c>
      <c r="H79" s="2"/>
    </row>
    <row r="80" spans="1:8" x14ac:dyDescent="0.3">
      <c r="A80" s="3">
        <v>68</v>
      </c>
      <c r="B80" s="4">
        <v>632</v>
      </c>
      <c r="C80" s="4">
        <v>164</v>
      </c>
      <c r="D80" s="4">
        <v>735</v>
      </c>
      <c r="E80" s="4">
        <v>604</v>
      </c>
      <c r="F80" s="4">
        <v>158</v>
      </c>
      <c r="H80" s="2"/>
    </row>
    <row r="81" spans="1:8" x14ac:dyDescent="0.3">
      <c r="A81" s="3">
        <v>69</v>
      </c>
      <c r="B81" s="4">
        <v>905</v>
      </c>
      <c r="C81" s="4">
        <v>119</v>
      </c>
      <c r="D81" s="4">
        <v>764</v>
      </c>
      <c r="E81" s="4">
        <v>540</v>
      </c>
      <c r="F81" s="4">
        <v>92</v>
      </c>
      <c r="H81" s="2"/>
    </row>
    <row r="82" spans="1:8" x14ac:dyDescent="0.3">
      <c r="A82" s="3">
        <v>70</v>
      </c>
      <c r="B82" s="4">
        <v>709</v>
      </c>
      <c r="C82" s="4">
        <v>242</v>
      </c>
      <c r="D82" s="4">
        <v>655</v>
      </c>
      <c r="E82" s="4">
        <v>561</v>
      </c>
      <c r="F82" s="4">
        <v>22</v>
      </c>
      <c r="H82" s="2"/>
    </row>
    <row r="83" spans="1:8" x14ac:dyDescent="0.3">
      <c r="A83" s="3">
        <v>71</v>
      </c>
      <c r="B83" s="4">
        <v>937</v>
      </c>
      <c r="C83" s="4">
        <v>104</v>
      </c>
      <c r="D83" s="4">
        <v>788</v>
      </c>
      <c r="E83" s="4">
        <v>259</v>
      </c>
      <c r="F83" s="4">
        <v>139</v>
      </c>
      <c r="H83" s="2"/>
    </row>
    <row r="84" spans="1:8" x14ac:dyDescent="0.3">
      <c r="A84" s="3">
        <v>72</v>
      </c>
      <c r="B84" s="4">
        <v>691</v>
      </c>
      <c r="C84" s="4">
        <v>117</v>
      </c>
      <c r="D84" s="4">
        <v>857</v>
      </c>
      <c r="E84" s="4">
        <v>406</v>
      </c>
      <c r="F84" s="4">
        <v>193</v>
      </c>
      <c r="H84" s="2"/>
    </row>
    <row r="85" spans="1:8" x14ac:dyDescent="0.3">
      <c r="A85" s="3">
        <v>73</v>
      </c>
      <c r="B85" s="4">
        <v>596</v>
      </c>
      <c r="C85" s="4">
        <v>98</v>
      </c>
      <c r="D85" s="4">
        <v>867</v>
      </c>
      <c r="E85" s="4">
        <v>478</v>
      </c>
      <c r="F85" s="4">
        <v>258</v>
      </c>
      <c r="H85" s="2"/>
    </row>
    <row r="86" spans="1:8" x14ac:dyDescent="0.3">
      <c r="A86" s="3">
        <v>74</v>
      </c>
      <c r="B86" s="4">
        <v>879</v>
      </c>
      <c r="C86" s="4">
        <v>162</v>
      </c>
      <c r="D86" s="4">
        <v>953</v>
      </c>
      <c r="E86" s="4">
        <v>323</v>
      </c>
      <c r="F86" s="4">
        <v>153</v>
      </c>
      <c r="H86" s="2"/>
    </row>
    <row r="87" spans="1:8" x14ac:dyDescent="0.3">
      <c r="A87" s="3">
        <v>75</v>
      </c>
      <c r="B87" s="4">
        <v>489</v>
      </c>
      <c r="C87" s="4">
        <v>69</v>
      </c>
      <c r="D87" s="4">
        <v>737</v>
      </c>
      <c r="E87" s="4">
        <v>635</v>
      </c>
      <c r="F87" s="4">
        <v>96</v>
      </c>
      <c r="H87" s="2"/>
    </row>
    <row r="88" spans="1:8" x14ac:dyDescent="0.3">
      <c r="A88" s="3">
        <v>76</v>
      </c>
      <c r="B88" s="4">
        <v>1100</v>
      </c>
      <c r="C88" s="4">
        <v>271</v>
      </c>
      <c r="D88" s="4">
        <v>615</v>
      </c>
      <c r="E88" s="4">
        <v>385</v>
      </c>
      <c r="F88" s="4">
        <v>290</v>
      </c>
      <c r="H88" s="2"/>
    </row>
    <row r="89" spans="1:8" x14ac:dyDescent="0.3">
      <c r="A89" s="3">
        <v>77</v>
      </c>
      <c r="B89" s="4">
        <v>776</v>
      </c>
      <c r="C89" s="4">
        <v>218</v>
      </c>
      <c r="D89" s="4">
        <v>674</v>
      </c>
      <c r="E89" s="4">
        <v>689</v>
      </c>
      <c r="F89" s="4">
        <v>176</v>
      </c>
      <c r="H89" s="2"/>
    </row>
    <row r="90" spans="1:8" x14ac:dyDescent="0.3">
      <c r="A90" s="3">
        <v>78</v>
      </c>
      <c r="B90" s="4">
        <v>731</v>
      </c>
      <c r="C90" s="4">
        <v>129</v>
      </c>
      <c r="D90" s="4">
        <v>471</v>
      </c>
      <c r="E90" s="4">
        <v>328</v>
      </c>
      <c r="F90" s="4">
        <v>137</v>
      </c>
      <c r="H90" s="2"/>
    </row>
    <row r="91" spans="1:8" x14ac:dyDescent="0.3">
      <c r="A91" s="3">
        <v>79</v>
      </c>
      <c r="B91" s="4">
        <v>956</v>
      </c>
      <c r="C91" s="4">
        <v>146</v>
      </c>
      <c r="D91" s="4">
        <v>572</v>
      </c>
      <c r="E91" s="4">
        <v>238</v>
      </c>
      <c r="F91" s="4">
        <v>126</v>
      </c>
      <c r="H91" s="2"/>
    </row>
    <row r="92" spans="1:8" x14ac:dyDescent="0.3">
      <c r="A92" s="3">
        <v>80</v>
      </c>
      <c r="B92" s="4">
        <v>923</v>
      </c>
      <c r="C92" s="4">
        <v>167</v>
      </c>
      <c r="D92" s="4">
        <v>770</v>
      </c>
      <c r="E92" s="4">
        <v>401</v>
      </c>
      <c r="F92" s="4">
        <v>22</v>
      </c>
      <c r="H92" s="2"/>
    </row>
    <row r="93" spans="1:8" x14ac:dyDescent="0.3">
      <c r="A93" s="3">
        <v>81</v>
      </c>
      <c r="B93" s="4">
        <v>1016</v>
      </c>
      <c r="C93" s="4">
        <v>234</v>
      </c>
      <c r="D93" s="4">
        <v>1043</v>
      </c>
      <c r="E93" s="4">
        <v>34</v>
      </c>
      <c r="F93" s="4">
        <v>265</v>
      </c>
      <c r="H93" s="2"/>
    </row>
    <row r="94" spans="1:8" x14ac:dyDescent="0.3">
      <c r="A94" s="3">
        <v>82</v>
      </c>
      <c r="B94" s="4">
        <v>886</v>
      </c>
      <c r="C94" s="4">
        <v>169</v>
      </c>
      <c r="D94" s="4">
        <v>962</v>
      </c>
      <c r="E94" s="4">
        <v>154</v>
      </c>
      <c r="F94" s="4">
        <v>123</v>
      </c>
      <c r="H94" s="2"/>
    </row>
    <row r="95" spans="1:8" x14ac:dyDescent="0.3">
      <c r="A95" s="3">
        <v>83</v>
      </c>
      <c r="B95" s="4">
        <v>922</v>
      </c>
      <c r="C95" s="4">
        <v>235</v>
      </c>
      <c r="D95" s="4">
        <v>907</v>
      </c>
      <c r="E95" s="4">
        <v>838</v>
      </c>
      <c r="F95" s="4">
        <v>178</v>
      </c>
      <c r="H95" s="2"/>
    </row>
    <row r="96" spans="1:8" x14ac:dyDescent="0.3">
      <c r="A96" s="3">
        <v>84</v>
      </c>
      <c r="B96" s="4">
        <v>816</v>
      </c>
      <c r="C96" s="4">
        <v>71</v>
      </c>
      <c r="D96" s="4">
        <v>619</v>
      </c>
      <c r="E96" s="4">
        <v>499</v>
      </c>
      <c r="F96" s="4">
        <v>265</v>
      </c>
      <c r="H96" s="2"/>
    </row>
    <row r="97" spans="1:8" x14ac:dyDescent="0.3">
      <c r="A97" s="3">
        <v>85</v>
      </c>
      <c r="B97" s="4">
        <v>877</v>
      </c>
      <c r="C97" s="4">
        <v>157</v>
      </c>
      <c r="D97" s="4">
        <v>780</v>
      </c>
      <c r="E97" s="4">
        <v>458</v>
      </c>
      <c r="F97" s="4">
        <v>259</v>
      </c>
      <c r="H97" s="2"/>
    </row>
    <row r="98" spans="1:8" x14ac:dyDescent="0.3">
      <c r="A98" s="3">
        <v>86</v>
      </c>
      <c r="B98" s="4">
        <v>716</v>
      </c>
      <c r="C98" s="4">
        <v>60</v>
      </c>
      <c r="D98" s="4">
        <v>551</v>
      </c>
      <c r="E98" s="4">
        <v>278</v>
      </c>
      <c r="F98" s="4">
        <v>209</v>
      </c>
      <c r="H98" s="2"/>
    </row>
    <row r="99" spans="1:8" x14ac:dyDescent="0.3">
      <c r="A99" s="3">
        <v>87</v>
      </c>
      <c r="B99" s="4">
        <v>505</v>
      </c>
      <c r="C99" s="4">
        <v>101</v>
      </c>
      <c r="D99" s="4">
        <v>824</v>
      </c>
      <c r="E99" s="4">
        <v>139</v>
      </c>
      <c r="F99" s="4">
        <v>111</v>
      </c>
      <c r="H99" s="2"/>
    </row>
    <row r="100" spans="1:8" x14ac:dyDescent="0.3">
      <c r="A100" s="3">
        <v>88</v>
      </c>
      <c r="B100" s="4">
        <v>1012</v>
      </c>
      <c r="C100" s="4">
        <v>113</v>
      </c>
      <c r="D100" s="4">
        <v>783</v>
      </c>
      <c r="E100" s="4">
        <v>662</v>
      </c>
      <c r="F100" s="4">
        <v>45</v>
      </c>
      <c r="H100" s="2"/>
    </row>
    <row r="101" spans="1:8" x14ac:dyDescent="0.3">
      <c r="A101" s="3">
        <v>89</v>
      </c>
      <c r="B101" s="4">
        <v>675</v>
      </c>
      <c r="C101" s="4">
        <v>135</v>
      </c>
      <c r="D101" s="4">
        <v>334</v>
      </c>
      <c r="E101" s="4">
        <v>519</v>
      </c>
      <c r="F101" s="4">
        <v>100</v>
      </c>
      <c r="H101" s="2"/>
    </row>
    <row r="102" spans="1:8" x14ac:dyDescent="0.3">
      <c r="A102" s="3">
        <v>90</v>
      </c>
      <c r="B102" s="4">
        <v>1023</v>
      </c>
      <c r="C102" s="4">
        <v>160</v>
      </c>
      <c r="D102" s="4">
        <v>530</v>
      </c>
      <c r="E102" s="4">
        <v>489</v>
      </c>
      <c r="F102" s="4">
        <v>371</v>
      </c>
      <c r="H102" s="2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="125" zoomScaleNormal="125" zoomScalePageLayoutView="125" workbookViewId="0">
      <selection activeCell="H11" sqref="H11"/>
    </sheetView>
  </sheetViews>
  <sheetFormatPr defaultColWidth="11.19921875" defaultRowHeight="15.6" x14ac:dyDescent="0.3"/>
  <cols>
    <col min="3" max="4" width="15.796875" customWidth="1"/>
  </cols>
  <sheetData>
    <row r="1" spans="1:6" x14ac:dyDescent="0.3">
      <c r="A1" t="s">
        <v>17</v>
      </c>
    </row>
    <row r="3" spans="1:6" ht="62.4" x14ac:dyDescent="0.3">
      <c r="B3" s="6" t="s">
        <v>14</v>
      </c>
      <c r="C3" s="6" t="s">
        <v>20</v>
      </c>
      <c r="D3" s="6" t="s">
        <v>21</v>
      </c>
      <c r="E3" s="6" t="s">
        <v>15</v>
      </c>
      <c r="F3" s="6" t="s">
        <v>16</v>
      </c>
    </row>
    <row r="4" spans="1:6" x14ac:dyDescent="0.3">
      <c r="B4" s="3" t="s">
        <v>7</v>
      </c>
      <c r="C4" s="4">
        <v>771</v>
      </c>
      <c r="D4" s="5">
        <v>151</v>
      </c>
      <c r="E4" s="5">
        <v>1</v>
      </c>
      <c r="F4" s="5">
        <v>1</v>
      </c>
    </row>
    <row r="5" spans="1:6" x14ac:dyDescent="0.3">
      <c r="B5" s="3" t="s">
        <v>8</v>
      </c>
      <c r="C5" s="5">
        <v>473</v>
      </c>
      <c r="D5" s="5">
        <v>121</v>
      </c>
      <c r="E5" s="8">
        <v>2</v>
      </c>
      <c r="F5" s="8">
        <v>3</v>
      </c>
    </row>
    <row r="6" spans="1:6" x14ac:dyDescent="0.3">
      <c r="B6" s="3" t="s">
        <v>6</v>
      </c>
      <c r="C6" s="5">
        <v>270</v>
      </c>
      <c r="D6" s="5">
        <v>56</v>
      </c>
      <c r="E6" s="9">
        <v>5</v>
      </c>
      <c r="F6" s="5">
        <v>5</v>
      </c>
    </row>
    <row r="7" spans="1:6" x14ac:dyDescent="0.3">
      <c r="B7" s="3" t="s">
        <v>5</v>
      </c>
      <c r="C7" s="5">
        <v>150</v>
      </c>
      <c r="D7" s="5">
        <v>26</v>
      </c>
      <c r="E7" s="9">
        <v>5</v>
      </c>
      <c r="F7" s="5">
        <v>5</v>
      </c>
    </row>
  </sheetData>
  <phoneticPr fontId="3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8"/>
  <sheetViews>
    <sheetView tabSelected="1" zoomScale="74" zoomScaleNormal="125" zoomScalePageLayoutView="125" workbookViewId="0">
      <selection activeCell="M9" sqref="M9"/>
    </sheetView>
  </sheetViews>
  <sheetFormatPr defaultColWidth="11.19921875" defaultRowHeight="15.6" x14ac:dyDescent="0.3"/>
  <sheetData>
    <row r="1" spans="1:8" x14ac:dyDescent="0.3">
      <c r="A1" t="s">
        <v>18</v>
      </c>
      <c r="C1" s="1"/>
      <c r="D1" s="1"/>
      <c r="E1" s="1"/>
      <c r="F1" s="1"/>
    </row>
    <row r="2" spans="1:8" x14ac:dyDescent="0.3">
      <c r="C2" s="1"/>
      <c r="D2" s="1"/>
      <c r="E2" s="1"/>
      <c r="F2" s="1"/>
    </row>
    <row r="3" spans="1:8" x14ac:dyDescent="0.3">
      <c r="B3" t="s">
        <v>25</v>
      </c>
      <c r="C3" s="2">
        <f>SUM(C9:C98)</f>
        <v>4507</v>
      </c>
      <c r="D3" s="2">
        <f t="shared" ref="D3:F3" si="0">SUM(D9:D98)</f>
        <v>8092</v>
      </c>
      <c r="E3" s="2">
        <f t="shared" si="0"/>
        <v>23130</v>
      </c>
      <c r="F3" s="2">
        <f t="shared" si="0"/>
        <v>14206</v>
      </c>
    </row>
    <row r="4" spans="1:8" x14ac:dyDescent="0.3">
      <c r="B4" t="s">
        <v>26</v>
      </c>
      <c r="C4" s="11">
        <f>AVERAGE(C9:C98)</f>
        <v>50.077777777777776</v>
      </c>
      <c r="D4" s="11">
        <f t="shared" ref="D4:F4" si="1">AVERAGE(D9:D98)</f>
        <v>89.911111111111111</v>
      </c>
      <c r="E4" s="11">
        <f t="shared" si="1"/>
        <v>257</v>
      </c>
      <c r="F4" s="11">
        <f t="shared" si="1"/>
        <v>157.84444444444443</v>
      </c>
    </row>
    <row r="5" spans="1:8" x14ac:dyDescent="0.3">
      <c r="B5" t="s">
        <v>27</v>
      </c>
      <c r="C5" s="11">
        <f>_xlfn.STDEV.S(C9:C98)</f>
        <v>34.607340839048334</v>
      </c>
      <c r="D5" s="11">
        <f t="shared" ref="D5:F5" si="2">_xlfn.STDEV.S(D9:D98)</f>
        <v>65.240375663611019</v>
      </c>
      <c r="E5" s="11">
        <f t="shared" si="2"/>
        <v>142.77852732525483</v>
      </c>
      <c r="F5" s="11">
        <f t="shared" si="2"/>
        <v>97.091166599801241</v>
      </c>
    </row>
    <row r="6" spans="1:8" x14ac:dyDescent="0.3">
      <c r="C6" s="1"/>
      <c r="D6" s="1"/>
      <c r="E6" s="1"/>
      <c r="F6" s="1"/>
    </row>
    <row r="7" spans="1:8" x14ac:dyDescent="0.3">
      <c r="C7" s="1"/>
      <c r="D7" s="1"/>
      <c r="E7" s="1"/>
      <c r="F7" s="1"/>
    </row>
    <row r="8" spans="1:8" x14ac:dyDescent="0.3">
      <c r="B8" s="3" t="s">
        <v>11</v>
      </c>
      <c r="C8" s="3" t="s">
        <v>5</v>
      </c>
      <c r="D8" s="3" t="s">
        <v>6</v>
      </c>
      <c r="E8" s="3" t="s">
        <v>7</v>
      </c>
      <c r="F8" s="3" t="s">
        <v>8</v>
      </c>
      <c r="G8" s="3" t="s">
        <v>25</v>
      </c>
    </row>
    <row r="9" spans="1:8" x14ac:dyDescent="0.3">
      <c r="B9" s="3">
        <v>1</v>
      </c>
      <c r="C9" s="8">
        <v>26</v>
      </c>
      <c r="D9" s="8">
        <v>42</v>
      </c>
      <c r="E9" s="8">
        <v>322</v>
      </c>
      <c r="F9" s="8">
        <v>12</v>
      </c>
      <c r="G9">
        <f>SUM(C9:F9)</f>
        <v>402</v>
      </c>
      <c r="H9" s="2"/>
    </row>
    <row r="10" spans="1:8" x14ac:dyDescent="0.3">
      <c r="B10" s="3">
        <v>2</v>
      </c>
      <c r="C10" s="5">
        <v>18</v>
      </c>
      <c r="D10" s="5">
        <v>92</v>
      </c>
      <c r="E10" s="5">
        <v>414</v>
      </c>
      <c r="F10" s="5">
        <v>192</v>
      </c>
      <c r="G10">
        <f t="shared" ref="G10:G73" si="3">SUM(C10:F10)</f>
        <v>716</v>
      </c>
      <c r="H10" s="2"/>
    </row>
    <row r="11" spans="1:8" x14ac:dyDescent="0.3">
      <c r="B11" s="3">
        <v>3</v>
      </c>
      <c r="C11" s="5">
        <v>83</v>
      </c>
      <c r="D11" s="5">
        <v>55</v>
      </c>
      <c r="E11" s="5">
        <v>506</v>
      </c>
      <c r="F11" s="5">
        <v>94</v>
      </c>
      <c r="G11">
        <f t="shared" si="3"/>
        <v>738</v>
      </c>
      <c r="H11" s="2"/>
    </row>
    <row r="12" spans="1:8" x14ac:dyDescent="0.3">
      <c r="B12" s="3">
        <v>4</v>
      </c>
      <c r="C12" s="5">
        <v>27</v>
      </c>
      <c r="D12" s="5">
        <v>240</v>
      </c>
      <c r="E12" s="5">
        <v>167</v>
      </c>
      <c r="F12" s="5">
        <v>41</v>
      </c>
      <c r="G12">
        <f t="shared" si="3"/>
        <v>475</v>
      </c>
      <c r="H12" s="2"/>
    </row>
    <row r="13" spans="1:8" x14ac:dyDescent="0.3">
      <c r="B13" s="3">
        <v>5</v>
      </c>
      <c r="C13" s="5">
        <v>36</v>
      </c>
      <c r="D13" s="5">
        <v>55</v>
      </c>
      <c r="E13" s="5">
        <v>57</v>
      </c>
      <c r="F13" s="5">
        <v>253</v>
      </c>
      <c r="G13">
        <f t="shared" si="3"/>
        <v>401</v>
      </c>
      <c r="H13" s="2"/>
    </row>
    <row r="14" spans="1:8" x14ac:dyDescent="0.3">
      <c r="B14" s="3">
        <v>6</v>
      </c>
      <c r="C14" s="5">
        <v>23</v>
      </c>
      <c r="D14" s="5">
        <v>70</v>
      </c>
      <c r="E14" s="5">
        <v>145</v>
      </c>
      <c r="F14" s="5">
        <v>220</v>
      </c>
      <c r="G14">
        <f t="shared" si="3"/>
        <v>458</v>
      </c>
      <c r="H14" s="2"/>
    </row>
    <row r="15" spans="1:8" x14ac:dyDescent="0.3">
      <c r="B15" s="3">
        <v>7</v>
      </c>
      <c r="C15" s="5">
        <v>23</v>
      </c>
      <c r="D15" s="5">
        <v>57</v>
      </c>
      <c r="E15" s="5">
        <v>288</v>
      </c>
      <c r="F15" s="5">
        <v>119</v>
      </c>
      <c r="G15">
        <f t="shared" si="3"/>
        <v>487</v>
      </c>
      <c r="H15" s="2"/>
    </row>
    <row r="16" spans="1:8" x14ac:dyDescent="0.3">
      <c r="B16" s="3">
        <v>8</v>
      </c>
      <c r="C16" s="5">
        <v>7</v>
      </c>
      <c r="D16" s="5">
        <v>5</v>
      </c>
      <c r="E16" s="5">
        <v>368</v>
      </c>
      <c r="F16" s="5">
        <v>64</v>
      </c>
      <c r="G16">
        <f t="shared" si="3"/>
        <v>444</v>
      </c>
      <c r="H16" s="2"/>
    </row>
    <row r="17" spans="2:8" x14ac:dyDescent="0.3">
      <c r="B17" s="3">
        <v>9</v>
      </c>
      <c r="C17" s="5">
        <v>51</v>
      </c>
      <c r="D17" s="5">
        <v>44</v>
      </c>
      <c r="E17" s="5">
        <v>263</v>
      </c>
      <c r="F17" s="5">
        <v>138</v>
      </c>
      <c r="G17">
        <f t="shared" si="3"/>
        <v>496</v>
      </c>
      <c r="H17" s="2"/>
    </row>
    <row r="18" spans="2:8" x14ac:dyDescent="0.3">
      <c r="B18" s="3">
        <v>10</v>
      </c>
      <c r="C18" s="5">
        <v>55</v>
      </c>
      <c r="D18" s="5">
        <v>1</v>
      </c>
      <c r="E18" s="5">
        <v>82</v>
      </c>
      <c r="F18" s="5">
        <v>176</v>
      </c>
      <c r="G18">
        <f t="shared" si="3"/>
        <v>314</v>
      </c>
      <c r="H18" s="2"/>
    </row>
    <row r="19" spans="2:8" x14ac:dyDescent="0.3">
      <c r="B19" s="3">
        <v>11</v>
      </c>
      <c r="C19" s="5">
        <v>19</v>
      </c>
      <c r="D19" s="5">
        <v>56</v>
      </c>
      <c r="E19" s="5">
        <v>146</v>
      </c>
      <c r="F19" s="5">
        <v>130</v>
      </c>
      <c r="G19">
        <f t="shared" si="3"/>
        <v>351</v>
      </c>
      <c r="H19" s="2"/>
    </row>
    <row r="20" spans="2:8" x14ac:dyDescent="0.3">
      <c r="B20" s="3">
        <v>12</v>
      </c>
      <c r="C20" s="5">
        <v>98</v>
      </c>
      <c r="D20" s="5">
        <v>123</v>
      </c>
      <c r="E20" s="5">
        <v>449</v>
      </c>
      <c r="F20" s="5">
        <v>115</v>
      </c>
      <c r="G20">
        <f t="shared" si="3"/>
        <v>785</v>
      </c>
      <c r="H20" s="2"/>
    </row>
    <row r="21" spans="2:8" x14ac:dyDescent="0.3">
      <c r="B21" s="3">
        <v>13</v>
      </c>
      <c r="C21" s="5">
        <v>39</v>
      </c>
      <c r="D21" s="5">
        <v>37</v>
      </c>
      <c r="E21" s="5">
        <v>237</v>
      </c>
      <c r="F21" s="5">
        <v>83</v>
      </c>
      <c r="G21">
        <f t="shared" si="3"/>
        <v>396</v>
      </c>
      <c r="H21" s="2"/>
    </row>
    <row r="22" spans="2:8" x14ac:dyDescent="0.3">
      <c r="B22" s="3">
        <v>14</v>
      </c>
      <c r="C22" s="5">
        <v>8</v>
      </c>
      <c r="D22" s="5">
        <v>26</v>
      </c>
      <c r="E22" s="5">
        <v>158</v>
      </c>
      <c r="F22" s="5">
        <v>142</v>
      </c>
      <c r="G22">
        <f t="shared" si="3"/>
        <v>334</v>
      </c>
      <c r="H22" s="2"/>
    </row>
    <row r="23" spans="2:8" x14ac:dyDescent="0.3">
      <c r="B23" s="3">
        <v>15</v>
      </c>
      <c r="C23" s="5">
        <v>170</v>
      </c>
      <c r="D23" s="5">
        <v>205</v>
      </c>
      <c r="E23" s="5">
        <v>187</v>
      </c>
      <c r="F23" s="5">
        <v>55</v>
      </c>
      <c r="G23">
        <f t="shared" si="3"/>
        <v>617</v>
      </c>
      <c r="H23" s="2"/>
    </row>
    <row r="24" spans="2:8" x14ac:dyDescent="0.3">
      <c r="B24" s="3">
        <v>16</v>
      </c>
      <c r="C24" s="5">
        <v>68</v>
      </c>
      <c r="D24" s="5">
        <v>52</v>
      </c>
      <c r="E24" s="5">
        <v>142</v>
      </c>
      <c r="F24" s="5">
        <v>318</v>
      </c>
      <c r="G24">
        <f t="shared" si="3"/>
        <v>580</v>
      </c>
      <c r="H24" s="2"/>
    </row>
    <row r="25" spans="2:8" x14ac:dyDescent="0.3">
      <c r="B25" s="3">
        <v>17</v>
      </c>
      <c r="C25" s="5">
        <v>28</v>
      </c>
      <c r="D25" s="5">
        <v>64</v>
      </c>
      <c r="E25" s="5">
        <v>342</v>
      </c>
      <c r="F25" s="5">
        <v>31</v>
      </c>
      <c r="G25">
        <f t="shared" si="3"/>
        <v>465</v>
      </c>
      <c r="H25" s="2"/>
    </row>
    <row r="26" spans="2:8" x14ac:dyDescent="0.3">
      <c r="B26" s="3">
        <v>18</v>
      </c>
      <c r="C26" s="5">
        <v>21</v>
      </c>
      <c r="D26" s="5">
        <v>61</v>
      </c>
      <c r="E26" s="5">
        <v>454</v>
      </c>
      <c r="F26" s="5">
        <v>176</v>
      </c>
      <c r="G26">
        <f t="shared" si="3"/>
        <v>712</v>
      </c>
      <c r="H26" s="2"/>
    </row>
    <row r="27" spans="2:8" x14ac:dyDescent="0.3">
      <c r="B27" s="3">
        <v>19</v>
      </c>
      <c r="C27" s="5">
        <v>35</v>
      </c>
      <c r="D27" s="5">
        <v>114</v>
      </c>
      <c r="E27" s="5">
        <v>482</v>
      </c>
      <c r="F27" s="5">
        <v>238</v>
      </c>
      <c r="G27">
        <f t="shared" si="3"/>
        <v>869</v>
      </c>
      <c r="H27" s="2"/>
    </row>
    <row r="28" spans="2:8" x14ac:dyDescent="0.3">
      <c r="B28" s="3">
        <v>20</v>
      </c>
      <c r="C28" s="5">
        <v>26</v>
      </c>
      <c r="D28" s="5">
        <v>119</v>
      </c>
      <c r="E28" s="5">
        <v>334</v>
      </c>
      <c r="F28" s="5">
        <v>324</v>
      </c>
      <c r="G28">
        <f t="shared" si="3"/>
        <v>803</v>
      </c>
      <c r="H28" s="2"/>
    </row>
    <row r="29" spans="2:8" x14ac:dyDescent="0.3">
      <c r="B29" s="3">
        <v>21</v>
      </c>
      <c r="C29" s="5">
        <v>44</v>
      </c>
      <c r="D29" s="5">
        <v>2</v>
      </c>
      <c r="E29" s="5">
        <v>116</v>
      </c>
      <c r="F29" s="5">
        <v>115</v>
      </c>
      <c r="G29">
        <f t="shared" si="3"/>
        <v>277</v>
      </c>
      <c r="H29" s="2"/>
    </row>
    <row r="30" spans="2:8" x14ac:dyDescent="0.3">
      <c r="B30" s="3">
        <v>22</v>
      </c>
      <c r="C30" s="5">
        <v>80</v>
      </c>
      <c r="D30" s="5">
        <v>65</v>
      </c>
      <c r="E30" s="5">
        <v>175</v>
      </c>
      <c r="F30" s="5">
        <v>186</v>
      </c>
      <c r="G30">
        <f t="shared" si="3"/>
        <v>506</v>
      </c>
      <c r="H30" s="2"/>
    </row>
    <row r="31" spans="2:8" x14ac:dyDescent="0.3">
      <c r="B31" s="3">
        <v>23</v>
      </c>
      <c r="C31" s="5">
        <v>71</v>
      </c>
      <c r="D31" s="5">
        <v>64</v>
      </c>
      <c r="E31" s="5">
        <v>179</v>
      </c>
      <c r="F31" s="5">
        <v>240</v>
      </c>
      <c r="G31">
        <f t="shared" si="3"/>
        <v>554</v>
      </c>
      <c r="H31" s="2"/>
    </row>
    <row r="32" spans="2:8" x14ac:dyDescent="0.3">
      <c r="B32" s="3">
        <v>24</v>
      </c>
      <c r="C32" s="5">
        <v>67</v>
      </c>
      <c r="D32" s="5">
        <v>26</v>
      </c>
      <c r="E32" s="5">
        <v>236</v>
      </c>
      <c r="F32" s="5">
        <v>253</v>
      </c>
      <c r="G32">
        <f t="shared" si="3"/>
        <v>582</v>
      </c>
      <c r="H32" s="2"/>
    </row>
    <row r="33" spans="2:8" x14ac:dyDescent="0.3">
      <c r="B33" s="3">
        <v>25</v>
      </c>
      <c r="C33" s="5">
        <v>76</v>
      </c>
      <c r="D33" s="5">
        <v>117</v>
      </c>
      <c r="E33" s="5">
        <v>158</v>
      </c>
      <c r="F33" s="5">
        <v>173</v>
      </c>
      <c r="G33">
        <f t="shared" si="3"/>
        <v>524</v>
      </c>
      <c r="H33" s="2"/>
    </row>
    <row r="34" spans="2:8" x14ac:dyDescent="0.3">
      <c r="B34" s="3">
        <v>26</v>
      </c>
      <c r="C34" s="5">
        <v>37</v>
      </c>
      <c r="D34" s="5">
        <v>98</v>
      </c>
      <c r="E34" s="5">
        <v>98</v>
      </c>
      <c r="F34" s="5">
        <v>103</v>
      </c>
      <c r="G34">
        <f t="shared" si="3"/>
        <v>336</v>
      </c>
      <c r="H34" s="2"/>
    </row>
    <row r="35" spans="2:8" x14ac:dyDescent="0.3">
      <c r="B35" s="3">
        <v>27</v>
      </c>
      <c r="C35" s="5">
        <v>39</v>
      </c>
      <c r="D35" s="5">
        <v>37</v>
      </c>
      <c r="E35" s="5">
        <v>316</v>
      </c>
      <c r="F35" s="5">
        <v>44</v>
      </c>
      <c r="G35">
        <f t="shared" si="3"/>
        <v>436</v>
      </c>
      <c r="H35" s="2"/>
    </row>
    <row r="36" spans="2:8" x14ac:dyDescent="0.3">
      <c r="B36" s="3">
        <v>28</v>
      </c>
      <c r="C36" s="5">
        <v>42</v>
      </c>
      <c r="D36" s="5">
        <v>220</v>
      </c>
      <c r="E36" s="5">
        <v>126</v>
      </c>
      <c r="F36" s="5">
        <v>271</v>
      </c>
      <c r="G36">
        <f t="shared" si="3"/>
        <v>659</v>
      </c>
      <c r="H36" s="2"/>
    </row>
    <row r="37" spans="2:8" x14ac:dyDescent="0.3">
      <c r="B37" s="3">
        <v>29</v>
      </c>
      <c r="C37" s="5">
        <v>106</v>
      </c>
      <c r="D37" s="5">
        <v>80</v>
      </c>
      <c r="E37" s="5">
        <v>360</v>
      </c>
      <c r="F37" s="5">
        <v>192</v>
      </c>
      <c r="G37">
        <f t="shared" si="3"/>
        <v>738</v>
      </c>
      <c r="H37" s="2"/>
    </row>
    <row r="38" spans="2:8" x14ac:dyDescent="0.3">
      <c r="B38" s="3">
        <v>30</v>
      </c>
      <c r="C38" s="5">
        <v>37</v>
      </c>
      <c r="D38" s="5">
        <v>179</v>
      </c>
      <c r="E38" s="5">
        <v>59</v>
      </c>
      <c r="F38" s="5">
        <v>31</v>
      </c>
      <c r="G38">
        <f t="shared" si="3"/>
        <v>306</v>
      </c>
      <c r="H38" s="2"/>
    </row>
    <row r="39" spans="2:8" x14ac:dyDescent="0.3">
      <c r="B39" s="3">
        <v>31</v>
      </c>
      <c r="C39" s="5">
        <v>14</v>
      </c>
      <c r="D39" s="5">
        <v>45</v>
      </c>
      <c r="E39" s="5">
        <v>246</v>
      </c>
      <c r="F39" s="5">
        <v>219</v>
      </c>
      <c r="G39">
        <f t="shared" si="3"/>
        <v>524</v>
      </c>
      <c r="H39" s="2"/>
    </row>
    <row r="40" spans="2:8" x14ac:dyDescent="0.3">
      <c r="B40" s="3">
        <v>32</v>
      </c>
      <c r="C40" s="5">
        <v>43</v>
      </c>
      <c r="D40" s="5">
        <v>13</v>
      </c>
      <c r="E40" s="5">
        <v>236</v>
      </c>
      <c r="F40" s="5">
        <v>247</v>
      </c>
      <c r="G40">
        <f t="shared" si="3"/>
        <v>539</v>
      </c>
      <c r="H40" s="2"/>
    </row>
    <row r="41" spans="2:8" x14ac:dyDescent="0.3">
      <c r="B41" s="3">
        <v>33</v>
      </c>
      <c r="C41" s="5">
        <v>25</v>
      </c>
      <c r="D41" s="5">
        <v>28</v>
      </c>
      <c r="E41" s="5">
        <v>148</v>
      </c>
      <c r="F41" s="5">
        <v>77</v>
      </c>
      <c r="G41">
        <f t="shared" si="3"/>
        <v>278</v>
      </c>
      <c r="H41" s="2"/>
    </row>
    <row r="42" spans="2:8" x14ac:dyDescent="0.3">
      <c r="B42" s="3">
        <v>34</v>
      </c>
      <c r="C42" s="5">
        <v>20</v>
      </c>
      <c r="D42" s="5">
        <v>1</v>
      </c>
      <c r="E42" s="5">
        <v>191</v>
      </c>
      <c r="F42" s="5">
        <v>140</v>
      </c>
      <c r="G42">
        <f t="shared" si="3"/>
        <v>352</v>
      </c>
      <c r="H42" s="2"/>
    </row>
    <row r="43" spans="2:8" x14ac:dyDescent="0.3">
      <c r="B43" s="3">
        <v>35</v>
      </c>
      <c r="C43" s="5">
        <v>83</v>
      </c>
      <c r="D43" s="5">
        <v>79</v>
      </c>
      <c r="E43" s="5">
        <v>425</v>
      </c>
      <c r="F43" s="5">
        <v>214</v>
      </c>
      <c r="G43">
        <f t="shared" si="3"/>
        <v>801</v>
      </c>
      <c r="H43" s="2"/>
    </row>
    <row r="44" spans="2:8" x14ac:dyDescent="0.3">
      <c r="B44" s="3">
        <v>36</v>
      </c>
      <c r="C44" s="5">
        <v>38</v>
      </c>
      <c r="D44" s="5">
        <v>30</v>
      </c>
      <c r="E44" s="5">
        <v>134</v>
      </c>
      <c r="F44" s="5">
        <v>134</v>
      </c>
      <c r="G44">
        <f t="shared" si="3"/>
        <v>336</v>
      </c>
      <c r="H44" s="2"/>
    </row>
    <row r="45" spans="2:8" x14ac:dyDescent="0.3">
      <c r="B45" s="3">
        <v>37</v>
      </c>
      <c r="C45" s="5">
        <v>7</v>
      </c>
      <c r="D45" s="5">
        <v>98</v>
      </c>
      <c r="E45" s="5">
        <v>70</v>
      </c>
      <c r="F45" s="5">
        <v>232</v>
      </c>
      <c r="G45">
        <f t="shared" si="3"/>
        <v>407</v>
      </c>
      <c r="H45" s="2"/>
    </row>
    <row r="46" spans="2:8" x14ac:dyDescent="0.3">
      <c r="B46" s="3">
        <v>38</v>
      </c>
      <c r="C46" s="5">
        <v>103</v>
      </c>
      <c r="D46" s="5">
        <v>77</v>
      </c>
      <c r="E46" s="5">
        <v>423</v>
      </c>
      <c r="F46" s="5">
        <v>145</v>
      </c>
      <c r="G46">
        <f t="shared" si="3"/>
        <v>748</v>
      </c>
      <c r="H46" s="2"/>
    </row>
    <row r="47" spans="2:8" x14ac:dyDescent="0.3">
      <c r="B47" s="3">
        <v>39</v>
      </c>
      <c r="C47" s="5">
        <v>51</v>
      </c>
      <c r="D47" s="5">
        <v>37</v>
      </c>
      <c r="E47" s="5">
        <v>264</v>
      </c>
      <c r="F47" s="5">
        <v>96</v>
      </c>
      <c r="G47">
        <f t="shared" si="3"/>
        <v>448</v>
      </c>
      <c r="H47" s="2"/>
    </row>
    <row r="48" spans="2:8" x14ac:dyDescent="0.3">
      <c r="B48" s="3">
        <v>40</v>
      </c>
      <c r="C48" s="5">
        <v>38</v>
      </c>
      <c r="D48" s="5">
        <v>114</v>
      </c>
      <c r="E48" s="5">
        <v>461</v>
      </c>
      <c r="F48" s="5">
        <v>161</v>
      </c>
      <c r="G48">
        <f t="shared" si="3"/>
        <v>774</v>
      </c>
      <c r="H48" s="2"/>
    </row>
    <row r="49" spans="2:8" x14ac:dyDescent="0.3">
      <c r="B49" s="3">
        <v>41</v>
      </c>
      <c r="C49" s="5">
        <v>34</v>
      </c>
      <c r="D49" s="5">
        <v>75</v>
      </c>
      <c r="E49" s="5">
        <v>227</v>
      </c>
      <c r="F49" s="5">
        <v>115</v>
      </c>
      <c r="G49">
        <f t="shared" si="3"/>
        <v>451</v>
      </c>
      <c r="H49" s="2"/>
    </row>
    <row r="50" spans="2:8" x14ac:dyDescent="0.3">
      <c r="B50" s="3">
        <v>42</v>
      </c>
      <c r="C50" s="5">
        <v>82</v>
      </c>
      <c r="D50" s="5">
        <v>261</v>
      </c>
      <c r="E50" s="5">
        <v>373</v>
      </c>
      <c r="F50" s="5">
        <v>242</v>
      </c>
      <c r="G50">
        <f t="shared" si="3"/>
        <v>958</v>
      </c>
      <c r="H50" s="2"/>
    </row>
    <row r="51" spans="2:8" x14ac:dyDescent="0.3">
      <c r="B51" s="3">
        <v>43</v>
      </c>
      <c r="C51" s="5">
        <v>59</v>
      </c>
      <c r="D51" s="5">
        <v>138</v>
      </c>
      <c r="E51" s="5">
        <v>47</v>
      </c>
      <c r="F51" s="5">
        <v>136</v>
      </c>
      <c r="G51">
        <f t="shared" si="3"/>
        <v>380</v>
      </c>
      <c r="H51" s="2"/>
    </row>
    <row r="52" spans="2:8" x14ac:dyDescent="0.3">
      <c r="B52" s="3">
        <v>44</v>
      </c>
      <c r="C52" s="5">
        <v>51</v>
      </c>
      <c r="D52" s="5">
        <v>218</v>
      </c>
      <c r="E52" s="5">
        <v>0</v>
      </c>
      <c r="F52" s="5">
        <v>292</v>
      </c>
      <c r="G52">
        <f t="shared" si="3"/>
        <v>561</v>
      </c>
      <c r="H52" s="2"/>
    </row>
    <row r="53" spans="2:8" x14ac:dyDescent="0.3">
      <c r="B53" s="3">
        <v>45</v>
      </c>
      <c r="C53" s="5">
        <v>49</v>
      </c>
      <c r="D53" s="5">
        <v>283</v>
      </c>
      <c r="E53" s="5">
        <v>757</v>
      </c>
      <c r="F53" s="5">
        <v>296</v>
      </c>
      <c r="G53">
        <f t="shared" si="3"/>
        <v>1385</v>
      </c>
      <c r="H53" s="2"/>
    </row>
    <row r="54" spans="2:8" x14ac:dyDescent="0.3">
      <c r="B54" s="3">
        <v>46</v>
      </c>
      <c r="C54" s="5">
        <v>87</v>
      </c>
      <c r="D54" s="5">
        <v>131</v>
      </c>
      <c r="E54" s="5">
        <v>111</v>
      </c>
      <c r="F54" s="5">
        <v>231</v>
      </c>
      <c r="G54">
        <f t="shared" si="3"/>
        <v>560</v>
      </c>
      <c r="H54" s="2"/>
    </row>
    <row r="55" spans="2:8" x14ac:dyDescent="0.3">
      <c r="B55" s="3">
        <v>47</v>
      </c>
      <c r="C55" s="5">
        <v>34</v>
      </c>
      <c r="D55" s="5">
        <v>138</v>
      </c>
      <c r="E55" s="5">
        <v>499</v>
      </c>
      <c r="F55" s="5">
        <v>60</v>
      </c>
      <c r="G55">
        <f t="shared" si="3"/>
        <v>731</v>
      </c>
      <c r="H55" s="2"/>
    </row>
    <row r="56" spans="2:8" x14ac:dyDescent="0.3">
      <c r="B56" s="3">
        <v>48</v>
      </c>
      <c r="C56" s="5">
        <v>54</v>
      </c>
      <c r="D56" s="5">
        <v>40</v>
      </c>
      <c r="E56" s="5">
        <v>195</v>
      </c>
      <c r="F56" s="5">
        <v>57</v>
      </c>
      <c r="G56">
        <f t="shared" si="3"/>
        <v>346</v>
      </c>
      <c r="H56" s="2"/>
    </row>
    <row r="57" spans="2:8" x14ac:dyDescent="0.3">
      <c r="B57" s="3">
        <v>49</v>
      </c>
      <c r="C57" s="5">
        <v>2</v>
      </c>
      <c r="D57" s="5">
        <v>5</v>
      </c>
      <c r="E57" s="5">
        <v>71</v>
      </c>
      <c r="F57" s="5">
        <v>75</v>
      </c>
      <c r="G57">
        <f t="shared" si="3"/>
        <v>153</v>
      </c>
      <c r="H57" s="2"/>
    </row>
    <row r="58" spans="2:8" x14ac:dyDescent="0.3">
      <c r="B58" s="3">
        <v>50</v>
      </c>
      <c r="C58" s="5">
        <v>45</v>
      </c>
      <c r="D58" s="5">
        <v>3</v>
      </c>
      <c r="E58" s="5">
        <v>303</v>
      </c>
      <c r="F58" s="5">
        <v>182</v>
      </c>
      <c r="G58">
        <f t="shared" si="3"/>
        <v>533</v>
      </c>
      <c r="H58" s="2"/>
    </row>
    <row r="59" spans="2:8" x14ac:dyDescent="0.3">
      <c r="B59" s="3">
        <v>51</v>
      </c>
      <c r="C59" s="5">
        <v>53</v>
      </c>
      <c r="D59" s="5">
        <v>100</v>
      </c>
      <c r="E59" s="5">
        <v>430</v>
      </c>
      <c r="F59" s="5">
        <v>69</v>
      </c>
      <c r="G59">
        <f t="shared" si="3"/>
        <v>652</v>
      </c>
      <c r="H59" s="2"/>
    </row>
    <row r="60" spans="2:8" x14ac:dyDescent="0.3">
      <c r="B60" s="3">
        <v>52</v>
      </c>
      <c r="C60" s="5">
        <v>162</v>
      </c>
      <c r="D60" s="5">
        <v>49</v>
      </c>
      <c r="E60" s="5">
        <v>280</v>
      </c>
      <c r="F60" s="5">
        <v>414</v>
      </c>
      <c r="G60">
        <f t="shared" si="3"/>
        <v>905</v>
      </c>
      <c r="H60" s="2"/>
    </row>
    <row r="61" spans="2:8" x14ac:dyDescent="0.3">
      <c r="B61" s="3">
        <v>53</v>
      </c>
      <c r="C61" s="5">
        <v>20</v>
      </c>
      <c r="D61" s="5">
        <v>36</v>
      </c>
      <c r="E61" s="5">
        <v>283</v>
      </c>
      <c r="F61" s="5">
        <v>180</v>
      </c>
      <c r="G61">
        <f t="shared" si="3"/>
        <v>519</v>
      </c>
      <c r="H61" s="2"/>
    </row>
    <row r="62" spans="2:8" x14ac:dyDescent="0.3">
      <c r="B62" s="3">
        <v>54</v>
      </c>
      <c r="C62" s="5">
        <v>21</v>
      </c>
      <c r="D62" s="5">
        <v>112</v>
      </c>
      <c r="E62" s="5">
        <v>59</v>
      </c>
      <c r="F62" s="5">
        <v>58</v>
      </c>
      <c r="G62">
        <f t="shared" si="3"/>
        <v>250</v>
      </c>
      <c r="H62" s="2"/>
    </row>
    <row r="63" spans="2:8" x14ac:dyDescent="0.3">
      <c r="B63" s="3">
        <v>55</v>
      </c>
      <c r="C63" s="5">
        <v>11</v>
      </c>
      <c r="D63" s="5">
        <v>49</v>
      </c>
      <c r="E63" s="5">
        <v>306</v>
      </c>
      <c r="F63" s="5">
        <v>169</v>
      </c>
      <c r="G63">
        <f t="shared" si="3"/>
        <v>535</v>
      </c>
      <c r="H63" s="2"/>
    </row>
    <row r="64" spans="2:8" x14ac:dyDescent="0.3">
      <c r="B64" s="3">
        <v>56</v>
      </c>
      <c r="C64" s="5">
        <v>93</v>
      </c>
      <c r="D64" s="5">
        <v>102</v>
      </c>
      <c r="E64" s="5">
        <v>512</v>
      </c>
      <c r="F64" s="5">
        <v>164</v>
      </c>
      <c r="G64">
        <f t="shared" si="3"/>
        <v>871</v>
      </c>
      <c r="H64" s="2"/>
    </row>
    <row r="65" spans="2:8" x14ac:dyDescent="0.3">
      <c r="B65" s="3">
        <v>57</v>
      </c>
      <c r="C65" s="5">
        <v>32</v>
      </c>
      <c r="D65" s="5">
        <v>0</v>
      </c>
      <c r="E65" s="5">
        <v>383</v>
      </c>
      <c r="F65" s="5">
        <v>32</v>
      </c>
      <c r="G65">
        <f t="shared" si="3"/>
        <v>447</v>
      </c>
      <c r="H65" s="2"/>
    </row>
    <row r="66" spans="2:8" x14ac:dyDescent="0.3">
      <c r="B66" s="3">
        <v>58</v>
      </c>
      <c r="C66" s="5">
        <v>36</v>
      </c>
      <c r="D66" s="5">
        <v>87</v>
      </c>
      <c r="E66" s="5">
        <v>223</v>
      </c>
      <c r="F66" s="5">
        <v>214</v>
      </c>
      <c r="G66">
        <f t="shared" si="3"/>
        <v>560</v>
      </c>
      <c r="H66" s="2"/>
    </row>
    <row r="67" spans="2:8" x14ac:dyDescent="0.3">
      <c r="B67" s="3">
        <v>59</v>
      </c>
      <c r="C67" s="5">
        <v>45</v>
      </c>
      <c r="D67" s="5">
        <v>43</v>
      </c>
      <c r="E67" s="5">
        <v>276</v>
      </c>
      <c r="F67" s="5">
        <v>140</v>
      </c>
      <c r="G67">
        <f t="shared" si="3"/>
        <v>504</v>
      </c>
      <c r="H67" s="2"/>
    </row>
    <row r="68" spans="2:8" x14ac:dyDescent="0.3">
      <c r="B68" s="3">
        <v>60</v>
      </c>
      <c r="C68" s="5">
        <v>93</v>
      </c>
      <c r="D68" s="5">
        <v>121</v>
      </c>
      <c r="E68" s="5">
        <v>492</v>
      </c>
      <c r="F68" s="5">
        <v>38</v>
      </c>
      <c r="G68">
        <f t="shared" si="3"/>
        <v>744</v>
      </c>
      <c r="H68" s="2"/>
    </row>
    <row r="69" spans="2:8" x14ac:dyDescent="0.3">
      <c r="B69" s="3">
        <v>61</v>
      </c>
      <c r="C69" s="5">
        <v>27</v>
      </c>
      <c r="D69" s="5">
        <v>64</v>
      </c>
      <c r="E69" s="5">
        <v>376</v>
      </c>
      <c r="F69" s="5">
        <v>218</v>
      </c>
      <c r="G69">
        <f t="shared" si="3"/>
        <v>685</v>
      </c>
      <c r="H69" s="2"/>
    </row>
    <row r="70" spans="2:8" x14ac:dyDescent="0.3">
      <c r="B70" s="3">
        <v>62</v>
      </c>
      <c r="C70" s="5">
        <v>54</v>
      </c>
      <c r="D70" s="5">
        <v>119</v>
      </c>
      <c r="E70" s="5">
        <v>237</v>
      </c>
      <c r="F70" s="5">
        <v>288</v>
      </c>
      <c r="G70">
        <f t="shared" si="3"/>
        <v>698</v>
      </c>
      <c r="H70" s="2"/>
    </row>
    <row r="71" spans="2:8" x14ac:dyDescent="0.3">
      <c r="B71" s="3">
        <v>63</v>
      </c>
      <c r="C71" s="5">
        <v>36</v>
      </c>
      <c r="D71" s="5">
        <v>24</v>
      </c>
      <c r="E71" s="5">
        <v>169</v>
      </c>
      <c r="F71" s="5">
        <v>195</v>
      </c>
      <c r="G71">
        <f t="shared" si="3"/>
        <v>424</v>
      </c>
      <c r="H71" s="2"/>
    </row>
    <row r="72" spans="2:8" x14ac:dyDescent="0.3">
      <c r="B72" s="3">
        <v>64</v>
      </c>
      <c r="C72" s="5">
        <v>11</v>
      </c>
      <c r="D72" s="5">
        <v>68</v>
      </c>
      <c r="E72" s="5">
        <v>26</v>
      </c>
      <c r="F72" s="5">
        <v>186</v>
      </c>
      <c r="G72">
        <f t="shared" si="3"/>
        <v>291</v>
      </c>
      <c r="H72" s="2"/>
    </row>
    <row r="73" spans="2:8" x14ac:dyDescent="0.3">
      <c r="B73" s="3">
        <v>65</v>
      </c>
      <c r="C73" s="5">
        <v>13</v>
      </c>
      <c r="D73" s="5">
        <v>53</v>
      </c>
      <c r="E73" s="5">
        <v>274</v>
      </c>
      <c r="F73" s="5">
        <v>106</v>
      </c>
      <c r="G73">
        <f t="shared" si="3"/>
        <v>446</v>
      </c>
      <c r="H73" s="2"/>
    </row>
    <row r="74" spans="2:8" x14ac:dyDescent="0.3">
      <c r="B74" s="3">
        <v>66</v>
      </c>
      <c r="C74" s="5">
        <v>15</v>
      </c>
      <c r="D74" s="5">
        <v>163</v>
      </c>
      <c r="E74" s="5">
        <v>241</v>
      </c>
      <c r="F74" s="5">
        <v>90</v>
      </c>
      <c r="G74">
        <f t="shared" ref="G74:G98" si="4">SUM(C74:F74)</f>
        <v>509</v>
      </c>
      <c r="H74" s="2"/>
    </row>
    <row r="75" spans="2:8" x14ac:dyDescent="0.3">
      <c r="B75" s="3">
        <v>67</v>
      </c>
      <c r="C75" s="5">
        <v>64</v>
      </c>
      <c r="D75" s="5">
        <v>152</v>
      </c>
      <c r="E75" s="5">
        <v>438</v>
      </c>
      <c r="F75" s="5">
        <v>103</v>
      </c>
      <c r="G75">
        <f t="shared" si="4"/>
        <v>757</v>
      </c>
      <c r="H75" s="2"/>
    </row>
    <row r="76" spans="2:8" x14ac:dyDescent="0.3">
      <c r="B76" s="3">
        <v>68</v>
      </c>
      <c r="C76" s="5">
        <v>45</v>
      </c>
      <c r="D76" s="5">
        <v>70</v>
      </c>
      <c r="E76" s="5">
        <v>278</v>
      </c>
      <c r="F76" s="5">
        <v>145</v>
      </c>
      <c r="G76">
        <f t="shared" si="4"/>
        <v>538</v>
      </c>
      <c r="H76" s="2"/>
    </row>
    <row r="77" spans="2:8" x14ac:dyDescent="0.3">
      <c r="B77" s="3">
        <v>69</v>
      </c>
      <c r="C77" s="5">
        <v>111</v>
      </c>
      <c r="D77" s="5">
        <v>157</v>
      </c>
      <c r="E77" s="5">
        <v>114</v>
      </c>
      <c r="F77" s="5">
        <v>60</v>
      </c>
      <c r="G77">
        <f t="shared" si="4"/>
        <v>442</v>
      </c>
      <c r="H77" s="2"/>
    </row>
    <row r="78" spans="2:8" x14ac:dyDescent="0.3">
      <c r="B78" s="3">
        <v>70</v>
      </c>
      <c r="C78" s="5">
        <v>26</v>
      </c>
      <c r="D78" s="5">
        <v>85</v>
      </c>
      <c r="E78" s="5">
        <v>132</v>
      </c>
      <c r="F78" s="5">
        <v>242</v>
      </c>
      <c r="G78">
        <f t="shared" si="4"/>
        <v>485</v>
      </c>
      <c r="H78" s="2"/>
    </row>
    <row r="79" spans="2:8" x14ac:dyDescent="0.3">
      <c r="B79" s="3">
        <v>71</v>
      </c>
      <c r="C79" s="5">
        <v>54</v>
      </c>
      <c r="D79" s="5">
        <v>80</v>
      </c>
      <c r="E79" s="5">
        <v>215</v>
      </c>
      <c r="F79" s="5">
        <v>231</v>
      </c>
      <c r="G79">
        <f t="shared" si="4"/>
        <v>580</v>
      </c>
      <c r="H79" s="2"/>
    </row>
    <row r="80" spans="2:8" x14ac:dyDescent="0.3">
      <c r="B80" s="3">
        <v>72</v>
      </c>
      <c r="C80" s="5">
        <v>27</v>
      </c>
      <c r="D80" s="5">
        <v>125</v>
      </c>
      <c r="E80" s="5">
        <v>158</v>
      </c>
      <c r="F80" s="5">
        <v>25</v>
      </c>
      <c r="G80">
        <f t="shared" si="4"/>
        <v>335</v>
      </c>
      <c r="H80" s="2"/>
    </row>
    <row r="81" spans="2:8" x14ac:dyDescent="0.3">
      <c r="B81" s="3">
        <v>73</v>
      </c>
      <c r="C81" s="5">
        <v>20</v>
      </c>
      <c r="D81" s="5">
        <v>20</v>
      </c>
      <c r="E81" s="5">
        <v>213</v>
      </c>
      <c r="F81" s="5">
        <v>182</v>
      </c>
      <c r="G81">
        <f t="shared" si="4"/>
        <v>435</v>
      </c>
      <c r="H81" s="2"/>
    </row>
    <row r="82" spans="2:8" x14ac:dyDescent="0.3">
      <c r="B82" s="3">
        <v>74</v>
      </c>
      <c r="C82" s="5">
        <v>82</v>
      </c>
      <c r="D82" s="5">
        <v>70</v>
      </c>
      <c r="E82" s="5">
        <v>344</v>
      </c>
      <c r="F82" s="5">
        <v>231</v>
      </c>
      <c r="G82">
        <f t="shared" si="4"/>
        <v>727</v>
      </c>
      <c r="H82" s="2"/>
    </row>
    <row r="83" spans="2:8" x14ac:dyDescent="0.3">
      <c r="B83" s="3">
        <v>75</v>
      </c>
      <c r="C83" s="5">
        <v>60</v>
      </c>
      <c r="D83" s="5">
        <v>101</v>
      </c>
      <c r="E83" s="5">
        <v>162</v>
      </c>
      <c r="F83" s="5">
        <v>78</v>
      </c>
      <c r="G83">
        <f t="shared" si="4"/>
        <v>401</v>
      </c>
      <c r="H83" s="2"/>
    </row>
    <row r="84" spans="2:8" x14ac:dyDescent="0.3">
      <c r="B84" s="3">
        <v>76</v>
      </c>
      <c r="C84" s="5">
        <v>34</v>
      </c>
      <c r="D84" s="5">
        <v>123</v>
      </c>
      <c r="E84" s="5">
        <v>193</v>
      </c>
      <c r="F84" s="5">
        <v>91</v>
      </c>
      <c r="G84">
        <f t="shared" si="4"/>
        <v>441</v>
      </c>
      <c r="H84" s="2"/>
    </row>
    <row r="85" spans="2:8" x14ac:dyDescent="0.3">
      <c r="B85" s="3">
        <v>77</v>
      </c>
      <c r="C85" s="5">
        <v>97</v>
      </c>
      <c r="D85" s="5">
        <v>107</v>
      </c>
      <c r="E85" s="5">
        <v>409</v>
      </c>
      <c r="F85" s="5">
        <v>20</v>
      </c>
      <c r="G85">
        <f t="shared" si="4"/>
        <v>633</v>
      </c>
      <c r="H85" s="2"/>
    </row>
    <row r="86" spans="2:8" x14ac:dyDescent="0.3">
      <c r="B86" s="3">
        <v>78</v>
      </c>
      <c r="C86" s="5">
        <v>66</v>
      </c>
      <c r="D86" s="5">
        <v>172</v>
      </c>
      <c r="E86" s="5">
        <v>233</v>
      </c>
      <c r="F86" s="5">
        <v>238</v>
      </c>
      <c r="G86">
        <f t="shared" si="4"/>
        <v>709</v>
      </c>
      <c r="H86" s="2"/>
    </row>
    <row r="87" spans="2:8" x14ac:dyDescent="0.3">
      <c r="B87" s="3">
        <v>79</v>
      </c>
      <c r="C87" s="5">
        <v>93</v>
      </c>
      <c r="D87" s="5">
        <v>129</v>
      </c>
      <c r="E87" s="5">
        <v>194</v>
      </c>
      <c r="F87" s="5">
        <v>98</v>
      </c>
      <c r="G87">
        <f t="shared" si="4"/>
        <v>514</v>
      </c>
      <c r="H87" s="2"/>
    </row>
    <row r="88" spans="2:8" x14ac:dyDescent="0.3">
      <c r="B88" s="3">
        <v>80</v>
      </c>
      <c r="C88" s="5">
        <v>13</v>
      </c>
      <c r="D88" s="5">
        <v>112</v>
      </c>
      <c r="E88" s="5">
        <v>380</v>
      </c>
      <c r="F88" s="5">
        <v>271</v>
      </c>
      <c r="G88">
        <f t="shared" si="4"/>
        <v>776</v>
      </c>
      <c r="H88" s="2"/>
    </row>
    <row r="89" spans="2:8" x14ac:dyDescent="0.3">
      <c r="B89" s="3">
        <v>81</v>
      </c>
      <c r="C89" s="5">
        <v>83</v>
      </c>
      <c r="D89" s="5">
        <v>275</v>
      </c>
      <c r="E89" s="5">
        <v>361</v>
      </c>
      <c r="F89" s="5">
        <v>123</v>
      </c>
      <c r="G89">
        <f t="shared" si="4"/>
        <v>842</v>
      </c>
      <c r="H89" s="2"/>
    </row>
    <row r="90" spans="2:8" x14ac:dyDescent="0.3">
      <c r="B90" s="3">
        <v>82</v>
      </c>
      <c r="C90" s="5">
        <v>128</v>
      </c>
      <c r="D90" s="5">
        <v>196</v>
      </c>
      <c r="E90" s="5">
        <v>134</v>
      </c>
      <c r="F90" s="5">
        <v>25</v>
      </c>
      <c r="G90">
        <f t="shared" si="4"/>
        <v>483</v>
      </c>
      <c r="H90" s="2"/>
    </row>
    <row r="91" spans="2:8" x14ac:dyDescent="0.3">
      <c r="B91" s="3">
        <v>83</v>
      </c>
      <c r="C91" s="5">
        <v>7</v>
      </c>
      <c r="D91" s="5">
        <v>76</v>
      </c>
      <c r="E91" s="5">
        <v>368</v>
      </c>
      <c r="F91" s="5">
        <v>79</v>
      </c>
      <c r="G91">
        <f t="shared" si="4"/>
        <v>530</v>
      </c>
      <c r="H91" s="2"/>
    </row>
    <row r="92" spans="2:8" x14ac:dyDescent="0.3">
      <c r="B92" s="3">
        <v>84</v>
      </c>
      <c r="C92" s="5">
        <v>20</v>
      </c>
      <c r="D92" s="5">
        <v>74</v>
      </c>
      <c r="E92" s="5">
        <v>282</v>
      </c>
      <c r="F92" s="5">
        <v>101</v>
      </c>
      <c r="G92">
        <f t="shared" si="4"/>
        <v>477</v>
      </c>
      <c r="H92" s="2"/>
    </row>
    <row r="93" spans="2:8" x14ac:dyDescent="0.3">
      <c r="B93" s="3">
        <v>85</v>
      </c>
      <c r="C93" s="5">
        <v>34</v>
      </c>
      <c r="D93" s="5">
        <v>155</v>
      </c>
      <c r="E93" s="5">
        <v>322</v>
      </c>
      <c r="F93" s="5">
        <v>213</v>
      </c>
      <c r="G93">
        <f t="shared" si="4"/>
        <v>724</v>
      </c>
      <c r="H93" s="2"/>
    </row>
    <row r="94" spans="2:8" x14ac:dyDescent="0.3">
      <c r="B94" s="3">
        <v>86</v>
      </c>
      <c r="C94" s="5">
        <v>23</v>
      </c>
      <c r="D94" s="5">
        <v>97</v>
      </c>
      <c r="E94" s="5">
        <v>353</v>
      </c>
      <c r="F94" s="5">
        <v>196</v>
      </c>
      <c r="G94">
        <f t="shared" si="4"/>
        <v>669</v>
      </c>
      <c r="H94" s="2"/>
    </row>
    <row r="95" spans="2:8" x14ac:dyDescent="0.3">
      <c r="B95" s="3">
        <v>87</v>
      </c>
      <c r="C95" s="5">
        <v>41</v>
      </c>
      <c r="D95" s="5">
        <v>75</v>
      </c>
      <c r="E95" s="5">
        <v>52</v>
      </c>
      <c r="F95" s="5">
        <v>92</v>
      </c>
      <c r="G95">
        <f t="shared" si="4"/>
        <v>260</v>
      </c>
      <c r="H95" s="2"/>
    </row>
    <row r="96" spans="2:8" x14ac:dyDescent="0.3">
      <c r="B96" s="3">
        <v>88</v>
      </c>
      <c r="C96" s="5">
        <v>131</v>
      </c>
      <c r="D96" s="5">
        <v>1</v>
      </c>
      <c r="E96" s="5">
        <v>496</v>
      </c>
      <c r="F96" s="5">
        <v>234</v>
      </c>
      <c r="G96">
        <f t="shared" si="4"/>
        <v>862</v>
      </c>
      <c r="H96" s="2"/>
    </row>
    <row r="97" spans="2:8" x14ac:dyDescent="0.3">
      <c r="B97" s="3">
        <v>89</v>
      </c>
      <c r="C97" s="5">
        <v>51</v>
      </c>
      <c r="D97" s="5">
        <v>199</v>
      </c>
      <c r="E97" s="5">
        <v>127</v>
      </c>
      <c r="F97" s="5">
        <v>76</v>
      </c>
      <c r="G97">
        <f t="shared" si="4"/>
        <v>453</v>
      </c>
      <c r="H97" s="2"/>
    </row>
    <row r="98" spans="2:8" x14ac:dyDescent="0.3">
      <c r="B98" s="3">
        <v>90</v>
      </c>
      <c r="C98" s="5">
        <v>96</v>
      </c>
      <c r="D98" s="5">
        <v>31</v>
      </c>
      <c r="E98" s="5">
        <v>58</v>
      </c>
      <c r="F98" s="5">
        <v>611</v>
      </c>
      <c r="G98">
        <f t="shared" si="4"/>
        <v>796</v>
      </c>
      <c r="H98" s="2"/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8"/>
  <sheetViews>
    <sheetView zoomScale="125" zoomScaleNormal="125" zoomScalePageLayoutView="125" workbookViewId="0">
      <selection activeCell="C3" sqref="C3:F5"/>
    </sheetView>
  </sheetViews>
  <sheetFormatPr defaultColWidth="11.19921875" defaultRowHeight="15.6" x14ac:dyDescent="0.3"/>
  <sheetData>
    <row r="1" spans="1:6" x14ac:dyDescent="0.3">
      <c r="A1" t="s">
        <v>19</v>
      </c>
    </row>
    <row r="2" spans="1:6" x14ac:dyDescent="0.3">
      <c r="C2" s="1"/>
      <c r="D2" s="1"/>
      <c r="E2" s="1"/>
      <c r="F2" s="1"/>
    </row>
    <row r="3" spans="1:6" x14ac:dyDescent="0.3">
      <c r="B3" t="s">
        <v>25</v>
      </c>
      <c r="C3" s="2">
        <f>SUM(C9:C98)</f>
        <v>775</v>
      </c>
      <c r="D3" s="2">
        <f t="shared" ref="D3:F3" si="0">SUM(D9:D98)</f>
        <v>1686</v>
      </c>
      <c r="E3" s="2">
        <f t="shared" si="0"/>
        <v>4525</v>
      </c>
      <c r="F3" s="2">
        <f t="shared" si="0"/>
        <v>3625</v>
      </c>
    </row>
    <row r="4" spans="1:6" x14ac:dyDescent="0.3">
      <c r="B4" t="s">
        <v>26</v>
      </c>
      <c r="C4" s="11">
        <f>AVERAGE(C9:C98)</f>
        <v>8.6111111111111107</v>
      </c>
      <c r="D4" s="11">
        <f t="shared" ref="D4:F4" si="1">AVERAGE(D9:D98)</f>
        <v>18.733333333333334</v>
      </c>
      <c r="E4" s="11">
        <f t="shared" si="1"/>
        <v>50.277777777777779</v>
      </c>
      <c r="F4" s="11">
        <f t="shared" si="1"/>
        <v>40.277777777777779</v>
      </c>
    </row>
    <row r="5" spans="1:6" x14ac:dyDescent="0.3">
      <c r="B5" t="s">
        <v>27</v>
      </c>
      <c r="C5" s="11">
        <f>_xlfn.STDEV.S(C9:C98)</f>
        <v>7.8678615863887558</v>
      </c>
      <c r="D5" s="11">
        <f t="shared" ref="D5:F5" si="2">_xlfn.STDEV.S(D9:D98)</f>
        <v>14.664640649987248</v>
      </c>
      <c r="E5" s="11">
        <f t="shared" si="2"/>
        <v>37.607681434401279</v>
      </c>
      <c r="F5" s="11">
        <f t="shared" si="2"/>
        <v>38.764059508944413</v>
      </c>
    </row>
    <row r="6" spans="1:6" x14ac:dyDescent="0.3">
      <c r="C6" s="1"/>
      <c r="D6" s="1"/>
      <c r="E6" s="1"/>
      <c r="F6" s="1"/>
    </row>
    <row r="8" spans="1:6" x14ac:dyDescent="0.3">
      <c r="B8" s="3" t="s">
        <v>11</v>
      </c>
      <c r="C8" s="3" t="s">
        <v>5</v>
      </c>
      <c r="D8" s="3" t="s">
        <v>6</v>
      </c>
      <c r="E8" s="3" t="s">
        <v>7</v>
      </c>
      <c r="F8" s="3" t="s">
        <v>8</v>
      </c>
    </row>
    <row r="9" spans="1:6" x14ac:dyDescent="0.3">
      <c r="A9" s="2"/>
      <c r="B9" s="3">
        <v>1</v>
      </c>
      <c r="C9" s="5">
        <v>19</v>
      </c>
      <c r="D9" s="5">
        <v>3</v>
      </c>
      <c r="E9" s="5">
        <v>103</v>
      </c>
      <c r="F9" s="5">
        <v>52</v>
      </c>
    </row>
    <row r="10" spans="1:6" x14ac:dyDescent="0.3">
      <c r="A10" s="2"/>
      <c r="B10" s="3">
        <v>2</v>
      </c>
      <c r="C10" s="5">
        <v>3</v>
      </c>
      <c r="D10" s="5">
        <v>7</v>
      </c>
      <c r="E10" s="5">
        <v>49</v>
      </c>
      <c r="F10" s="5">
        <v>10</v>
      </c>
    </row>
    <row r="11" spans="1:6" x14ac:dyDescent="0.3">
      <c r="A11" s="2"/>
      <c r="B11" s="3">
        <v>3</v>
      </c>
      <c r="C11" s="5">
        <v>1</v>
      </c>
      <c r="D11" s="5">
        <v>2</v>
      </c>
      <c r="E11" s="5">
        <v>7</v>
      </c>
      <c r="F11" s="5">
        <v>2</v>
      </c>
    </row>
    <row r="12" spans="1:6" x14ac:dyDescent="0.3">
      <c r="A12" s="2"/>
      <c r="B12" s="3">
        <v>4</v>
      </c>
      <c r="C12" s="5">
        <v>4</v>
      </c>
      <c r="D12" s="5">
        <v>11</v>
      </c>
      <c r="E12" s="5">
        <v>5</v>
      </c>
      <c r="F12" s="5">
        <v>26</v>
      </c>
    </row>
    <row r="13" spans="1:6" x14ac:dyDescent="0.3">
      <c r="A13" s="2"/>
      <c r="B13" s="3">
        <v>5</v>
      </c>
      <c r="C13" s="5">
        <v>24</v>
      </c>
      <c r="D13" s="5">
        <v>14</v>
      </c>
      <c r="E13" s="5">
        <v>80</v>
      </c>
      <c r="F13" s="5">
        <v>8</v>
      </c>
    </row>
    <row r="14" spans="1:6" x14ac:dyDescent="0.3">
      <c r="A14" s="2"/>
      <c r="B14" s="3">
        <v>6</v>
      </c>
      <c r="C14" s="5">
        <v>1</v>
      </c>
      <c r="D14" s="5">
        <v>5</v>
      </c>
      <c r="E14" s="5">
        <v>23</v>
      </c>
      <c r="F14" s="5">
        <v>9</v>
      </c>
    </row>
    <row r="15" spans="1:6" x14ac:dyDescent="0.3">
      <c r="A15" s="2"/>
      <c r="B15" s="3">
        <v>7</v>
      </c>
      <c r="C15" s="5">
        <v>16</v>
      </c>
      <c r="D15" s="5">
        <v>16</v>
      </c>
      <c r="E15" s="5">
        <v>27</v>
      </c>
      <c r="F15" s="5">
        <v>68</v>
      </c>
    </row>
    <row r="16" spans="1:6" x14ac:dyDescent="0.3">
      <c r="A16" s="2"/>
      <c r="B16" s="3">
        <v>8</v>
      </c>
      <c r="C16" s="5">
        <v>1</v>
      </c>
      <c r="D16" s="5">
        <v>7</v>
      </c>
      <c r="E16" s="5">
        <v>60</v>
      </c>
      <c r="F16" s="5">
        <v>120</v>
      </c>
    </row>
    <row r="17" spans="1:6" x14ac:dyDescent="0.3">
      <c r="A17" s="2"/>
      <c r="B17" s="3">
        <v>9</v>
      </c>
      <c r="C17" s="5">
        <v>13</v>
      </c>
      <c r="D17" s="5">
        <v>52</v>
      </c>
      <c r="E17" s="5">
        <v>23</v>
      </c>
      <c r="F17" s="5">
        <v>35</v>
      </c>
    </row>
    <row r="18" spans="1:6" x14ac:dyDescent="0.3">
      <c r="A18" s="2"/>
      <c r="B18" s="3">
        <v>10</v>
      </c>
      <c r="C18" s="5">
        <v>1</v>
      </c>
      <c r="D18" s="5">
        <v>10</v>
      </c>
      <c r="E18" s="5">
        <v>27</v>
      </c>
      <c r="F18" s="5">
        <v>18</v>
      </c>
    </row>
    <row r="19" spans="1:6" x14ac:dyDescent="0.3">
      <c r="A19" s="2"/>
      <c r="B19" s="3">
        <v>11</v>
      </c>
      <c r="C19" s="5">
        <v>0</v>
      </c>
      <c r="D19" s="5">
        <v>15</v>
      </c>
      <c r="E19" s="5">
        <v>31</v>
      </c>
      <c r="F19" s="5">
        <v>46</v>
      </c>
    </row>
    <row r="20" spans="1:6" x14ac:dyDescent="0.3">
      <c r="A20" s="2"/>
      <c r="B20" s="3">
        <v>12</v>
      </c>
      <c r="C20" s="5">
        <v>5</v>
      </c>
      <c r="D20" s="5">
        <v>17</v>
      </c>
      <c r="E20" s="5">
        <v>72</v>
      </c>
      <c r="F20" s="5">
        <v>41</v>
      </c>
    </row>
    <row r="21" spans="1:6" x14ac:dyDescent="0.3">
      <c r="A21" s="2"/>
      <c r="B21" s="3">
        <v>13</v>
      </c>
      <c r="C21" s="5">
        <v>17</v>
      </c>
      <c r="D21" s="5">
        <v>15</v>
      </c>
      <c r="E21" s="5">
        <v>78</v>
      </c>
      <c r="F21" s="5">
        <v>14</v>
      </c>
    </row>
    <row r="22" spans="1:6" x14ac:dyDescent="0.3">
      <c r="A22" s="2"/>
      <c r="B22" s="3">
        <v>14</v>
      </c>
      <c r="C22" s="5">
        <v>1</v>
      </c>
      <c r="D22" s="5">
        <v>22</v>
      </c>
      <c r="E22" s="5">
        <v>68</v>
      </c>
      <c r="F22" s="5">
        <v>37</v>
      </c>
    </row>
    <row r="23" spans="1:6" x14ac:dyDescent="0.3">
      <c r="A23" s="2"/>
      <c r="B23" s="3">
        <v>15</v>
      </c>
      <c r="C23" s="5">
        <v>30</v>
      </c>
      <c r="D23" s="5">
        <v>8</v>
      </c>
      <c r="E23" s="5">
        <v>140</v>
      </c>
      <c r="F23" s="5">
        <v>110</v>
      </c>
    </row>
    <row r="24" spans="1:6" x14ac:dyDescent="0.3">
      <c r="A24" s="2"/>
      <c r="B24" s="3">
        <v>16</v>
      </c>
      <c r="C24" s="5">
        <v>21</v>
      </c>
      <c r="D24" s="5">
        <v>26</v>
      </c>
      <c r="E24" s="5">
        <v>74</v>
      </c>
      <c r="F24" s="5">
        <v>58</v>
      </c>
    </row>
    <row r="25" spans="1:6" x14ac:dyDescent="0.3">
      <c r="A25" s="2"/>
      <c r="B25" s="3">
        <v>17</v>
      </c>
      <c r="C25" s="5">
        <v>12</v>
      </c>
      <c r="D25" s="5">
        <v>18</v>
      </c>
      <c r="E25" s="5">
        <v>31</v>
      </c>
      <c r="F25" s="5">
        <v>60</v>
      </c>
    </row>
    <row r="26" spans="1:6" x14ac:dyDescent="0.3">
      <c r="A26" s="2"/>
      <c r="B26" s="3">
        <v>18</v>
      </c>
      <c r="C26" s="5">
        <v>10</v>
      </c>
      <c r="D26" s="5">
        <v>20</v>
      </c>
      <c r="E26" s="5">
        <v>77</v>
      </c>
      <c r="F26" s="5">
        <v>7</v>
      </c>
    </row>
    <row r="27" spans="1:6" x14ac:dyDescent="0.3">
      <c r="A27" s="2"/>
      <c r="B27" s="3">
        <v>19</v>
      </c>
      <c r="C27" s="5">
        <v>20</v>
      </c>
      <c r="D27" s="5">
        <v>32</v>
      </c>
      <c r="E27" s="5">
        <v>8</v>
      </c>
      <c r="F27" s="5">
        <v>113</v>
      </c>
    </row>
    <row r="28" spans="1:6" x14ac:dyDescent="0.3">
      <c r="A28" s="2"/>
      <c r="B28" s="3">
        <v>20</v>
      </c>
      <c r="C28" s="5">
        <v>2</v>
      </c>
      <c r="D28" s="5">
        <v>2</v>
      </c>
      <c r="E28" s="5">
        <v>23</v>
      </c>
      <c r="F28" s="5">
        <v>14</v>
      </c>
    </row>
    <row r="29" spans="1:6" x14ac:dyDescent="0.3">
      <c r="A29" s="2"/>
      <c r="B29" s="3">
        <v>21</v>
      </c>
      <c r="C29" s="5">
        <v>3</v>
      </c>
      <c r="D29" s="5">
        <v>14</v>
      </c>
      <c r="E29" s="5">
        <v>44</v>
      </c>
      <c r="F29" s="5">
        <v>35</v>
      </c>
    </row>
    <row r="30" spans="1:6" x14ac:dyDescent="0.3">
      <c r="A30" s="2"/>
      <c r="B30" s="3">
        <v>22</v>
      </c>
      <c r="C30" s="5">
        <v>9</v>
      </c>
      <c r="D30" s="5">
        <v>33</v>
      </c>
      <c r="E30" s="5">
        <v>10</v>
      </c>
      <c r="F30" s="5">
        <v>0</v>
      </c>
    </row>
    <row r="31" spans="1:6" x14ac:dyDescent="0.3">
      <c r="A31" s="2"/>
      <c r="B31" s="3">
        <v>23</v>
      </c>
      <c r="C31" s="5">
        <v>1</v>
      </c>
      <c r="D31" s="5">
        <v>12</v>
      </c>
      <c r="E31" s="5">
        <v>66</v>
      </c>
      <c r="F31" s="5">
        <v>11</v>
      </c>
    </row>
    <row r="32" spans="1:6" x14ac:dyDescent="0.3">
      <c r="A32" s="2"/>
      <c r="B32" s="3">
        <v>24</v>
      </c>
      <c r="C32" s="5">
        <v>5</v>
      </c>
      <c r="D32" s="5">
        <v>48</v>
      </c>
      <c r="E32" s="5">
        <v>8</v>
      </c>
      <c r="F32" s="5">
        <v>124</v>
      </c>
    </row>
    <row r="33" spans="1:6" x14ac:dyDescent="0.3">
      <c r="A33" s="2"/>
      <c r="B33" s="3">
        <v>25</v>
      </c>
      <c r="C33" s="5">
        <v>16</v>
      </c>
      <c r="D33" s="5">
        <v>5</v>
      </c>
      <c r="E33" s="5">
        <v>44</v>
      </c>
      <c r="F33" s="5">
        <v>71</v>
      </c>
    </row>
    <row r="34" spans="1:6" x14ac:dyDescent="0.3">
      <c r="A34" s="2"/>
      <c r="B34" s="3">
        <v>26</v>
      </c>
      <c r="C34" s="5">
        <v>0</v>
      </c>
      <c r="D34" s="5">
        <v>38</v>
      </c>
      <c r="E34" s="5">
        <v>14</v>
      </c>
      <c r="F34" s="5">
        <v>34</v>
      </c>
    </row>
    <row r="35" spans="1:6" x14ac:dyDescent="0.3">
      <c r="A35" s="2"/>
      <c r="B35" s="3">
        <v>27</v>
      </c>
      <c r="C35" s="5">
        <v>4</v>
      </c>
      <c r="D35" s="5">
        <v>1</v>
      </c>
      <c r="E35" s="5">
        <v>53</v>
      </c>
      <c r="F35" s="5">
        <v>10</v>
      </c>
    </row>
    <row r="36" spans="1:6" x14ac:dyDescent="0.3">
      <c r="A36" s="2"/>
      <c r="B36" s="3">
        <v>28</v>
      </c>
      <c r="C36" s="5">
        <v>2</v>
      </c>
      <c r="D36" s="5">
        <v>2</v>
      </c>
      <c r="E36" s="5">
        <v>8</v>
      </c>
      <c r="F36" s="5">
        <v>7</v>
      </c>
    </row>
    <row r="37" spans="1:6" x14ac:dyDescent="0.3">
      <c r="A37" s="2"/>
      <c r="B37" s="3">
        <v>29</v>
      </c>
      <c r="C37" s="5">
        <v>27</v>
      </c>
      <c r="D37" s="5">
        <v>42</v>
      </c>
      <c r="E37" s="5">
        <v>123</v>
      </c>
      <c r="F37" s="5">
        <v>62</v>
      </c>
    </row>
    <row r="38" spans="1:6" x14ac:dyDescent="0.3">
      <c r="A38" s="2"/>
      <c r="B38" s="3">
        <v>30</v>
      </c>
      <c r="C38" s="5">
        <v>0</v>
      </c>
      <c r="D38" s="5">
        <v>0</v>
      </c>
      <c r="E38" s="5">
        <v>11</v>
      </c>
      <c r="F38" s="5">
        <v>1</v>
      </c>
    </row>
    <row r="39" spans="1:6" x14ac:dyDescent="0.3">
      <c r="A39" s="2"/>
      <c r="B39" s="3">
        <v>31</v>
      </c>
      <c r="C39" s="5">
        <v>22</v>
      </c>
      <c r="D39" s="5">
        <v>18</v>
      </c>
      <c r="E39" s="5">
        <v>25</v>
      </c>
      <c r="F39" s="5">
        <v>41</v>
      </c>
    </row>
    <row r="40" spans="1:6" x14ac:dyDescent="0.3">
      <c r="A40" s="2"/>
      <c r="B40" s="3">
        <v>32</v>
      </c>
      <c r="C40" s="5">
        <v>7</v>
      </c>
      <c r="D40" s="5">
        <v>8</v>
      </c>
      <c r="E40" s="5">
        <v>21</v>
      </c>
      <c r="F40" s="5">
        <v>44</v>
      </c>
    </row>
    <row r="41" spans="1:6" x14ac:dyDescent="0.3">
      <c r="A41" s="2"/>
      <c r="B41" s="3">
        <v>33</v>
      </c>
      <c r="C41" s="5">
        <v>9</v>
      </c>
      <c r="D41" s="5">
        <v>5</v>
      </c>
      <c r="E41" s="5">
        <v>71</v>
      </c>
      <c r="F41" s="5">
        <v>67</v>
      </c>
    </row>
    <row r="42" spans="1:6" x14ac:dyDescent="0.3">
      <c r="A42" s="2"/>
      <c r="B42" s="3">
        <v>34</v>
      </c>
      <c r="C42" s="5">
        <v>4</v>
      </c>
      <c r="D42" s="5">
        <v>24</v>
      </c>
      <c r="E42" s="5">
        <v>2</v>
      </c>
      <c r="F42" s="5">
        <v>6</v>
      </c>
    </row>
    <row r="43" spans="1:6" x14ac:dyDescent="0.3">
      <c r="A43" s="2"/>
      <c r="B43" s="3">
        <v>35</v>
      </c>
      <c r="C43" s="5">
        <v>14</v>
      </c>
      <c r="D43" s="5">
        <v>34</v>
      </c>
      <c r="E43" s="5">
        <v>43</v>
      </c>
      <c r="F43" s="5">
        <v>96</v>
      </c>
    </row>
    <row r="44" spans="1:6" x14ac:dyDescent="0.3">
      <c r="A44" s="2"/>
      <c r="B44" s="3">
        <v>36</v>
      </c>
      <c r="C44" s="5">
        <v>17</v>
      </c>
      <c r="D44" s="5">
        <v>39</v>
      </c>
      <c r="E44" s="5">
        <v>55</v>
      </c>
      <c r="F44" s="5">
        <v>35</v>
      </c>
    </row>
    <row r="45" spans="1:6" x14ac:dyDescent="0.3">
      <c r="A45" s="2"/>
      <c r="B45" s="3">
        <v>37</v>
      </c>
      <c r="C45" s="5">
        <v>1</v>
      </c>
      <c r="D45" s="5">
        <v>11</v>
      </c>
      <c r="E45" s="5">
        <v>50</v>
      </c>
      <c r="F45" s="5">
        <v>2</v>
      </c>
    </row>
    <row r="46" spans="1:6" x14ac:dyDescent="0.3">
      <c r="A46" s="2"/>
      <c r="B46" s="3">
        <v>38</v>
      </c>
      <c r="C46" s="5">
        <v>4</v>
      </c>
      <c r="D46" s="5">
        <v>7</v>
      </c>
      <c r="E46" s="5">
        <v>42</v>
      </c>
      <c r="F46" s="5">
        <v>15</v>
      </c>
    </row>
    <row r="47" spans="1:6" x14ac:dyDescent="0.3">
      <c r="A47" s="2"/>
      <c r="B47" s="3">
        <v>39</v>
      </c>
      <c r="C47" s="5">
        <v>2</v>
      </c>
      <c r="D47" s="5">
        <v>6</v>
      </c>
      <c r="E47" s="5">
        <v>32</v>
      </c>
      <c r="F47" s="5">
        <v>4</v>
      </c>
    </row>
    <row r="48" spans="1:6" x14ac:dyDescent="0.3">
      <c r="A48" s="2"/>
      <c r="B48" s="3">
        <v>40</v>
      </c>
      <c r="C48" s="5">
        <v>1</v>
      </c>
      <c r="D48" s="5">
        <v>11</v>
      </c>
      <c r="E48" s="5">
        <v>39</v>
      </c>
      <c r="F48" s="5">
        <v>24</v>
      </c>
    </row>
    <row r="49" spans="1:6" x14ac:dyDescent="0.3">
      <c r="A49" s="2"/>
      <c r="B49" s="3">
        <v>41</v>
      </c>
      <c r="C49" s="5">
        <v>7</v>
      </c>
      <c r="D49" s="5">
        <v>15</v>
      </c>
      <c r="E49" s="5">
        <v>5</v>
      </c>
      <c r="F49" s="5">
        <v>69</v>
      </c>
    </row>
    <row r="50" spans="1:6" x14ac:dyDescent="0.3">
      <c r="A50" s="2"/>
      <c r="B50" s="3">
        <v>42</v>
      </c>
      <c r="C50" s="5">
        <v>2</v>
      </c>
      <c r="D50" s="5">
        <v>3</v>
      </c>
      <c r="E50" s="5">
        <v>16</v>
      </c>
      <c r="F50" s="5">
        <v>12</v>
      </c>
    </row>
    <row r="51" spans="1:6" x14ac:dyDescent="0.3">
      <c r="A51" s="2"/>
      <c r="B51" s="3">
        <v>43</v>
      </c>
      <c r="C51" s="5">
        <v>4</v>
      </c>
      <c r="D51" s="5">
        <v>26</v>
      </c>
      <c r="E51" s="5">
        <v>36</v>
      </c>
      <c r="F51" s="5">
        <v>73</v>
      </c>
    </row>
    <row r="52" spans="1:6" x14ac:dyDescent="0.3">
      <c r="A52" s="2"/>
      <c r="B52" s="3">
        <v>44</v>
      </c>
      <c r="C52" s="5">
        <v>4</v>
      </c>
      <c r="D52" s="5">
        <v>31</v>
      </c>
      <c r="E52" s="5">
        <v>67</v>
      </c>
      <c r="F52" s="5">
        <v>55</v>
      </c>
    </row>
    <row r="53" spans="1:6" x14ac:dyDescent="0.3">
      <c r="A53" s="2"/>
      <c r="B53" s="3">
        <v>45</v>
      </c>
      <c r="C53" s="5">
        <v>1</v>
      </c>
      <c r="D53" s="5">
        <v>5</v>
      </c>
      <c r="E53" s="5">
        <v>24</v>
      </c>
      <c r="F53" s="5">
        <v>13</v>
      </c>
    </row>
    <row r="54" spans="1:6" x14ac:dyDescent="0.3">
      <c r="A54" s="2"/>
      <c r="B54" s="3">
        <v>46</v>
      </c>
      <c r="C54" s="5">
        <v>29</v>
      </c>
      <c r="D54" s="5">
        <v>37</v>
      </c>
      <c r="E54" s="5">
        <v>68</v>
      </c>
      <c r="F54" s="5">
        <v>115</v>
      </c>
    </row>
    <row r="55" spans="1:6" x14ac:dyDescent="0.3">
      <c r="A55" s="2"/>
      <c r="B55" s="3">
        <v>47</v>
      </c>
      <c r="C55" s="5">
        <v>13</v>
      </c>
      <c r="D55" s="5">
        <v>42</v>
      </c>
      <c r="E55" s="5">
        <v>66</v>
      </c>
      <c r="F55" s="5">
        <v>27</v>
      </c>
    </row>
    <row r="56" spans="1:6" x14ac:dyDescent="0.3">
      <c r="A56" s="2"/>
      <c r="B56" s="3">
        <v>48</v>
      </c>
      <c r="C56" s="5">
        <v>12</v>
      </c>
      <c r="D56" s="5">
        <v>36</v>
      </c>
      <c r="E56" s="5">
        <v>82</v>
      </c>
      <c r="F56" s="5">
        <v>16</v>
      </c>
    </row>
    <row r="57" spans="1:6" x14ac:dyDescent="0.3">
      <c r="A57" s="2"/>
      <c r="B57" s="3">
        <v>49</v>
      </c>
      <c r="C57" s="5">
        <v>5</v>
      </c>
      <c r="D57" s="5">
        <v>1</v>
      </c>
      <c r="E57" s="5">
        <v>41</v>
      </c>
      <c r="F57" s="5">
        <v>3</v>
      </c>
    </row>
    <row r="58" spans="1:6" x14ac:dyDescent="0.3">
      <c r="A58" s="2"/>
      <c r="B58" s="3">
        <v>50</v>
      </c>
      <c r="C58" s="5">
        <v>8</v>
      </c>
      <c r="D58" s="5">
        <v>16</v>
      </c>
      <c r="E58" s="5">
        <v>63</v>
      </c>
      <c r="F58" s="5">
        <v>5</v>
      </c>
    </row>
    <row r="59" spans="1:6" x14ac:dyDescent="0.3">
      <c r="A59" s="2"/>
      <c r="B59" s="3">
        <v>51</v>
      </c>
      <c r="C59" s="5">
        <v>0</v>
      </c>
      <c r="D59" s="5">
        <v>2</v>
      </c>
      <c r="E59" s="5">
        <v>7</v>
      </c>
      <c r="F59" s="5">
        <v>3</v>
      </c>
    </row>
    <row r="60" spans="1:6" x14ac:dyDescent="0.3">
      <c r="A60" s="2"/>
      <c r="B60" s="3">
        <v>52</v>
      </c>
      <c r="C60" s="5">
        <v>10</v>
      </c>
      <c r="D60" s="5">
        <v>16</v>
      </c>
      <c r="E60" s="5">
        <v>81</v>
      </c>
      <c r="F60" s="5">
        <v>51</v>
      </c>
    </row>
    <row r="61" spans="1:6" x14ac:dyDescent="0.3">
      <c r="A61" s="2"/>
      <c r="B61" s="3">
        <v>53</v>
      </c>
      <c r="C61" s="5">
        <v>6</v>
      </c>
      <c r="D61" s="5">
        <v>4</v>
      </c>
      <c r="E61" s="5">
        <v>86</v>
      </c>
      <c r="F61" s="5">
        <v>56</v>
      </c>
    </row>
    <row r="62" spans="1:6" x14ac:dyDescent="0.3">
      <c r="A62" s="2"/>
      <c r="B62" s="3">
        <v>54</v>
      </c>
      <c r="C62" s="5">
        <v>2</v>
      </c>
      <c r="D62" s="5">
        <v>33</v>
      </c>
      <c r="E62" s="5">
        <v>65</v>
      </c>
      <c r="F62" s="5">
        <v>192</v>
      </c>
    </row>
    <row r="63" spans="1:6" x14ac:dyDescent="0.3">
      <c r="A63" s="2"/>
      <c r="B63" s="3">
        <v>55</v>
      </c>
      <c r="C63" s="5">
        <v>0</v>
      </c>
      <c r="D63" s="5">
        <v>22</v>
      </c>
      <c r="E63" s="5">
        <v>44</v>
      </c>
      <c r="F63" s="5">
        <v>8</v>
      </c>
    </row>
    <row r="64" spans="1:6" x14ac:dyDescent="0.3">
      <c r="A64" s="2"/>
      <c r="B64" s="3">
        <v>56</v>
      </c>
      <c r="C64" s="5">
        <v>18</v>
      </c>
      <c r="D64" s="5">
        <v>21</v>
      </c>
      <c r="E64" s="5">
        <v>89</v>
      </c>
      <c r="F64" s="5">
        <v>5</v>
      </c>
    </row>
    <row r="65" spans="1:6" x14ac:dyDescent="0.3">
      <c r="A65" s="2"/>
      <c r="B65" s="3">
        <v>57</v>
      </c>
      <c r="C65" s="5">
        <v>9</v>
      </c>
      <c r="D65" s="5">
        <v>1</v>
      </c>
      <c r="E65" s="5">
        <v>81</v>
      </c>
      <c r="F65" s="5">
        <v>50</v>
      </c>
    </row>
    <row r="66" spans="1:6" x14ac:dyDescent="0.3">
      <c r="A66" s="2"/>
      <c r="B66" s="3">
        <v>58</v>
      </c>
      <c r="C66" s="5">
        <v>14</v>
      </c>
      <c r="D66" s="5">
        <v>35</v>
      </c>
      <c r="E66" s="5">
        <v>25</v>
      </c>
      <c r="F66" s="5">
        <v>10</v>
      </c>
    </row>
    <row r="67" spans="1:6" x14ac:dyDescent="0.3">
      <c r="A67" s="2"/>
      <c r="B67" s="3">
        <v>59</v>
      </c>
      <c r="C67" s="5">
        <v>0</v>
      </c>
      <c r="D67" s="5">
        <v>28</v>
      </c>
      <c r="E67" s="5">
        <v>86</v>
      </c>
      <c r="F67" s="5">
        <v>17</v>
      </c>
    </row>
    <row r="68" spans="1:6" x14ac:dyDescent="0.3">
      <c r="A68" s="2"/>
      <c r="B68" s="3">
        <v>60</v>
      </c>
      <c r="C68" s="5">
        <v>7</v>
      </c>
      <c r="D68" s="5">
        <v>29</v>
      </c>
      <c r="E68" s="5">
        <v>56</v>
      </c>
      <c r="F68" s="5">
        <v>53</v>
      </c>
    </row>
    <row r="69" spans="1:6" x14ac:dyDescent="0.3">
      <c r="A69" s="2"/>
      <c r="B69" s="3">
        <v>61</v>
      </c>
      <c r="C69" s="5">
        <v>27</v>
      </c>
      <c r="D69" s="5">
        <v>6</v>
      </c>
      <c r="E69" s="5">
        <v>93</v>
      </c>
      <c r="F69" s="5">
        <v>168</v>
      </c>
    </row>
    <row r="70" spans="1:6" x14ac:dyDescent="0.3">
      <c r="A70" s="2"/>
      <c r="B70" s="3">
        <v>62</v>
      </c>
      <c r="C70" s="5">
        <v>2</v>
      </c>
      <c r="D70" s="5">
        <v>15</v>
      </c>
      <c r="E70" s="5">
        <v>31</v>
      </c>
      <c r="F70" s="5">
        <v>21</v>
      </c>
    </row>
    <row r="71" spans="1:6" x14ac:dyDescent="0.3">
      <c r="A71" s="2"/>
      <c r="B71" s="3">
        <v>63</v>
      </c>
      <c r="C71" s="5">
        <v>2</v>
      </c>
      <c r="D71" s="5">
        <v>1</v>
      </c>
      <c r="E71" s="5">
        <v>20</v>
      </c>
      <c r="F71" s="5">
        <v>57</v>
      </c>
    </row>
    <row r="72" spans="1:6" x14ac:dyDescent="0.3">
      <c r="A72" s="2"/>
      <c r="B72" s="3">
        <v>64</v>
      </c>
      <c r="C72" s="5">
        <v>8</v>
      </c>
      <c r="D72" s="5">
        <v>20</v>
      </c>
      <c r="E72" s="5">
        <v>154</v>
      </c>
      <c r="F72" s="5">
        <v>67</v>
      </c>
    </row>
    <row r="73" spans="1:6" x14ac:dyDescent="0.3">
      <c r="A73" s="2"/>
      <c r="B73" s="3">
        <v>65</v>
      </c>
      <c r="C73" s="5">
        <v>10</v>
      </c>
      <c r="D73" s="5">
        <v>27</v>
      </c>
      <c r="E73" s="5">
        <v>39</v>
      </c>
      <c r="F73" s="5">
        <v>8</v>
      </c>
    </row>
    <row r="74" spans="1:6" x14ac:dyDescent="0.3">
      <c r="A74" s="2"/>
      <c r="B74" s="3">
        <v>66</v>
      </c>
      <c r="C74" s="5">
        <v>8</v>
      </c>
      <c r="D74" s="5">
        <v>6</v>
      </c>
      <c r="E74" s="5">
        <v>29</v>
      </c>
      <c r="F74" s="5">
        <v>3</v>
      </c>
    </row>
    <row r="75" spans="1:6" x14ac:dyDescent="0.3">
      <c r="A75" s="2"/>
      <c r="B75" s="3">
        <v>67</v>
      </c>
      <c r="C75" s="5">
        <v>21</v>
      </c>
      <c r="D75" s="5">
        <v>49</v>
      </c>
      <c r="E75" s="5">
        <v>89</v>
      </c>
      <c r="F75" s="5">
        <v>81</v>
      </c>
    </row>
    <row r="76" spans="1:6" x14ac:dyDescent="0.3">
      <c r="A76" s="2"/>
      <c r="B76" s="3">
        <v>68</v>
      </c>
      <c r="C76" s="5">
        <v>8</v>
      </c>
      <c r="D76" s="5">
        <v>47</v>
      </c>
      <c r="E76" s="5">
        <v>30</v>
      </c>
      <c r="F76" s="5">
        <v>56</v>
      </c>
    </row>
    <row r="77" spans="1:6" x14ac:dyDescent="0.3">
      <c r="A77" s="2"/>
      <c r="B77" s="3">
        <v>69</v>
      </c>
      <c r="C77" s="5">
        <v>8</v>
      </c>
      <c r="D77" s="5">
        <v>4</v>
      </c>
      <c r="E77" s="5">
        <v>60</v>
      </c>
      <c r="F77" s="5">
        <v>16</v>
      </c>
    </row>
    <row r="78" spans="1:6" x14ac:dyDescent="0.3">
      <c r="A78" s="2"/>
      <c r="B78" s="3">
        <v>70</v>
      </c>
      <c r="C78" s="5">
        <v>0</v>
      </c>
      <c r="D78" s="5">
        <v>3</v>
      </c>
      <c r="E78" s="5">
        <v>7</v>
      </c>
      <c r="F78" s="5">
        <v>7</v>
      </c>
    </row>
    <row r="79" spans="1:6" x14ac:dyDescent="0.3">
      <c r="A79" s="2"/>
      <c r="B79" s="3">
        <v>71</v>
      </c>
      <c r="C79" s="5">
        <v>8</v>
      </c>
      <c r="D79" s="5">
        <v>10</v>
      </c>
      <c r="E79" s="5">
        <v>31</v>
      </c>
      <c r="F79" s="5">
        <v>38</v>
      </c>
    </row>
    <row r="80" spans="1:6" x14ac:dyDescent="0.3">
      <c r="A80" s="2"/>
      <c r="B80" s="3">
        <v>72</v>
      </c>
      <c r="C80" s="5">
        <v>2</v>
      </c>
      <c r="D80" s="5">
        <v>24</v>
      </c>
      <c r="E80" s="5">
        <v>31</v>
      </c>
      <c r="F80" s="5">
        <v>54</v>
      </c>
    </row>
    <row r="81" spans="1:6" x14ac:dyDescent="0.3">
      <c r="A81" s="2"/>
      <c r="B81" s="3">
        <v>73</v>
      </c>
      <c r="C81" s="5">
        <v>8</v>
      </c>
      <c r="D81" s="5">
        <v>14</v>
      </c>
      <c r="E81" s="5">
        <v>108</v>
      </c>
      <c r="F81" s="5">
        <v>47</v>
      </c>
    </row>
    <row r="82" spans="1:6" x14ac:dyDescent="0.3">
      <c r="A82" s="2"/>
      <c r="B82" s="3">
        <v>74</v>
      </c>
      <c r="C82" s="5">
        <v>8</v>
      </c>
      <c r="D82" s="5">
        <v>29</v>
      </c>
      <c r="E82" s="5">
        <v>51</v>
      </c>
      <c r="F82" s="5">
        <v>60</v>
      </c>
    </row>
    <row r="83" spans="1:6" x14ac:dyDescent="0.3">
      <c r="A83" s="2"/>
      <c r="B83" s="3">
        <v>75</v>
      </c>
      <c r="C83" s="5">
        <v>6</v>
      </c>
      <c r="D83" s="5">
        <v>9</v>
      </c>
      <c r="E83" s="5">
        <v>5</v>
      </c>
      <c r="F83" s="5">
        <v>25</v>
      </c>
    </row>
    <row r="84" spans="1:6" x14ac:dyDescent="0.3">
      <c r="A84" s="2"/>
      <c r="B84" s="3">
        <v>76</v>
      </c>
      <c r="C84" s="5">
        <v>5</v>
      </c>
      <c r="D84" s="5">
        <v>17</v>
      </c>
      <c r="E84" s="5">
        <v>103</v>
      </c>
      <c r="F84" s="5">
        <v>65</v>
      </c>
    </row>
    <row r="85" spans="1:6" x14ac:dyDescent="0.3">
      <c r="A85" s="2"/>
      <c r="B85" s="3">
        <v>77</v>
      </c>
      <c r="C85" s="5">
        <v>17</v>
      </c>
      <c r="D85" s="5">
        <v>41</v>
      </c>
      <c r="E85" s="5">
        <v>26</v>
      </c>
      <c r="F85" s="5">
        <v>59</v>
      </c>
    </row>
    <row r="86" spans="1:6" x14ac:dyDescent="0.3">
      <c r="A86" s="2"/>
      <c r="B86" s="3">
        <v>78</v>
      </c>
      <c r="C86" s="5">
        <v>9</v>
      </c>
      <c r="D86" s="5">
        <v>20</v>
      </c>
      <c r="E86" s="5">
        <v>81</v>
      </c>
      <c r="F86" s="5">
        <v>3</v>
      </c>
    </row>
    <row r="87" spans="1:6" x14ac:dyDescent="0.3">
      <c r="A87" s="2"/>
      <c r="B87" s="3">
        <v>79</v>
      </c>
      <c r="C87" s="5">
        <v>2</v>
      </c>
      <c r="D87" s="5">
        <v>6</v>
      </c>
      <c r="E87" s="5">
        <v>36</v>
      </c>
      <c r="F87" s="5">
        <v>8</v>
      </c>
    </row>
    <row r="88" spans="1:6" x14ac:dyDescent="0.3">
      <c r="A88" s="2"/>
      <c r="B88" s="3">
        <v>80</v>
      </c>
      <c r="C88" s="5">
        <v>2</v>
      </c>
      <c r="D88" s="5">
        <v>5</v>
      </c>
      <c r="E88" s="5">
        <v>0</v>
      </c>
      <c r="F88" s="5">
        <v>4</v>
      </c>
    </row>
    <row r="89" spans="1:6" x14ac:dyDescent="0.3">
      <c r="A89" s="2"/>
      <c r="B89" s="3">
        <v>81</v>
      </c>
      <c r="C89" s="5">
        <v>22</v>
      </c>
      <c r="D89" s="5">
        <v>57</v>
      </c>
      <c r="E89" s="5">
        <v>133</v>
      </c>
      <c r="F89" s="5">
        <v>0</v>
      </c>
    </row>
    <row r="90" spans="1:6" x14ac:dyDescent="0.3">
      <c r="A90" s="2"/>
      <c r="B90" s="3">
        <v>82</v>
      </c>
      <c r="C90" s="5">
        <v>2</v>
      </c>
      <c r="D90" s="5">
        <v>14</v>
      </c>
      <c r="E90" s="5">
        <v>47</v>
      </c>
      <c r="F90" s="5">
        <v>14</v>
      </c>
    </row>
    <row r="91" spans="1:6" x14ac:dyDescent="0.3">
      <c r="A91" s="2"/>
      <c r="B91" s="3">
        <v>83</v>
      </c>
      <c r="C91" s="5">
        <v>21</v>
      </c>
      <c r="D91" s="5">
        <v>10</v>
      </c>
      <c r="E91" s="5">
        <v>23</v>
      </c>
      <c r="F91" s="5">
        <v>114</v>
      </c>
    </row>
    <row r="92" spans="1:6" x14ac:dyDescent="0.3">
      <c r="A92" s="2"/>
      <c r="B92" s="3">
        <v>84</v>
      </c>
      <c r="C92" s="5">
        <v>12</v>
      </c>
      <c r="D92" s="5">
        <v>28</v>
      </c>
      <c r="E92" s="5">
        <v>45</v>
      </c>
      <c r="F92" s="5">
        <v>101</v>
      </c>
    </row>
    <row r="93" spans="1:6" x14ac:dyDescent="0.3">
      <c r="A93" s="2"/>
      <c r="B93" s="3">
        <v>85</v>
      </c>
      <c r="C93" s="5">
        <v>21</v>
      </c>
      <c r="D93" s="5">
        <v>50</v>
      </c>
      <c r="E93" s="5">
        <v>28</v>
      </c>
      <c r="F93" s="5">
        <v>33</v>
      </c>
    </row>
    <row r="94" spans="1:6" x14ac:dyDescent="0.3">
      <c r="A94" s="2"/>
      <c r="B94" s="3">
        <v>86</v>
      </c>
      <c r="C94" s="5">
        <v>7</v>
      </c>
      <c r="D94" s="5">
        <v>40</v>
      </c>
      <c r="E94" s="5">
        <v>117</v>
      </c>
      <c r="F94" s="5">
        <v>35</v>
      </c>
    </row>
    <row r="95" spans="1:6" x14ac:dyDescent="0.3">
      <c r="A95" s="2"/>
      <c r="B95" s="3">
        <v>87</v>
      </c>
      <c r="C95" s="5">
        <v>11</v>
      </c>
      <c r="D95" s="5">
        <v>13</v>
      </c>
      <c r="E95" s="5">
        <v>12</v>
      </c>
      <c r="F95" s="5">
        <v>64</v>
      </c>
    </row>
    <row r="96" spans="1:6" x14ac:dyDescent="0.3">
      <c r="A96" s="2"/>
      <c r="B96" s="3">
        <v>88</v>
      </c>
      <c r="C96" s="5">
        <v>1</v>
      </c>
      <c r="D96" s="5">
        <v>4</v>
      </c>
      <c r="E96" s="5">
        <v>23</v>
      </c>
      <c r="F96" s="5">
        <v>13</v>
      </c>
    </row>
    <row r="97" spans="1:6" x14ac:dyDescent="0.3">
      <c r="A97" s="2"/>
      <c r="B97" s="3">
        <v>89</v>
      </c>
      <c r="C97" s="5">
        <v>1</v>
      </c>
      <c r="D97" s="5">
        <v>12</v>
      </c>
      <c r="E97" s="5">
        <v>23</v>
      </c>
      <c r="F97" s="5">
        <v>24</v>
      </c>
    </row>
    <row r="98" spans="1:6" x14ac:dyDescent="0.3">
      <c r="A98" s="2"/>
      <c r="B98" s="3">
        <v>90</v>
      </c>
      <c r="C98" s="5">
        <v>16</v>
      </c>
      <c r="D98" s="5">
        <v>42</v>
      </c>
      <c r="E98" s="5">
        <v>195</v>
      </c>
      <c r="F98" s="5">
        <v>10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Depletion Report</vt:lpstr>
      <vt:lpstr>Inventory Report</vt:lpstr>
      <vt:lpstr>CSA Report</vt:lpstr>
      <vt:lpstr>CSE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Anup Sreekumar</cp:lastModifiedBy>
  <cp:lastPrinted>2015-02-19T13:30:28Z</cp:lastPrinted>
  <dcterms:created xsi:type="dcterms:W3CDTF">2015-02-16T02:16:35Z</dcterms:created>
  <dcterms:modified xsi:type="dcterms:W3CDTF">2023-02-27T17:04:52Z</dcterms:modified>
</cp:coreProperties>
</file>