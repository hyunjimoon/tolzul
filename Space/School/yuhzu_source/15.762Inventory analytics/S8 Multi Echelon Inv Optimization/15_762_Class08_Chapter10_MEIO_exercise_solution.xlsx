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e75999e4bb43dd/MIT SDM Course/Spring 2023/Inventory analytics/S8 Multi Echelon Inv Optimization/"/>
    </mc:Choice>
  </mc:AlternateContent>
  <xr:revisionPtr revIDLastSave="57" documentId="13_ncr:1_{E5FFDC45-E860-A445-9336-B646E30FACC3}" xr6:coauthVersionLast="47" xr6:coauthVersionMax="47" xr10:uidLastSave="{12C1797A-6BC7-4A78-9AA0-0D6EE3237D45}"/>
  <bookViews>
    <workbookView xWindow="-28920" yWindow="-120" windowWidth="29040" windowHeight="15720" xr2:uid="{ED7DF8FB-BBA5-2849-8E2A-50A32F904D61}"/>
  </bookViews>
  <sheets>
    <sheet name="P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3" l="1"/>
  <c r="H8" i="3"/>
  <c r="I7" i="3"/>
  <c r="H7" i="3"/>
  <c r="I6" i="3"/>
  <c r="J6" i="3" s="1"/>
  <c r="H6" i="3"/>
  <c r="D3" i="3"/>
  <c r="D2" i="3"/>
  <c r="I9" i="3"/>
  <c r="F14" i="3"/>
  <c r="F8" i="3"/>
  <c r="F22" i="3"/>
  <c r="F21" i="3"/>
  <c r="F20" i="3"/>
  <c r="F16" i="3"/>
  <c r="D16" i="3"/>
  <c r="D22" i="3" s="1"/>
  <c r="B16" i="3"/>
  <c r="B22" i="3" s="1"/>
  <c r="F15" i="3"/>
  <c r="D15" i="3"/>
  <c r="D21" i="3" s="1"/>
  <c r="B15" i="3"/>
  <c r="B21" i="3" s="1"/>
  <c r="D14" i="3"/>
  <c r="D20" i="3" s="1"/>
  <c r="B14" i="3"/>
  <c r="B20" i="3" s="1"/>
  <c r="D13" i="3"/>
  <c r="E13" i="3" s="1"/>
  <c r="B13" i="3"/>
  <c r="H13" i="3" s="1"/>
  <c r="D12" i="3"/>
  <c r="D18" i="3" s="1"/>
  <c r="E18" i="3" s="1"/>
  <c r="B12" i="3"/>
  <c r="B18" i="3" s="1"/>
  <c r="H18" i="3" s="1"/>
  <c r="F10" i="3"/>
  <c r="H10" i="3" s="1"/>
  <c r="I10" i="3" s="1"/>
  <c r="F9" i="3"/>
  <c r="H9" i="3" s="1"/>
  <c r="E7" i="3"/>
  <c r="E6" i="3"/>
  <c r="E8" i="3" s="1"/>
  <c r="E10" i="3" s="1"/>
  <c r="I12" i="3" l="1"/>
  <c r="I13" i="3"/>
  <c r="J13" i="3" s="1"/>
  <c r="I14" i="3"/>
  <c r="J14" i="3" s="1"/>
  <c r="I18" i="3"/>
  <c r="J18" i="3" s="1"/>
  <c r="I19" i="3"/>
  <c r="I20" i="3"/>
  <c r="H14" i="3"/>
  <c r="H15" i="3"/>
  <c r="I15" i="3" s="1"/>
  <c r="H16" i="3"/>
  <c r="I16" i="3" s="1"/>
  <c r="E12" i="3"/>
  <c r="E14" i="3" s="1"/>
  <c r="E9" i="3"/>
  <c r="E16" i="3"/>
  <c r="E15" i="3"/>
  <c r="J8" i="3"/>
  <c r="J7" i="3"/>
  <c r="H21" i="3"/>
  <c r="I21" i="3" s="1"/>
  <c r="H20" i="3"/>
  <c r="H22" i="3"/>
  <c r="I22" i="3" s="1"/>
  <c r="D19" i="3"/>
  <c r="E19" i="3" s="1"/>
  <c r="E20" i="3" s="1"/>
  <c r="B19" i="3"/>
  <c r="H19" i="3" s="1"/>
  <c r="H12" i="3"/>
  <c r="E22" i="3" l="1"/>
  <c r="E21" i="3"/>
  <c r="J20" i="3"/>
  <c r="J15" i="3"/>
  <c r="J16" i="3"/>
  <c r="J12" i="3"/>
  <c r="J10" i="3"/>
  <c r="J9" i="3"/>
  <c r="J19" i="3"/>
  <c r="J22" i="3"/>
  <c r="K10" i="3"/>
  <c r="K9" i="3" s="1"/>
  <c r="J21" i="3"/>
  <c r="K16" i="3" l="1"/>
  <c r="K15" i="3" s="1"/>
  <c r="K22" i="3"/>
</calcChain>
</file>

<file path=xl/sharedStrings.xml><?xml version="1.0" encoding="utf-8"?>
<sst xmlns="http://schemas.openxmlformats.org/spreadsheetml/2006/main" count="27" uniqueCount="27">
  <si>
    <t>Stage</t>
  </si>
  <si>
    <t>Stage time</t>
  </si>
  <si>
    <t>Review period</t>
  </si>
  <si>
    <t>Cost added</t>
  </si>
  <si>
    <t>cumulative cost</t>
  </si>
  <si>
    <t>Incoming service time</t>
  </si>
  <si>
    <t>Outgoing service time</t>
  </si>
  <si>
    <t>Net replen time</t>
  </si>
  <si>
    <t>Mean</t>
  </si>
  <si>
    <t>Sigma</t>
  </si>
  <si>
    <t>hc rate</t>
  </si>
  <si>
    <t>z-score</t>
  </si>
  <si>
    <t>E[SS] (units)</t>
  </si>
  <si>
    <t>E[SS] cost (dollars)</t>
  </si>
  <si>
    <t>Stage 5</t>
  </si>
  <si>
    <t>Stage 4</t>
  </si>
  <si>
    <t>All stages hold safety stock</t>
  </si>
  <si>
    <t>outgoing service time decision variable</t>
  </si>
  <si>
    <t>Stages 1,2,3</t>
  </si>
  <si>
    <t>(0,0,0,0,0)</t>
  </si>
  <si>
    <t>(10,10,0,0,0)</t>
  </si>
  <si>
    <t>(10,100,0,0,0)</t>
  </si>
  <si>
    <t>(0,0,15,0,0)</t>
  </si>
  <si>
    <t>(10,10,25,0,0)</t>
  </si>
  <si>
    <t>(10,100,115,0,0)</t>
  </si>
  <si>
    <t>Expected
Safety
Stock Cost</t>
  </si>
  <si>
    <r>
      <t>Outgoing
Service Times
(S</t>
    </r>
    <r>
      <rPr>
        <sz val="8"/>
        <color theme="0"/>
        <rFont val="Calibri (Body)"/>
      </rPr>
      <t>1</t>
    </r>
    <r>
      <rPr>
        <sz val="12"/>
        <color theme="0"/>
        <rFont val="Calibri"/>
        <family val="2"/>
        <scheme val="minor"/>
      </rPr>
      <t>,S</t>
    </r>
    <r>
      <rPr>
        <sz val="8"/>
        <color theme="0"/>
        <rFont val="Calibri (Body)"/>
      </rPr>
      <t>2</t>
    </r>
    <r>
      <rPr>
        <sz val="12"/>
        <color theme="0"/>
        <rFont val="Calibri"/>
        <family val="2"/>
        <scheme val="minor"/>
      </rPr>
      <t>,S</t>
    </r>
    <r>
      <rPr>
        <sz val="8"/>
        <color theme="0"/>
        <rFont val="Calibri (Body)"/>
      </rPr>
      <t>3</t>
    </r>
    <r>
      <rPr>
        <sz val="12"/>
        <color theme="0"/>
        <rFont val="Calibri"/>
        <family val="2"/>
        <scheme val="minor"/>
      </rPr>
      <t>,S</t>
    </r>
    <r>
      <rPr>
        <sz val="8"/>
        <color theme="0"/>
        <rFont val="Calibri (Body)"/>
      </rPr>
      <t>4</t>
    </r>
    <r>
      <rPr>
        <sz val="12"/>
        <color theme="0"/>
        <rFont val="Calibri"/>
        <family val="2"/>
        <scheme val="minor"/>
      </rPr>
      <t>,S</t>
    </r>
    <r>
      <rPr>
        <sz val="8"/>
        <color theme="0"/>
        <rFont val="Calibri (Body)"/>
      </rPr>
      <t>5</t>
    </r>
    <r>
      <rPr>
        <sz val="12"/>
        <color theme="0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</si>
</sst>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&quot;$&quot;#,##0"/>
    <numFmt numFmtId="166" formatCode="0.0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color theme="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165" fontId="0" fillId="0" borderId="0" xfId="0" applyNumberFormat="1"/>
    <xf numFmtId="9" fontId="0" fillId="0" borderId="0" xfId="2" applyFont="1"/>
    <xf numFmtId="0" fontId="0" fillId="2" borderId="1" xfId="0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/>
    <xf numFmtId="165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ECEB-E8C4-EE41-BE7A-5C1699DB9EB9}">
  <dimension ref="A1:N22"/>
  <sheetViews>
    <sheetView showGridLines="0" tabSelected="1" zoomScale="130" zoomScaleNormal="130" workbookViewId="0">
      <selection activeCell="J18" sqref="J18:J22"/>
    </sheetView>
  </sheetViews>
  <sheetFormatPr defaultColWidth="11.19921875" defaultRowHeight="15.6"/>
  <cols>
    <col min="1" max="1" width="7.5" customWidth="1"/>
    <col min="2" max="11" width="8.19921875" customWidth="1"/>
    <col min="13" max="13" width="14.5" bestFit="1" customWidth="1"/>
    <col min="14" max="14" width="9.5" bestFit="1" customWidth="1"/>
  </cols>
  <sheetData>
    <row r="1" spans="1:14">
      <c r="B1" t="s">
        <v>15</v>
      </c>
      <c r="C1" t="s">
        <v>14</v>
      </c>
      <c r="D1" t="s">
        <v>18</v>
      </c>
      <c r="J1" s="8" t="s">
        <v>17</v>
      </c>
      <c r="K1" s="11"/>
    </row>
    <row r="2" spans="1:14">
      <c r="A2" s="8" t="s">
        <v>8</v>
      </c>
      <c r="B2" s="4">
        <v>85</v>
      </c>
      <c r="C2" s="4">
        <v>64</v>
      </c>
      <c r="D2" s="4">
        <f>B2+C2</f>
        <v>149</v>
      </c>
      <c r="E2" s="8" t="s">
        <v>11</v>
      </c>
      <c r="F2" s="4">
        <v>2</v>
      </c>
    </row>
    <row r="3" spans="1:14">
      <c r="A3" s="8" t="s">
        <v>9</v>
      </c>
      <c r="B3" s="4">
        <v>35</v>
      </c>
      <c r="C3" s="4">
        <v>15</v>
      </c>
      <c r="D3" s="12">
        <f>SQRT(SUMPRODUCT(B3:C3,B3:C3))</f>
        <v>38.078865529319543</v>
      </c>
      <c r="E3" s="8" t="s">
        <v>10</v>
      </c>
      <c r="F3" s="7">
        <v>0.25</v>
      </c>
      <c r="J3" s="8" t="s">
        <v>16</v>
      </c>
      <c r="K3" s="9">
        <v>3442.1986779259787</v>
      </c>
    </row>
    <row r="5" spans="1:14" ht="52.05" customHeight="1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12</v>
      </c>
      <c r="J5" s="3" t="s">
        <v>13</v>
      </c>
      <c r="K5" s="1"/>
      <c r="M5" s="14" t="s">
        <v>26</v>
      </c>
      <c r="N5" s="14" t="s">
        <v>25</v>
      </c>
    </row>
    <row r="6" spans="1:14">
      <c r="A6" s="2">
        <v>1</v>
      </c>
      <c r="B6" s="4">
        <v>9</v>
      </c>
      <c r="C6" s="4">
        <v>1</v>
      </c>
      <c r="D6" s="4">
        <v>5</v>
      </c>
      <c r="E6" s="4">
        <f>D6</f>
        <v>5</v>
      </c>
      <c r="F6" s="4">
        <v>0</v>
      </c>
      <c r="G6" s="11">
        <v>0</v>
      </c>
      <c r="H6" s="4">
        <f>F6+B6+C6-G6</f>
        <v>10</v>
      </c>
      <c r="I6" s="5">
        <f>$F$2*$D$3*SQRT(H6)</f>
        <v>240.83189157584593</v>
      </c>
      <c r="J6" s="6">
        <f>$F$3*E6*I6</f>
        <v>301.03986446980741</v>
      </c>
      <c r="M6" s="15" t="s">
        <v>19</v>
      </c>
      <c r="N6" s="16">
        <v>3442.1986779259787</v>
      </c>
    </row>
    <row r="7" spans="1:14">
      <c r="A7" s="2">
        <v>2</v>
      </c>
      <c r="B7" s="4">
        <v>99</v>
      </c>
      <c r="C7" s="4">
        <v>1</v>
      </c>
      <c r="D7" s="4">
        <v>6</v>
      </c>
      <c r="E7" s="4">
        <f>D7</f>
        <v>6</v>
      </c>
      <c r="F7" s="4">
        <v>0</v>
      </c>
      <c r="G7" s="11">
        <v>0</v>
      </c>
      <c r="H7" s="4">
        <f>F7+B7+C7-G7</f>
        <v>100</v>
      </c>
      <c r="I7" s="5">
        <f>$F$2*$D$3*SQRT(H7)</f>
        <v>761.57731058639092</v>
      </c>
      <c r="J7" s="6">
        <f>$F$3*E7*I7</f>
        <v>1142.3659658795864</v>
      </c>
      <c r="M7" s="17" t="s">
        <v>22</v>
      </c>
      <c r="N7" s="16">
        <v>3217.3415185367835</v>
      </c>
    </row>
    <row r="8" spans="1:14">
      <c r="A8" s="2">
        <v>3</v>
      </c>
      <c r="B8" s="4">
        <v>14</v>
      </c>
      <c r="C8" s="4">
        <v>1</v>
      </c>
      <c r="D8" s="4">
        <v>3</v>
      </c>
      <c r="E8" s="4">
        <f>E6+E7+D8</f>
        <v>14</v>
      </c>
      <c r="F8" s="4">
        <f>MAX(G6:G7)</f>
        <v>0</v>
      </c>
      <c r="G8" s="11">
        <v>15</v>
      </c>
      <c r="H8" s="4">
        <f>F8+B8+C8-G8</f>
        <v>0</v>
      </c>
      <c r="I8" s="5">
        <f>$F$2*$D$3*SQRT(H8)</f>
        <v>0</v>
      </c>
      <c r="J8" s="6">
        <f>$F$3*E8*I8</f>
        <v>0</v>
      </c>
      <c r="M8" s="17" t="s">
        <v>20</v>
      </c>
      <c r="N8" s="16">
        <v>3382.9449689313915</v>
      </c>
    </row>
    <row r="9" spans="1:14">
      <c r="A9" s="2">
        <v>4</v>
      </c>
      <c r="B9" s="4">
        <v>4</v>
      </c>
      <c r="C9" s="4">
        <v>1</v>
      </c>
      <c r="D9" s="4">
        <v>1</v>
      </c>
      <c r="E9" s="4">
        <f>D9+E8</f>
        <v>15</v>
      </c>
      <c r="F9" s="4">
        <f>G8</f>
        <v>15</v>
      </c>
      <c r="G9" s="4">
        <v>0</v>
      </c>
      <c r="H9" s="4">
        <f>F9+B9+C9-G9</f>
        <v>20</v>
      </c>
      <c r="I9" s="5">
        <f>$F$2*$B$3*SQRT(H9)</f>
        <v>313.04951684997059</v>
      </c>
      <c r="J9" s="6">
        <f>$F$3*E9*I9</f>
        <v>1173.9356881873896</v>
      </c>
      <c r="K9" s="10">
        <f>(K10-$K$3)/$K$3</f>
        <v>-6.5323701630342249E-2</v>
      </c>
      <c r="M9" s="18" t="s">
        <v>23</v>
      </c>
      <c r="N9" s="16">
        <v>3231.4447995143219</v>
      </c>
    </row>
    <row r="10" spans="1:14">
      <c r="A10" s="2">
        <v>5</v>
      </c>
      <c r="B10" s="4">
        <v>9</v>
      </c>
      <c r="C10" s="4">
        <v>1</v>
      </c>
      <c r="D10" s="4">
        <v>2</v>
      </c>
      <c r="E10" s="4">
        <f>D10+E8</f>
        <v>16</v>
      </c>
      <c r="F10" s="4">
        <f>G8</f>
        <v>15</v>
      </c>
      <c r="G10" s="4">
        <v>0</v>
      </c>
      <c r="H10" s="4">
        <f>F10+B10+C10-G10</f>
        <v>25</v>
      </c>
      <c r="I10" s="5">
        <f>$F$2*$C$3*SQRT(H10)</f>
        <v>150</v>
      </c>
      <c r="J10" s="6">
        <f>$F$3*E10*I10</f>
        <v>600</v>
      </c>
      <c r="K10" s="9">
        <f>SUM(J6:J10)</f>
        <v>3217.3415185367835</v>
      </c>
      <c r="M10" s="17" t="s">
        <v>21</v>
      </c>
      <c r="N10" s="16">
        <v>3824.893541787259</v>
      </c>
    </row>
    <row r="11" spans="1:14">
      <c r="M11" s="17" t="s">
        <v>24</v>
      </c>
      <c r="N11" s="16">
        <v>4217.1842134019962</v>
      </c>
    </row>
    <row r="12" spans="1:14">
      <c r="A12" s="2">
        <v>1</v>
      </c>
      <c r="B12" s="4">
        <f>B6</f>
        <v>9</v>
      </c>
      <c r="C12" s="4">
        <v>1</v>
      </c>
      <c r="D12" s="4">
        <f>D6</f>
        <v>5</v>
      </c>
      <c r="E12" s="4">
        <f>D12</f>
        <v>5</v>
      </c>
      <c r="F12" s="4">
        <v>0</v>
      </c>
      <c r="G12" s="11">
        <v>10</v>
      </c>
      <c r="H12" s="4">
        <f>F12+B12+C12-G12</f>
        <v>0</v>
      </c>
      <c r="I12" s="5">
        <f>$F$2*$D$3*SQRT(H12)</f>
        <v>0</v>
      </c>
      <c r="J12" s="6">
        <f>$F$3*E12*I12</f>
        <v>0</v>
      </c>
    </row>
    <row r="13" spans="1:14">
      <c r="A13" s="2">
        <v>2</v>
      </c>
      <c r="B13" s="4">
        <f>B7</f>
        <v>99</v>
      </c>
      <c r="C13" s="4">
        <v>1</v>
      </c>
      <c r="D13" s="4">
        <f>D7</f>
        <v>6</v>
      </c>
      <c r="E13" s="4">
        <f>D13</f>
        <v>6</v>
      </c>
      <c r="F13" s="4">
        <v>0</v>
      </c>
      <c r="G13" s="11">
        <v>10</v>
      </c>
      <c r="H13" s="4">
        <f>F13+B13+C13-G13</f>
        <v>90</v>
      </c>
      <c r="I13" s="5">
        <f>$F$2*$D$3*SQRT(H13)</f>
        <v>722.49567472753779</v>
      </c>
      <c r="J13" s="6">
        <f>$F$3*E13*I13</f>
        <v>1083.7435120913067</v>
      </c>
    </row>
    <row r="14" spans="1:14">
      <c r="A14" s="2">
        <v>3</v>
      </c>
      <c r="B14" s="4">
        <f>B8</f>
        <v>14</v>
      </c>
      <c r="C14" s="4">
        <v>1</v>
      </c>
      <c r="D14" s="4">
        <f>D8</f>
        <v>3</v>
      </c>
      <c r="E14" s="4">
        <f>E12+E13+D14</f>
        <v>14</v>
      </c>
      <c r="F14" s="4">
        <f>MAX(G12:G13)</f>
        <v>10</v>
      </c>
      <c r="G14" s="11">
        <v>25</v>
      </c>
      <c r="H14" s="4">
        <f>F14+B14+C14-G14</f>
        <v>0</v>
      </c>
      <c r="I14" s="5">
        <f>$F$2*$D$3*SQRT(H14)</f>
        <v>0</v>
      </c>
      <c r="J14" s="6">
        <f>$F$3*E14*I14</f>
        <v>0</v>
      </c>
    </row>
    <row r="15" spans="1:14">
      <c r="A15" s="2">
        <v>4</v>
      </c>
      <c r="B15" s="4">
        <f>B9</f>
        <v>4</v>
      </c>
      <c r="C15" s="4">
        <v>1</v>
      </c>
      <c r="D15" s="4">
        <f>D9</f>
        <v>1</v>
      </c>
      <c r="E15" s="4">
        <f>D15+E14</f>
        <v>15</v>
      </c>
      <c r="F15" s="4">
        <f>G14</f>
        <v>25</v>
      </c>
      <c r="G15" s="4">
        <v>0</v>
      </c>
      <c r="H15" s="4">
        <f>F15+B15+C15-G15</f>
        <v>30</v>
      </c>
      <c r="I15" s="5">
        <f>$F$2*$B$3*SQRT(H15)</f>
        <v>383.40579025361626</v>
      </c>
      <c r="J15" s="6">
        <f>$F$3*E15*I15</f>
        <v>1437.771713451061</v>
      </c>
      <c r="K15" s="10">
        <f>(K16-$K$3)/$K$3</f>
        <v>-6.1226529358451201E-2</v>
      </c>
      <c r="M15" s="13"/>
    </row>
    <row r="16" spans="1:14">
      <c r="A16" s="2">
        <v>5</v>
      </c>
      <c r="B16" s="4">
        <f>B10</f>
        <v>9</v>
      </c>
      <c r="C16" s="4">
        <v>1</v>
      </c>
      <c r="D16" s="4">
        <f>D10</f>
        <v>2</v>
      </c>
      <c r="E16" s="4">
        <f>D16+E14</f>
        <v>16</v>
      </c>
      <c r="F16" s="4">
        <f>G14</f>
        <v>25</v>
      </c>
      <c r="G16" s="4">
        <v>0</v>
      </c>
      <c r="H16" s="4">
        <f>F16+B16+C16-G16</f>
        <v>35</v>
      </c>
      <c r="I16" s="5">
        <f>$F$2*$C$3*SQRT(H16)</f>
        <v>177.48239349298848</v>
      </c>
      <c r="J16" s="6">
        <f>$F$3*E16*I16</f>
        <v>709.92957397195391</v>
      </c>
      <c r="K16" s="9">
        <f>SUM(J12:J16)</f>
        <v>3231.4447995143219</v>
      </c>
    </row>
    <row r="18" spans="1:11">
      <c r="A18" s="2">
        <v>1</v>
      </c>
      <c r="B18" s="4">
        <f>B12</f>
        <v>9</v>
      </c>
      <c r="C18" s="4">
        <v>1</v>
      </c>
      <c r="D18" s="4">
        <f>D12</f>
        <v>5</v>
      </c>
      <c r="E18" s="4">
        <f>D18</f>
        <v>5</v>
      </c>
      <c r="F18" s="4">
        <v>0</v>
      </c>
      <c r="G18" s="11">
        <v>0</v>
      </c>
      <c r="H18" s="4">
        <f>F18+B18+C18-G18</f>
        <v>10</v>
      </c>
      <c r="I18" s="5">
        <f>$F$2*$D$3*SQRT(H18)</f>
        <v>240.83189157584593</v>
      </c>
      <c r="J18" s="6">
        <f>$F$3*E18*I18</f>
        <v>301.03986446980741</v>
      </c>
    </row>
    <row r="19" spans="1:11">
      <c r="A19" s="2">
        <v>2</v>
      </c>
      <c r="B19" s="4">
        <f>B13</f>
        <v>99</v>
      </c>
      <c r="C19" s="4">
        <v>1</v>
      </c>
      <c r="D19" s="4">
        <f>D13</f>
        <v>6</v>
      </c>
      <c r="E19" s="4">
        <f>D19</f>
        <v>6</v>
      </c>
      <c r="F19" s="4">
        <v>0</v>
      </c>
      <c r="G19" s="11">
        <v>0</v>
      </c>
      <c r="H19" s="4">
        <f>F19+B19+C19-G19</f>
        <v>100</v>
      </c>
      <c r="I19" s="5">
        <f>$F$2*$D$3*SQRT(H19)</f>
        <v>761.57731058639092</v>
      </c>
      <c r="J19" s="6">
        <f>$F$3*E19*I19</f>
        <v>1142.3659658795864</v>
      </c>
    </row>
    <row r="20" spans="1:11">
      <c r="A20" s="2">
        <v>3</v>
      </c>
      <c r="B20" s="4">
        <f>B14</f>
        <v>14</v>
      </c>
      <c r="C20" s="4">
        <v>1</v>
      </c>
      <c r="D20" s="4">
        <f>D14</f>
        <v>3</v>
      </c>
      <c r="E20" s="4">
        <f>E18+E19+D20</f>
        <v>14</v>
      </c>
      <c r="F20" s="4">
        <f>MAX(G18:G19)</f>
        <v>0</v>
      </c>
      <c r="G20" s="11">
        <v>0</v>
      </c>
      <c r="H20" s="4">
        <f>F20+B20+C20-G20</f>
        <v>15</v>
      </c>
      <c r="I20" s="5">
        <f>$F$2*$D$3*SQRT(H20)</f>
        <v>294.95762407505254</v>
      </c>
      <c r="J20" s="6">
        <f>$F$3*E20*I20</f>
        <v>1032.3516842626839</v>
      </c>
    </row>
    <row r="21" spans="1:11">
      <c r="A21" s="2">
        <v>4</v>
      </c>
      <c r="B21" s="4">
        <f>B15</f>
        <v>4</v>
      </c>
      <c r="C21" s="4">
        <v>1</v>
      </c>
      <c r="D21" s="4">
        <f>D15</f>
        <v>1</v>
      </c>
      <c r="E21" s="4">
        <f>D21+E20</f>
        <v>15</v>
      </c>
      <c r="F21" s="4">
        <f>G20</f>
        <v>0</v>
      </c>
      <c r="G21" s="4">
        <v>0</v>
      </c>
      <c r="H21" s="4">
        <f>F21+B21+C21-G21</f>
        <v>5</v>
      </c>
      <c r="I21" s="5">
        <f>$F$2*$B$3*SQRT(H21)</f>
        <v>156.52475842498529</v>
      </c>
      <c r="J21" s="6">
        <f>$F$3*E21*I21</f>
        <v>586.96784409369479</v>
      </c>
    </row>
    <row r="22" spans="1:11">
      <c r="A22" s="2">
        <v>5</v>
      </c>
      <c r="B22" s="4">
        <f>B16</f>
        <v>9</v>
      </c>
      <c r="C22" s="4">
        <v>1</v>
      </c>
      <c r="D22" s="4">
        <f>D16</f>
        <v>2</v>
      </c>
      <c r="E22" s="4">
        <f>D22+E20</f>
        <v>16</v>
      </c>
      <c r="F22" s="4">
        <f>G20</f>
        <v>0</v>
      </c>
      <c r="G22" s="4">
        <v>0</v>
      </c>
      <c r="H22" s="4">
        <f>F22+B22+C22-G22</f>
        <v>10</v>
      </c>
      <c r="I22" s="5">
        <f>$F$2*$C$3*SQRT(H22)</f>
        <v>94.868329805051388</v>
      </c>
      <c r="J22" s="6">
        <f>$F$3*E22*I22</f>
        <v>379.47331922020555</v>
      </c>
      <c r="K22" s="9">
        <f>SUM(J18:J22)</f>
        <v>3442.1986779259787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Willems, Sean Peter</dc:creator>
  <cp:lastModifiedBy>Anup Sreekumar</cp:lastModifiedBy>
  <dcterms:created xsi:type="dcterms:W3CDTF">2021-03-15T06:30:53Z</dcterms:created>
  <dcterms:modified xsi:type="dcterms:W3CDTF">2023-03-04T20:39:19Z</dcterms:modified>
</cp:coreProperties>
</file>