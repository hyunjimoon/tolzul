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3/Inventory analytics/S12 HP/"/>
    </mc:Choice>
  </mc:AlternateContent>
  <xr:revisionPtr revIDLastSave="19" documentId="13_ncr:1_{6CA49B9E-4FF4-0E4C-818C-91258A405142}" xr6:coauthVersionLast="47" xr6:coauthVersionMax="47" xr10:uidLastSave="{20F062C1-60C3-43E4-A1F2-AE2C99FC91F5}"/>
  <bookViews>
    <workbookView xWindow="-28920" yWindow="-120" windowWidth="29040" windowHeight="15720" tabRatio="789" xr2:uid="{00000000-000D-0000-FFFF-FFFF00000000}"/>
  </bookViews>
  <sheets>
    <sheet name="Senario calculations" sheetId="5" r:id="rId1"/>
    <sheet name="Demand analysis" sheetId="6" r:id="rId2"/>
    <sheet name="TN AirSCMap" sheetId="7" r:id="rId3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0" i="5" l="1"/>
  <c r="N25" i="5"/>
  <c r="E3" i="6"/>
  <c r="C53" i="5"/>
  <c r="C51" i="5"/>
  <c r="N20" i="5"/>
  <c r="M20" i="5"/>
  <c r="L20" i="5"/>
  <c r="K20" i="5"/>
  <c r="J20" i="5"/>
  <c r="Q6" i="5"/>
  <c r="Q7" i="5" l="1"/>
  <c r="J21" i="5" l="1"/>
  <c r="L21" i="5" s="1"/>
  <c r="U21" i="5" s="1"/>
  <c r="D21" i="5"/>
  <c r="E21" i="5"/>
  <c r="F21" i="5"/>
  <c r="M21" i="5"/>
  <c r="V21" i="5" s="1"/>
  <c r="J22" i="5"/>
  <c r="L22" i="5"/>
  <c r="D22" i="5"/>
  <c r="E22" i="5"/>
  <c r="U22" i="5"/>
  <c r="F22" i="5"/>
  <c r="M22" i="5"/>
  <c r="V22" i="5" s="1"/>
  <c r="J23" i="5"/>
  <c r="L23" i="5" s="1"/>
  <c r="U23" i="5" s="1"/>
  <c r="D23" i="5"/>
  <c r="E23" i="5"/>
  <c r="F23" i="5"/>
  <c r="M23" i="5"/>
  <c r="V23" i="5" s="1"/>
  <c r="J24" i="5"/>
  <c r="L24" i="5"/>
  <c r="D24" i="5"/>
  <c r="E24" i="5"/>
  <c r="U24" i="5"/>
  <c r="F24" i="5"/>
  <c r="M24" i="5"/>
  <c r="V24" i="5" s="1"/>
  <c r="J25" i="5"/>
  <c r="L25" i="5" s="1"/>
  <c r="U25" i="5" s="1"/>
  <c r="D20" i="5"/>
  <c r="C25" i="5"/>
  <c r="D25" i="5"/>
  <c r="E25" i="5"/>
  <c r="F25" i="5"/>
  <c r="M25" i="5"/>
  <c r="V25" i="5"/>
  <c r="J26" i="5"/>
  <c r="M26" i="5" s="1"/>
  <c r="L26" i="5"/>
  <c r="U26" i="5" s="1"/>
  <c r="C26" i="5"/>
  <c r="D26" i="5"/>
  <c r="E26" i="5"/>
  <c r="F26" i="5"/>
  <c r="J27" i="5"/>
  <c r="L27" i="5" s="1"/>
  <c r="U27" i="5" s="1"/>
  <c r="C27" i="5"/>
  <c r="D27" i="5"/>
  <c r="E27" i="5"/>
  <c r="F27" i="5"/>
  <c r="M27" i="5"/>
  <c r="V27" i="5"/>
  <c r="J28" i="5"/>
  <c r="L28" i="5" s="1"/>
  <c r="C28" i="5"/>
  <c r="E9" i="5"/>
  <c r="E10" i="5"/>
  <c r="M28" i="5"/>
  <c r="J29" i="5"/>
  <c r="L29" i="5" s="1"/>
  <c r="C29" i="5"/>
  <c r="J30" i="5"/>
  <c r="L30" i="5"/>
  <c r="C30" i="5"/>
  <c r="M30" i="5"/>
  <c r="D31" i="5"/>
  <c r="J31" i="5"/>
  <c r="M31" i="5"/>
  <c r="D32" i="5"/>
  <c r="J32" i="5"/>
  <c r="M32" i="5" s="1"/>
  <c r="D33" i="5"/>
  <c r="J33" i="5"/>
  <c r="M33" i="5"/>
  <c r="V20" i="5"/>
  <c r="F20" i="5"/>
  <c r="E20" i="5"/>
  <c r="S21" i="5"/>
  <c r="T21" i="5"/>
  <c r="S22" i="5"/>
  <c r="T22" i="5"/>
  <c r="S23" i="5"/>
  <c r="T23" i="5"/>
  <c r="S24" i="5"/>
  <c r="T24" i="5"/>
  <c r="S25" i="5"/>
  <c r="T25" i="5"/>
  <c r="S26" i="5"/>
  <c r="T26" i="5"/>
  <c r="S27" i="5"/>
  <c r="T27" i="5"/>
  <c r="T20" i="5"/>
  <c r="S20" i="5"/>
  <c r="H93" i="5"/>
  <c r="H94" i="5"/>
  <c r="O37" i="5"/>
  <c r="O38" i="5"/>
  <c r="O39" i="5"/>
  <c r="R39" i="5" s="1"/>
  <c r="O40" i="5"/>
  <c r="R40" i="5" s="1"/>
  <c r="O41" i="5"/>
  <c r="P41" i="5" s="1"/>
  <c r="O42" i="5"/>
  <c r="R42" i="5" s="1"/>
  <c r="D42" i="5"/>
  <c r="O43" i="5"/>
  <c r="D43" i="5"/>
  <c r="O44" i="5"/>
  <c r="D44" i="5"/>
  <c r="O45" i="5"/>
  <c r="O46" i="5"/>
  <c r="O47" i="5"/>
  <c r="O20" i="5"/>
  <c r="O21" i="5"/>
  <c r="Q21" i="5" s="1"/>
  <c r="Y21" i="5" s="1"/>
  <c r="O22" i="5"/>
  <c r="O23" i="5"/>
  <c r="Q23" i="5" s="1"/>
  <c r="Y23" i="5" s="1"/>
  <c r="O24" i="5"/>
  <c r="P24" i="5" s="1"/>
  <c r="X24" i="5" s="1"/>
  <c r="O25" i="5"/>
  <c r="Q25" i="5" s="1"/>
  <c r="Y25" i="5" s="1"/>
  <c r="O26" i="5"/>
  <c r="R26" i="5" s="1"/>
  <c r="O27" i="5"/>
  <c r="R27" i="5" s="1"/>
  <c r="Z27" i="5" s="1"/>
  <c r="O28" i="5"/>
  <c r="O29" i="5"/>
  <c r="O30" i="5"/>
  <c r="O31" i="5"/>
  <c r="O32" i="5"/>
  <c r="O33" i="5"/>
  <c r="J38" i="5"/>
  <c r="L38" i="5" s="1"/>
  <c r="D37" i="5"/>
  <c r="E37" i="5"/>
  <c r="D38" i="5"/>
  <c r="E38" i="5"/>
  <c r="D39" i="5"/>
  <c r="E39" i="5"/>
  <c r="D40" i="5"/>
  <c r="E40" i="5"/>
  <c r="D41" i="5"/>
  <c r="E41" i="5"/>
  <c r="D51" i="5"/>
  <c r="J39" i="5"/>
  <c r="L39" i="5"/>
  <c r="J40" i="5"/>
  <c r="L40" i="5"/>
  <c r="J42" i="5"/>
  <c r="L42" i="5" s="1"/>
  <c r="T42" i="5" s="1"/>
  <c r="F42" i="5"/>
  <c r="M42" i="5"/>
  <c r="J43" i="5"/>
  <c r="L43" i="5" s="1"/>
  <c r="T43" i="5" s="1"/>
  <c r="F43" i="5"/>
  <c r="M43" i="5"/>
  <c r="I37" i="5"/>
  <c r="I5" i="5"/>
  <c r="K37" i="5"/>
  <c r="F37" i="5"/>
  <c r="H37" i="5"/>
  <c r="I38" i="5"/>
  <c r="K38" i="5"/>
  <c r="F38" i="5"/>
  <c r="H38" i="5"/>
  <c r="I39" i="5"/>
  <c r="K39" i="5"/>
  <c r="F39" i="5"/>
  <c r="H39" i="5"/>
  <c r="N39" i="5"/>
  <c r="I40" i="5"/>
  <c r="K40" i="5"/>
  <c r="F40" i="5"/>
  <c r="H40" i="5"/>
  <c r="I41" i="5"/>
  <c r="K41" i="5"/>
  <c r="F41" i="5"/>
  <c r="H41" i="5"/>
  <c r="I42" i="5"/>
  <c r="K42" i="5"/>
  <c r="H42" i="5"/>
  <c r="I43" i="5"/>
  <c r="K43" i="5"/>
  <c r="H43" i="5"/>
  <c r="I44" i="5"/>
  <c r="K44" i="5"/>
  <c r="F44" i="5"/>
  <c r="H44" i="5"/>
  <c r="J45" i="5"/>
  <c r="F45" i="5"/>
  <c r="M45" i="5"/>
  <c r="E14" i="5"/>
  <c r="D47" i="5" s="1"/>
  <c r="E47" i="5" s="1"/>
  <c r="J46" i="5"/>
  <c r="M46" i="5" s="1"/>
  <c r="F46" i="5"/>
  <c r="J47" i="5"/>
  <c r="F47" i="5"/>
  <c r="M47" i="5"/>
  <c r="I20" i="5"/>
  <c r="H20" i="5"/>
  <c r="I21" i="5"/>
  <c r="K21" i="5"/>
  <c r="H21" i="5"/>
  <c r="I22" i="5"/>
  <c r="K22" i="5"/>
  <c r="H22" i="5"/>
  <c r="I23" i="5"/>
  <c r="K23" i="5"/>
  <c r="H23" i="5"/>
  <c r="I24" i="5"/>
  <c r="K24" i="5"/>
  <c r="H24" i="5"/>
  <c r="N24" i="5"/>
  <c r="W24" i="5"/>
  <c r="I25" i="5"/>
  <c r="K25" i="5"/>
  <c r="I26" i="5"/>
  <c r="K26" i="5"/>
  <c r="N26" i="5"/>
  <c r="W26" i="5"/>
  <c r="I27" i="5"/>
  <c r="K27" i="5"/>
  <c r="N27" i="5"/>
  <c r="W27" i="5"/>
  <c r="I28" i="5"/>
  <c r="K28" i="5"/>
  <c r="H28" i="5"/>
  <c r="I29" i="5"/>
  <c r="K29" i="5"/>
  <c r="H29" i="5"/>
  <c r="I30" i="5"/>
  <c r="K30" i="5"/>
  <c r="H30" i="5"/>
  <c r="N30" i="5"/>
  <c r="C9" i="6"/>
  <c r="D9" i="6"/>
  <c r="C10" i="6"/>
  <c r="C8" i="6"/>
  <c r="C11" i="6"/>
  <c r="D10" i="6"/>
  <c r="D8" i="6"/>
  <c r="D11" i="6"/>
  <c r="H5" i="6"/>
  <c r="H4" i="6"/>
  <c r="H3" i="6"/>
  <c r="E5" i="6"/>
  <c r="E4" i="6"/>
  <c r="I45" i="5"/>
  <c r="K45" i="5"/>
  <c r="I46" i="5"/>
  <c r="K46" i="5"/>
  <c r="I47" i="5"/>
  <c r="K47" i="5"/>
  <c r="I31" i="5"/>
  <c r="K31" i="5"/>
  <c r="I32" i="5"/>
  <c r="K32" i="5"/>
  <c r="I33" i="5"/>
  <c r="K33" i="5"/>
  <c r="N28" i="5"/>
  <c r="N38" i="5"/>
  <c r="D52" i="5"/>
  <c r="J41" i="5"/>
  <c r="M41" i="5" s="1"/>
  <c r="L41" i="5"/>
  <c r="N37" i="5"/>
  <c r="C44" i="5"/>
  <c r="N21" i="5"/>
  <c r="C52" i="5"/>
  <c r="N41" i="5"/>
  <c r="J44" i="5"/>
  <c r="N44" i="5"/>
  <c r="S44" i="5"/>
  <c r="N42" i="5"/>
  <c r="S42" i="5"/>
  <c r="M39" i="5"/>
  <c r="N22" i="5"/>
  <c r="W20" i="5"/>
  <c r="N43" i="5"/>
  <c r="N40" i="5"/>
  <c r="J37" i="5"/>
  <c r="M37" i="5" s="1"/>
  <c r="E44" i="5"/>
  <c r="C47" i="5"/>
  <c r="N23" i="5"/>
  <c r="N29" i="5"/>
  <c r="E85" i="5"/>
  <c r="E93" i="5"/>
  <c r="E101" i="5"/>
  <c r="E109" i="5"/>
  <c r="E117" i="5"/>
  <c r="E86" i="5"/>
  <c r="E94" i="5"/>
  <c r="E102" i="5"/>
  <c r="E110" i="5"/>
  <c r="E118" i="5"/>
  <c r="E79" i="5"/>
  <c r="E87" i="5"/>
  <c r="E95" i="5"/>
  <c r="E103" i="5"/>
  <c r="E111" i="5"/>
  <c r="E119" i="5"/>
  <c r="E80" i="5"/>
  <c r="E88" i="5"/>
  <c r="E96" i="5"/>
  <c r="E104" i="5"/>
  <c r="E112" i="5"/>
  <c r="E78" i="5"/>
  <c r="E81" i="5"/>
  <c r="E89" i="5"/>
  <c r="E97" i="5"/>
  <c r="E105" i="5"/>
  <c r="E113" i="5"/>
  <c r="E83" i="5"/>
  <c r="E91" i="5"/>
  <c r="E99" i="5"/>
  <c r="E107" i="5"/>
  <c r="E82" i="5"/>
  <c r="E90" i="5"/>
  <c r="E98" i="5"/>
  <c r="E106" i="5"/>
  <c r="E114" i="5"/>
  <c r="E115" i="5"/>
  <c r="E84" i="5"/>
  <c r="E92" i="5"/>
  <c r="E100" i="5"/>
  <c r="E108" i="5"/>
  <c r="E116" i="5"/>
  <c r="M40" i="5"/>
  <c r="C43" i="5"/>
  <c r="E43" i="5"/>
  <c r="C46" i="5"/>
  <c r="C42" i="5"/>
  <c r="E42" i="5"/>
  <c r="C45" i="5"/>
  <c r="W23" i="5"/>
  <c r="W21" i="5"/>
  <c r="W25" i="5"/>
  <c r="W22" i="5"/>
  <c r="L37" i="5"/>
  <c r="M44" i="5"/>
  <c r="L44" i="5"/>
  <c r="T44" i="5" s="1"/>
  <c r="R25" i="5" l="1"/>
  <c r="Z25" i="5" s="1"/>
  <c r="X33" i="5"/>
  <c r="R20" i="5"/>
  <c r="Z20" i="5" s="1"/>
  <c r="P38" i="5"/>
  <c r="P25" i="5"/>
  <c r="X25" i="5" s="1"/>
  <c r="Q22" i="5"/>
  <c r="Y22" i="5" s="1"/>
  <c r="Q37" i="5"/>
  <c r="U20" i="5"/>
  <c r="Q40" i="5"/>
  <c r="M38" i="5"/>
  <c r="Z33" i="5"/>
  <c r="M29" i="5"/>
  <c r="Z31" i="5"/>
  <c r="Q44" i="5"/>
  <c r="P42" i="5"/>
  <c r="Q41" i="5"/>
  <c r="P27" i="5"/>
  <c r="X27" i="5" s="1"/>
  <c r="R41" i="5"/>
  <c r="V26" i="5"/>
  <c r="Q26" i="5"/>
  <c r="Y26" i="5" s="1"/>
  <c r="P43" i="5"/>
  <c r="Z32" i="5"/>
  <c r="S43" i="5"/>
  <c r="P26" i="5"/>
  <c r="X26" i="5" s="1"/>
  <c r="Z26" i="5"/>
  <c r="P40" i="5"/>
  <c r="R43" i="5"/>
  <c r="D46" i="5"/>
  <c r="E46" i="5" s="1"/>
  <c r="Q43" i="5"/>
  <c r="Q47" i="5"/>
  <c r="D45" i="5"/>
  <c r="D29" i="5"/>
  <c r="Q42" i="5"/>
  <c r="R24" i="5"/>
  <c r="Z24" i="5" s="1"/>
  <c r="P39" i="5"/>
  <c r="Q24" i="5"/>
  <c r="Y24" i="5" s="1"/>
  <c r="R29" i="5"/>
  <c r="Z29" i="5" s="1"/>
  <c r="Q39" i="5"/>
  <c r="P44" i="5"/>
  <c r="Q27" i="5"/>
  <c r="Y27" i="5" s="1"/>
  <c r="P22" i="5"/>
  <c r="X22" i="5" s="1"/>
  <c r="Q38" i="5"/>
  <c r="R21" i="5"/>
  <c r="Z21" i="5" s="1"/>
  <c r="R44" i="5"/>
  <c r="Q29" i="5"/>
  <c r="Y29" i="5" s="1"/>
  <c r="D28" i="5"/>
  <c r="R28" i="5" s="1"/>
  <c r="P23" i="5"/>
  <c r="X23" i="5" s="1"/>
  <c r="X31" i="5"/>
  <c r="R23" i="5"/>
  <c r="Z23" i="5" s="1"/>
  <c r="R38" i="5"/>
  <c r="P37" i="5"/>
  <c r="R22" i="5"/>
  <c r="Z22" i="5" s="1"/>
  <c r="R37" i="5"/>
  <c r="X32" i="5"/>
  <c r="P21" i="5"/>
  <c r="X21" i="5" s="1"/>
  <c r="E29" i="5"/>
  <c r="S29" i="5"/>
  <c r="D30" i="5"/>
  <c r="Y20" i="5" l="1"/>
  <c r="P20" i="5"/>
  <c r="Q46" i="5"/>
  <c r="D54" i="5"/>
  <c r="D70" i="5" s="1"/>
  <c r="E45" i="5"/>
  <c r="D53" i="5"/>
  <c r="I51" i="5" s="1"/>
  <c r="Q45" i="5"/>
  <c r="D56" i="5" s="1"/>
  <c r="S28" i="5"/>
  <c r="E28" i="5"/>
  <c r="V28" i="5" s="1"/>
  <c r="Q28" i="5"/>
  <c r="Y28" i="5" s="1"/>
  <c r="D55" i="5"/>
  <c r="D71" i="5" s="1"/>
  <c r="Z28" i="5"/>
  <c r="E30" i="5"/>
  <c r="R30" i="5"/>
  <c r="Z30" i="5" s="1"/>
  <c r="Q30" i="5"/>
  <c r="Y30" i="5" s="1"/>
  <c r="S30" i="5"/>
  <c r="P28" i="5"/>
  <c r="U28" i="5"/>
  <c r="T28" i="5"/>
  <c r="W29" i="5"/>
  <c r="P29" i="5"/>
  <c r="X29" i="5" s="1"/>
  <c r="T29" i="5"/>
  <c r="U29" i="5"/>
  <c r="V29" i="5"/>
  <c r="C32" i="5"/>
  <c r="X20" i="5" l="1"/>
  <c r="D72" i="5"/>
  <c r="I52" i="5"/>
  <c r="I53" i="5" s="1"/>
  <c r="D57" i="5"/>
  <c r="D78" i="5" s="1"/>
  <c r="D73" i="5"/>
  <c r="C31" i="5"/>
  <c r="W28" i="5"/>
  <c r="D59" i="5"/>
  <c r="Q31" i="5"/>
  <c r="Y31" i="5" s="1"/>
  <c r="E31" i="5"/>
  <c r="V31" i="5" s="1"/>
  <c r="E32" i="5"/>
  <c r="V32" i="5" s="1"/>
  <c r="Q32" i="5"/>
  <c r="Y32" i="5" s="1"/>
  <c r="U30" i="5"/>
  <c r="W30" i="5"/>
  <c r="P30" i="5"/>
  <c r="X30" i="5" s="1"/>
  <c r="V30" i="5"/>
  <c r="C33" i="5"/>
  <c r="T30" i="5"/>
  <c r="X28" i="5"/>
  <c r="H51" i="5"/>
  <c r="C55" i="5"/>
  <c r="C71" i="5" s="1"/>
  <c r="C54" i="5" l="1"/>
  <c r="C70" i="5" s="1"/>
  <c r="E33" i="5"/>
  <c r="Q33" i="5"/>
  <c r="Y33" i="5" s="1"/>
  <c r="V33" i="5"/>
  <c r="U31" i="5"/>
  <c r="W31" i="5"/>
  <c r="U32" i="5"/>
  <c r="W32" i="5"/>
  <c r="C56" i="5" l="1"/>
  <c r="C72" i="5" s="1"/>
  <c r="C73" i="5" s="1"/>
  <c r="U33" i="5"/>
  <c r="W33" i="5"/>
  <c r="H52" i="5" l="1"/>
  <c r="H53" i="5" s="1"/>
  <c r="C57" i="5"/>
  <c r="C78" i="5" s="1"/>
  <c r="AA20" i="5"/>
  <c r="C59" i="5" l="1"/>
</calcChain>
</file>

<file path=xl/sharedStrings.xml><?xml version="1.0" encoding="utf-8"?>
<sst xmlns="http://schemas.openxmlformats.org/spreadsheetml/2006/main" count="130" uniqueCount="82">
  <si>
    <t>Air Ship Scenario</t>
  </si>
  <si>
    <t>Assembly cost</t>
  </si>
  <si>
    <t>DC handling cost</t>
  </si>
  <si>
    <t>Ocean Ship Scenario</t>
  </si>
  <si>
    <t>Ocean</t>
  </si>
  <si>
    <t>Air</t>
  </si>
  <si>
    <t>HP wholesale price</t>
  </si>
  <si>
    <t>HP_101 control panel</t>
  </si>
  <si>
    <t>HP_146 control panel</t>
  </si>
  <si>
    <t>HP_246 control panel</t>
  </si>
  <si>
    <t>HP_101</t>
  </si>
  <si>
    <t>HP_146</t>
  </si>
  <si>
    <t>HP_246</t>
  </si>
  <si>
    <t>HP_101 assembly at CM</t>
  </si>
  <si>
    <t>HP_146 assembly at CM</t>
  </si>
  <si>
    <t>HP_246 assembly at CM</t>
  </si>
  <si>
    <t>HP_101 at DC</t>
  </si>
  <si>
    <t>HP_146 at DC</t>
  </si>
  <si>
    <t>HP_246 at DC</t>
  </si>
  <si>
    <t>HP_101 at Retailer</t>
  </si>
  <si>
    <t>HP_146 at Retailer</t>
  </si>
  <si>
    <t>HP_246 at Retailer</t>
  </si>
  <si>
    <t>Materials cost</t>
  </si>
  <si>
    <t>MOH cost</t>
  </si>
  <si>
    <t>Logistics cost</t>
  </si>
  <si>
    <t>Mechanical components</t>
  </si>
  <si>
    <t>Electrical components</t>
  </si>
  <si>
    <t>Ocean freight</t>
  </si>
  <si>
    <t>Inland freight</t>
  </si>
  <si>
    <t>Outbound freight</t>
  </si>
  <si>
    <t>Air freight</t>
  </si>
  <si>
    <t>Incoming cumulative cost</t>
  </si>
  <si>
    <t>Cost added at stage ($/unit)</t>
  </si>
  <si>
    <t>Outgoing cumulative cost</t>
  </si>
  <si>
    <t>Lead time (wks)</t>
  </si>
  <si>
    <t>Review period</t>
  </si>
  <si>
    <t>Service level</t>
  </si>
  <si>
    <t>Average demand</t>
  </si>
  <si>
    <t>Standard deviation of demand</t>
  </si>
  <si>
    <t>Unit cost ($/unit)</t>
  </si>
  <si>
    <t>Net replenish-ment time</t>
  </si>
  <si>
    <t>Expected cycle stock</t>
  </si>
  <si>
    <t>Expected pipeline stock</t>
  </si>
  <si>
    <t>Expected safety stock</t>
  </si>
  <si>
    <t>Holding cost rate</t>
  </si>
  <si>
    <t>Expected cycle stock cost</t>
  </si>
  <si>
    <t>Expected pipeline stock cost</t>
  </si>
  <si>
    <t>Expected safety stock cost</t>
  </si>
  <si>
    <t>Cycle stock cost</t>
  </si>
  <si>
    <t>Safety stock cost</t>
  </si>
  <si>
    <t>Pipeline stock cost</t>
  </si>
  <si>
    <t>Total Supply Chain Cost</t>
  </si>
  <si>
    <t>HP gross margin</t>
  </si>
  <si>
    <t xml:space="preserve"> Direct cost/unit</t>
  </si>
  <si>
    <t>Inventory driven cost/unit</t>
  </si>
  <si>
    <t>Service level target</t>
  </si>
  <si>
    <t>Std dev forecast error</t>
  </si>
  <si>
    <t>Bill of material information</t>
  </si>
  <si>
    <t>Demand parameters</t>
  </si>
  <si>
    <t>Inventory parameters</t>
  </si>
  <si>
    <t>Summary statistics</t>
  </si>
  <si>
    <t>Average forecast</t>
  </si>
  <si>
    <t>Std dev actuals</t>
  </si>
  <si>
    <t>Average actuals</t>
  </si>
  <si>
    <t>Std dev forecast</t>
  </si>
  <si>
    <t>Coefficient of variation</t>
  </si>
  <si>
    <t>Annual actuals</t>
  </si>
  <si>
    <t>Annual forecast</t>
  </si>
  <si>
    <t>Average forecast error</t>
  </si>
  <si>
    <t>total</t>
  </si>
  <si>
    <t>CM cost to store inventory</t>
  </si>
  <si>
    <t>HC rate</t>
  </si>
  <si>
    <t>Ocean $/unit</t>
  </si>
  <si>
    <t>Air $/unit</t>
  </si>
  <si>
    <t>Cycle stock investment cost</t>
  </si>
  <si>
    <t>Safety stock investment cost</t>
  </si>
  <si>
    <t>Pipeline stock investment cost</t>
  </si>
  <si>
    <t>Total investment</t>
  </si>
  <si>
    <t>retail price</t>
  </si>
  <si>
    <t>wholesale price</t>
  </si>
  <si>
    <t>maximum unit cost</t>
  </si>
  <si>
    <t>80% of cost locked in at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</si>
</sst>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(* #,##0.00_);_(* \(#,##0.00\);_(* &quot;-&quot;??_);_(@_)"/>
    <numFmt numFmtId="166" formatCode="&quot;$&quot;#,##0;[Red]\-&quot;$&quot;#,##0"/>
    <numFmt numFmtId="167" formatCode="&quot;$&quot;#,##0.00;[Red]\-&quot;$&quot;#,##0.00"/>
    <numFmt numFmtId="168" formatCode="_-* #,##0.00_-;\-* #,##0.00_-;_-* &quot;-&quot;??_-;_-@_-"/>
    <numFmt numFmtId="169" formatCode="_-* #,##0_-;\-* #,##0_-;_-* &quot;-&quot;??_-;_-@_-"/>
    <numFmt numFmtId="170" formatCode="&quot;$&quot;#,##0.00;[Red]&quot;$&quot;#,##0.00"/>
    <numFmt numFmtId="171" formatCode="&quot;$&quot;#,##0;[Red]&quot;$&quot;#,##0"/>
    <numFmt numFmtId="172" formatCode="&quot;$&quot;#,##0.000;[Red]\-&quot;$&quot;#,##0.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8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1" fontId="0" fillId="0" borderId="0" xfId="0" applyNumberFormat="1"/>
    <xf numFmtId="167" fontId="0" fillId="0" borderId="0" xfId="0" applyNumberFormat="1"/>
    <xf numFmtId="9" fontId="0" fillId="0" borderId="0" xfId="0" applyNumberFormat="1"/>
    <xf numFmtId="171" fontId="0" fillId="0" borderId="0" xfId="0" applyNumberFormat="1"/>
    <xf numFmtId="0" fontId="0" fillId="0" borderId="0" xfId="0" applyAlignment="1">
      <alignment horizontal="right"/>
    </xf>
    <xf numFmtId="167" fontId="0" fillId="0" borderId="1" xfId="0" applyNumberFormat="1" applyBorder="1"/>
    <xf numFmtId="170" fontId="0" fillId="0" borderId="1" xfId="0" applyNumberFormat="1" applyBorder="1"/>
    <xf numFmtId="10" fontId="0" fillId="0" borderId="0" xfId="128" applyNumberFormat="1" applyFont="1" applyFill="1"/>
    <xf numFmtId="0" fontId="0" fillId="0" borderId="0" xfId="0" applyAlignment="1">
      <alignment wrapText="1"/>
    </xf>
    <xf numFmtId="1" fontId="0" fillId="0" borderId="1" xfId="0" applyNumberFormat="1" applyBorder="1"/>
    <xf numFmtId="0" fontId="0" fillId="0" borderId="1" xfId="0" applyBorder="1"/>
    <xf numFmtId="167" fontId="0" fillId="0" borderId="2" xfId="0" applyNumberFormat="1" applyBorder="1"/>
    <xf numFmtId="0" fontId="0" fillId="0" borderId="2" xfId="0" applyBorder="1"/>
    <xf numFmtId="166" fontId="0" fillId="0" borderId="1" xfId="0" applyNumberFormat="1" applyBorder="1"/>
    <xf numFmtId="167" fontId="4" fillId="0" borderId="1" xfId="0" applyNumberFormat="1" applyFont="1" applyBorder="1"/>
    <xf numFmtId="9" fontId="0" fillId="2" borderId="1" xfId="0" applyNumberFormat="1" applyFill="1" applyBorder="1"/>
    <xf numFmtId="169" fontId="0" fillId="0" borderId="1" xfId="35" applyNumberFormat="1" applyFont="1" applyBorder="1"/>
    <xf numFmtId="9" fontId="0" fillId="0" borderId="1" xfId="0" applyNumberFormat="1" applyBorder="1"/>
    <xf numFmtId="171" fontId="0" fillId="0" borderId="1" xfId="0" applyNumberFormat="1" applyBorder="1"/>
    <xf numFmtId="0" fontId="0" fillId="0" borderId="0" xfId="0" applyAlignment="1">
      <alignment horizontal="left"/>
    </xf>
    <xf numFmtId="3" fontId="0" fillId="0" borderId="1" xfId="35" applyNumberFormat="1" applyFont="1" applyBorder="1"/>
    <xf numFmtId="2" fontId="0" fillId="0" borderId="1" xfId="0" applyNumberFormat="1" applyBorder="1"/>
    <xf numFmtId="3" fontId="0" fillId="0" borderId="0" xfId="0" applyNumberFormat="1"/>
    <xf numFmtId="0" fontId="6" fillId="0" borderId="0" xfId="497"/>
    <xf numFmtId="166" fontId="0" fillId="2" borderId="1" xfId="0" applyNumberFormat="1" applyFill="1" applyBorder="1"/>
    <xf numFmtId="165" fontId="0" fillId="0" borderId="0" xfId="0" applyNumberFormat="1"/>
    <xf numFmtId="164" fontId="0" fillId="0" borderId="0" xfId="0" applyNumberFormat="1"/>
    <xf numFmtId="170" fontId="0" fillId="0" borderId="0" xfId="0" applyNumberFormat="1"/>
    <xf numFmtId="167" fontId="0" fillId="2" borderId="1" xfId="0" applyNumberFormat="1" applyFill="1" applyBorder="1"/>
    <xf numFmtId="0" fontId="0" fillId="2" borderId="1" xfId="0" applyFill="1" applyBorder="1"/>
    <xf numFmtId="172" fontId="0" fillId="0" borderId="0" xfId="0" applyNumberFormat="1"/>
  </cellXfs>
  <cellStyles count="501">
    <cellStyle name="Comma" xfId="35" builtinId="3"/>
    <cellStyle name="Followed Hyperlink" xfId="69" builtinId="9" hidden="1"/>
    <cellStyle name="Followed Hyperlink" xfId="73" builtinId="9" hidden="1"/>
    <cellStyle name="Followed Hyperlink" xfId="77" builtinId="9" hidden="1"/>
    <cellStyle name="Followed Hyperlink" xfId="81" builtinId="9" hidden="1"/>
    <cellStyle name="Followed Hyperlink" xfId="85" builtinId="9" hidden="1"/>
    <cellStyle name="Followed Hyperlink" xfId="89" builtinId="9" hidden="1"/>
    <cellStyle name="Followed Hyperlink" xfId="93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109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5" builtinId="9" hidden="1"/>
    <cellStyle name="Followed Hyperlink" xfId="130" builtinId="9" hidden="1"/>
    <cellStyle name="Followed Hyperlink" xfId="134" builtinId="9" hidden="1"/>
    <cellStyle name="Followed Hyperlink" xfId="138" builtinId="9" hidden="1"/>
    <cellStyle name="Followed Hyperlink" xfId="142" builtinId="9" hidden="1"/>
    <cellStyle name="Followed Hyperlink" xfId="146" builtinId="9" hidden="1"/>
    <cellStyle name="Followed Hyperlink" xfId="150" builtinId="9" hidden="1"/>
    <cellStyle name="Followed Hyperlink" xfId="154" builtinId="9" hidden="1"/>
    <cellStyle name="Followed Hyperlink" xfId="158" builtinId="9" hidden="1"/>
    <cellStyle name="Followed Hyperlink" xfId="162" builtinId="9" hidden="1"/>
    <cellStyle name="Followed Hyperlink" xfId="166" builtinId="9" hidden="1"/>
    <cellStyle name="Followed Hyperlink" xfId="170" builtinId="9" hidden="1"/>
    <cellStyle name="Followed Hyperlink" xfId="174" builtinId="9" hidden="1"/>
    <cellStyle name="Followed Hyperlink" xfId="178" builtinId="9" hidden="1"/>
    <cellStyle name="Followed Hyperlink" xfId="182" builtinId="9" hidden="1"/>
    <cellStyle name="Followed Hyperlink" xfId="186" builtinId="9" hidden="1"/>
    <cellStyle name="Followed Hyperlink" xfId="190" builtinId="9" hidden="1"/>
    <cellStyle name="Followed Hyperlink" xfId="194" builtinId="9" hidden="1"/>
    <cellStyle name="Followed Hyperlink" xfId="198" builtinId="9" hidden="1"/>
    <cellStyle name="Followed Hyperlink" xfId="202" builtinId="9" hidden="1"/>
    <cellStyle name="Followed Hyperlink" xfId="206" builtinId="9" hidden="1"/>
    <cellStyle name="Followed Hyperlink" xfId="210" builtinId="9" hidden="1"/>
    <cellStyle name="Followed Hyperlink" xfId="214" builtinId="9" hidden="1"/>
    <cellStyle name="Followed Hyperlink" xfId="218" builtinId="9" hidden="1"/>
    <cellStyle name="Followed Hyperlink" xfId="222" builtinId="9" hidden="1"/>
    <cellStyle name="Followed Hyperlink" xfId="226" builtinId="9" hidden="1"/>
    <cellStyle name="Followed Hyperlink" xfId="230" builtinId="9" hidden="1"/>
    <cellStyle name="Followed Hyperlink" xfId="234" builtinId="9" hidden="1"/>
    <cellStyle name="Followed Hyperlink" xfId="238" builtinId="9" hidden="1"/>
    <cellStyle name="Followed Hyperlink" xfId="242" builtinId="9" hidden="1"/>
    <cellStyle name="Followed Hyperlink" xfId="246" builtinId="9" hidden="1"/>
    <cellStyle name="Followed Hyperlink" xfId="250" builtinId="9" hidden="1"/>
    <cellStyle name="Followed Hyperlink" xfId="254" builtinId="9" hidden="1"/>
    <cellStyle name="Followed Hyperlink" xfId="258" builtinId="9" hidden="1"/>
    <cellStyle name="Followed Hyperlink" xfId="262" builtinId="9" hidden="1"/>
    <cellStyle name="Followed Hyperlink" xfId="266" builtinId="9" hidden="1"/>
    <cellStyle name="Followed Hyperlink" xfId="270" builtinId="9" hidden="1"/>
    <cellStyle name="Followed Hyperlink" xfId="274" builtinId="9" hidden="1"/>
    <cellStyle name="Followed Hyperlink" xfId="278" builtinId="9" hidden="1"/>
    <cellStyle name="Followed Hyperlink" xfId="282" builtinId="9" hidden="1"/>
    <cellStyle name="Followed Hyperlink" xfId="286" builtinId="9" hidden="1"/>
    <cellStyle name="Followed Hyperlink" xfId="290" builtinId="9" hidden="1"/>
    <cellStyle name="Followed Hyperlink" xfId="294" builtinId="9" hidden="1"/>
    <cellStyle name="Followed Hyperlink" xfId="298" builtinId="9" hidden="1"/>
    <cellStyle name="Followed Hyperlink" xfId="302" builtinId="9" hidden="1"/>
    <cellStyle name="Followed Hyperlink" xfId="306" builtinId="9" hidden="1"/>
    <cellStyle name="Followed Hyperlink" xfId="310" builtinId="9" hidden="1"/>
    <cellStyle name="Followed Hyperlink" xfId="314" builtinId="9" hidden="1"/>
    <cellStyle name="Followed Hyperlink" xfId="318" builtinId="9" hidden="1"/>
    <cellStyle name="Followed Hyperlink" xfId="322" builtinId="9" hidden="1"/>
    <cellStyle name="Followed Hyperlink" xfId="326" builtinId="9" hidden="1"/>
    <cellStyle name="Followed Hyperlink" xfId="330" builtinId="9" hidden="1"/>
    <cellStyle name="Followed Hyperlink" xfId="334" builtinId="9" hidden="1"/>
    <cellStyle name="Followed Hyperlink" xfId="338" builtinId="9" hidden="1"/>
    <cellStyle name="Followed Hyperlink" xfId="342" builtinId="9" hidden="1"/>
    <cellStyle name="Followed Hyperlink" xfId="346" builtinId="9" hidden="1"/>
    <cellStyle name="Followed Hyperlink" xfId="350" builtinId="9" hidden="1"/>
    <cellStyle name="Followed Hyperlink" xfId="354" builtinId="9" hidden="1"/>
    <cellStyle name="Followed Hyperlink" xfId="358" builtinId="9" hidden="1"/>
    <cellStyle name="Followed Hyperlink" xfId="362" builtinId="9" hidden="1"/>
    <cellStyle name="Followed Hyperlink" xfId="366" builtinId="9" hidden="1"/>
    <cellStyle name="Followed Hyperlink" xfId="370" builtinId="9" hidden="1"/>
    <cellStyle name="Followed Hyperlink" xfId="374" builtinId="9" hidden="1"/>
    <cellStyle name="Followed Hyperlink" xfId="378" builtinId="9" hidden="1"/>
    <cellStyle name="Followed Hyperlink" xfId="382" builtinId="9" hidden="1"/>
    <cellStyle name="Followed Hyperlink" xfId="386" builtinId="9" hidden="1"/>
    <cellStyle name="Followed Hyperlink" xfId="390" builtinId="9" hidden="1"/>
    <cellStyle name="Followed Hyperlink" xfId="394" builtinId="9" hidden="1"/>
    <cellStyle name="Followed Hyperlink" xfId="398" builtinId="9" hidden="1"/>
    <cellStyle name="Followed Hyperlink" xfId="402" builtinId="9" hidden="1"/>
    <cellStyle name="Followed Hyperlink" xfId="406" builtinId="9" hidden="1"/>
    <cellStyle name="Followed Hyperlink" xfId="410" builtinId="9" hidden="1"/>
    <cellStyle name="Followed Hyperlink" xfId="414" builtinId="9" hidden="1"/>
    <cellStyle name="Followed Hyperlink" xfId="418" builtinId="9" hidden="1"/>
    <cellStyle name="Followed Hyperlink" xfId="422" builtinId="9" hidden="1"/>
    <cellStyle name="Followed Hyperlink" xfId="426" builtinId="9" hidden="1"/>
    <cellStyle name="Followed Hyperlink" xfId="430" builtinId="9" hidden="1"/>
    <cellStyle name="Followed Hyperlink" xfId="434" builtinId="9" hidden="1"/>
    <cellStyle name="Followed Hyperlink" xfId="438" builtinId="9" hidden="1"/>
    <cellStyle name="Followed Hyperlink" xfId="442" builtinId="9" hidden="1"/>
    <cellStyle name="Followed Hyperlink" xfId="446" builtinId="9" hidden="1"/>
    <cellStyle name="Followed Hyperlink" xfId="450" builtinId="9" hidden="1"/>
    <cellStyle name="Followed Hyperlink" xfId="454" builtinId="9" hidden="1"/>
    <cellStyle name="Followed Hyperlink" xfId="458" builtinId="9" hidden="1"/>
    <cellStyle name="Followed Hyperlink" xfId="462" builtinId="9" hidden="1"/>
    <cellStyle name="Followed Hyperlink" xfId="466" builtinId="9" hidden="1"/>
    <cellStyle name="Followed Hyperlink" xfId="470" builtinId="9" hidden="1"/>
    <cellStyle name="Followed Hyperlink" xfId="474" builtinId="9" hidden="1"/>
    <cellStyle name="Followed Hyperlink" xfId="478" builtinId="9" hidden="1"/>
    <cellStyle name="Followed Hyperlink" xfId="482" builtinId="9" hidden="1"/>
    <cellStyle name="Followed Hyperlink" xfId="486" builtinId="9" hidden="1"/>
    <cellStyle name="Followed Hyperlink" xfId="490" builtinId="9" hidden="1"/>
    <cellStyle name="Followed Hyperlink" xfId="494" builtinId="9" hidden="1"/>
    <cellStyle name="Followed Hyperlink" xfId="500" builtinId="9" hidden="1"/>
    <cellStyle name="Followed Hyperlink" xfId="496" builtinId="9" hidden="1"/>
    <cellStyle name="Followed Hyperlink" xfId="492" builtinId="9" hidden="1"/>
    <cellStyle name="Followed Hyperlink" xfId="488" builtinId="9" hidden="1"/>
    <cellStyle name="Followed Hyperlink" xfId="484" builtinId="9" hidden="1"/>
    <cellStyle name="Followed Hyperlink" xfId="480" builtinId="9" hidden="1"/>
    <cellStyle name="Followed Hyperlink" xfId="476" builtinId="9" hidden="1"/>
    <cellStyle name="Followed Hyperlink" xfId="472" builtinId="9" hidden="1"/>
    <cellStyle name="Followed Hyperlink" xfId="468" builtinId="9" hidden="1"/>
    <cellStyle name="Followed Hyperlink" xfId="464" builtinId="9" hidden="1"/>
    <cellStyle name="Followed Hyperlink" xfId="460" builtinId="9" hidden="1"/>
    <cellStyle name="Followed Hyperlink" xfId="456" builtinId="9" hidden="1"/>
    <cellStyle name="Followed Hyperlink" xfId="452" builtinId="9" hidden="1"/>
    <cellStyle name="Followed Hyperlink" xfId="448" builtinId="9" hidden="1"/>
    <cellStyle name="Followed Hyperlink" xfId="444" builtinId="9" hidden="1"/>
    <cellStyle name="Followed Hyperlink" xfId="440" builtinId="9" hidden="1"/>
    <cellStyle name="Followed Hyperlink" xfId="436" builtinId="9" hidden="1"/>
    <cellStyle name="Followed Hyperlink" xfId="432" builtinId="9" hidden="1"/>
    <cellStyle name="Followed Hyperlink" xfId="428" builtinId="9" hidden="1"/>
    <cellStyle name="Followed Hyperlink" xfId="424" builtinId="9" hidden="1"/>
    <cellStyle name="Followed Hyperlink" xfId="420" builtinId="9" hidden="1"/>
    <cellStyle name="Followed Hyperlink" xfId="416" builtinId="9" hidden="1"/>
    <cellStyle name="Followed Hyperlink" xfId="412" builtinId="9" hidden="1"/>
    <cellStyle name="Followed Hyperlink" xfId="408" builtinId="9" hidden="1"/>
    <cellStyle name="Followed Hyperlink" xfId="404" builtinId="9" hidden="1"/>
    <cellStyle name="Followed Hyperlink" xfId="400" builtinId="9" hidden="1"/>
    <cellStyle name="Followed Hyperlink" xfId="396" builtinId="9" hidden="1"/>
    <cellStyle name="Followed Hyperlink" xfId="392" builtinId="9" hidden="1"/>
    <cellStyle name="Followed Hyperlink" xfId="388" builtinId="9" hidden="1"/>
    <cellStyle name="Followed Hyperlink" xfId="384" builtinId="9" hidden="1"/>
    <cellStyle name="Followed Hyperlink" xfId="380" builtinId="9" hidden="1"/>
    <cellStyle name="Followed Hyperlink" xfId="376" builtinId="9" hidden="1"/>
    <cellStyle name="Followed Hyperlink" xfId="372" builtinId="9" hidden="1"/>
    <cellStyle name="Followed Hyperlink" xfId="368" builtinId="9" hidden="1"/>
    <cellStyle name="Followed Hyperlink" xfId="364" builtinId="9" hidden="1"/>
    <cellStyle name="Followed Hyperlink" xfId="360" builtinId="9" hidden="1"/>
    <cellStyle name="Followed Hyperlink" xfId="356" builtinId="9" hidden="1"/>
    <cellStyle name="Followed Hyperlink" xfId="352" builtinId="9" hidden="1"/>
    <cellStyle name="Followed Hyperlink" xfId="348" builtinId="9" hidden="1"/>
    <cellStyle name="Followed Hyperlink" xfId="344" builtinId="9" hidden="1"/>
    <cellStyle name="Followed Hyperlink" xfId="340" builtinId="9" hidden="1"/>
    <cellStyle name="Followed Hyperlink" xfId="336" builtinId="9" hidden="1"/>
    <cellStyle name="Followed Hyperlink" xfId="332" builtinId="9" hidden="1"/>
    <cellStyle name="Followed Hyperlink" xfId="328" builtinId="9" hidden="1"/>
    <cellStyle name="Followed Hyperlink" xfId="324" builtinId="9" hidden="1"/>
    <cellStyle name="Followed Hyperlink" xfId="320" builtinId="9" hidden="1"/>
    <cellStyle name="Followed Hyperlink" xfId="316" builtinId="9" hidden="1"/>
    <cellStyle name="Followed Hyperlink" xfId="312" builtinId="9" hidden="1"/>
    <cellStyle name="Followed Hyperlink" xfId="308" builtinId="9" hidden="1"/>
    <cellStyle name="Followed Hyperlink" xfId="304" builtinId="9" hidden="1"/>
    <cellStyle name="Followed Hyperlink" xfId="300" builtinId="9" hidden="1"/>
    <cellStyle name="Followed Hyperlink" xfId="296" builtinId="9" hidden="1"/>
    <cellStyle name="Followed Hyperlink" xfId="292" builtinId="9" hidden="1"/>
    <cellStyle name="Followed Hyperlink" xfId="288" builtinId="9" hidden="1"/>
    <cellStyle name="Followed Hyperlink" xfId="284" builtinId="9" hidden="1"/>
    <cellStyle name="Followed Hyperlink" xfId="280" builtinId="9" hidden="1"/>
    <cellStyle name="Followed Hyperlink" xfId="276" builtinId="9" hidden="1"/>
    <cellStyle name="Followed Hyperlink" xfId="272" builtinId="9" hidden="1"/>
    <cellStyle name="Followed Hyperlink" xfId="268" builtinId="9" hidden="1"/>
    <cellStyle name="Followed Hyperlink" xfId="264" builtinId="9" hidden="1"/>
    <cellStyle name="Followed Hyperlink" xfId="260" builtinId="9" hidden="1"/>
    <cellStyle name="Followed Hyperlink" xfId="256" builtinId="9" hidden="1"/>
    <cellStyle name="Followed Hyperlink" xfId="252" builtinId="9" hidden="1"/>
    <cellStyle name="Followed Hyperlink" xfId="248" builtinId="9" hidden="1"/>
    <cellStyle name="Followed Hyperlink" xfId="244" builtinId="9" hidden="1"/>
    <cellStyle name="Followed Hyperlink" xfId="240" builtinId="9" hidden="1"/>
    <cellStyle name="Followed Hyperlink" xfId="236" builtinId="9" hidden="1"/>
    <cellStyle name="Followed Hyperlink" xfId="232" builtinId="9" hidden="1"/>
    <cellStyle name="Followed Hyperlink" xfId="228" builtinId="9" hidden="1"/>
    <cellStyle name="Followed Hyperlink" xfId="224" builtinId="9" hidden="1"/>
    <cellStyle name="Followed Hyperlink" xfId="220" builtinId="9" hidden="1"/>
    <cellStyle name="Followed Hyperlink" xfId="216" builtinId="9" hidden="1"/>
    <cellStyle name="Followed Hyperlink" xfId="212" builtinId="9" hidden="1"/>
    <cellStyle name="Followed Hyperlink" xfId="208" builtinId="9" hidden="1"/>
    <cellStyle name="Followed Hyperlink" xfId="204" builtinId="9" hidden="1"/>
    <cellStyle name="Followed Hyperlink" xfId="200" builtinId="9" hidden="1"/>
    <cellStyle name="Followed Hyperlink" xfId="196" builtinId="9" hidden="1"/>
    <cellStyle name="Followed Hyperlink" xfId="192" builtinId="9" hidden="1"/>
    <cellStyle name="Followed Hyperlink" xfId="188" builtinId="9" hidden="1"/>
    <cellStyle name="Followed Hyperlink" xfId="184" builtinId="9" hidden="1"/>
    <cellStyle name="Followed Hyperlink" xfId="180" builtinId="9" hidden="1"/>
    <cellStyle name="Followed Hyperlink" xfId="176" builtinId="9" hidden="1"/>
    <cellStyle name="Followed Hyperlink" xfId="172" builtinId="9" hidden="1"/>
    <cellStyle name="Followed Hyperlink" xfId="168" builtinId="9" hidden="1"/>
    <cellStyle name="Followed Hyperlink" xfId="164" builtinId="9" hidden="1"/>
    <cellStyle name="Followed Hyperlink" xfId="160" builtinId="9" hidden="1"/>
    <cellStyle name="Followed Hyperlink" xfId="156" builtinId="9" hidden="1"/>
    <cellStyle name="Followed Hyperlink" xfId="152" builtinId="9" hidden="1"/>
    <cellStyle name="Followed Hyperlink" xfId="148" builtinId="9" hidden="1"/>
    <cellStyle name="Followed Hyperlink" xfId="144" builtinId="9" hidden="1"/>
    <cellStyle name="Followed Hyperlink" xfId="140" builtinId="9" hidden="1"/>
    <cellStyle name="Followed Hyperlink" xfId="136" builtinId="9" hidden="1"/>
    <cellStyle name="Followed Hyperlink" xfId="132" builtinId="9" hidden="1"/>
    <cellStyle name="Followed Hyperlink" xfId="127" builtinId="9" hidden="1"/>
    <cellStyle name="Followed Hyperlink" xfId="123" builtinId="9" hidden="1"/>
    <cellStyle name="Followed Hyperlink" xfId="119" builtinId="9" hidden="1"/>
    <cellStyle name="Followed Hyperlink" xfId="115" builtinId="9" hidden="1"/>
    <cellStyle name="Followed Hyperlink" xfId="111" builtinId="9" hidden="1"/>
    <cellStyle name="Followed Hyperlink" xfId="107" builtinId="9" hidden="1"/>
    <cellStyle name="Followed Hyperlink" xfId="103" builtinId="9" hidden="1"/>
    <cellStyle name="Followed Hyperlink" xfId="99" builtinId="9" hidden="1"/>
    <cellStyle name="Followed Hyperlink" xfId="95" builtinId="9" hidden="1"/>
    <cellStyle name="Followed Hyperlink" xfId="91" builtinId="9" hidden="1"/>
    <cellStyle name="Followed Hyperlink" xfId="87" builtinId="9" hidden="1"/>
    <cellStyle name="Followed Hyperlink" xfId="83" builtinId="9" hidden="1"/>
    <cellStyle name="Followed Hyperlink" xfId="79" builtinId="9" hidden="1"/>
    <cellStyle name="Followed Hyperlink" xfId="75" builtinId="9" hidden="1"/>
    <cellStyle name="Followed Hyperlink" xfId="71" builtinId="9" hidden="1"/>
    <cellStyle name="Followed Hyperlink" xfId="67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7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5" builtinId="9" hidden="1"/>
    <cellStyle name="Followed Hyperlink" xfId="63" builtinId="9" hidden="1"/>
    <cellStyle name="Followed Hyperlink" xfId="55" builtinId="9" hidden="1"/>
    <cellStyle name="Followed Hyperlink" xfId="47" builtinId="9" hidden="1"/>
    <cellStyle name="Followed Hyperlink" xfId="39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93" builtinId="8" hidden="1"/>
    <cellStyle name="Hyperlink" xfId="195" builtinId="8" hidden="1"/>
    <cellStyle name="Hyperlink" xfId="199" builtinId="8" hidden="1"/>
    <cellStyle name="Hyperlink" xfId="201" builtinId="8" hidden="1"/>
    <cellStyle name="Hyperlink" xfId="203" builtinId="8" hidden="1"/>
    <cellStyle name="Hyperlink" xfId="207" builtinId="8" hidden="1"/>
    <cellStyle name="Hyperlink" xfId="209" builtinId="8" hidden="1"/>
    <cellStyle name="Hyperlink" xfId="211" builtinId="8" hidden="1"/>
    <cellStyle name="Hyperlink" xfId="215" builtinId="8" hidden="1"/>
    <cellStyle name="Hyperlink" xfId="217" builtinId="8" hidden="1"/>
    <cellStyle name="Hyperlink" xfId="219" builtinId="8" hidden="1"/>
    <cellStyle name="Hyperlink" xfId="223" builtinId="8" hidden="1"/>
    <cellStyle name="Hyperlink" xfId="225" builtinId="8" hidden="1"/>
    <cellStyle name="Hyperlink" xfId="227" builtinId="8" hidden="1"/>
    <cellStyle name="Hyperlink" xfId="231" builtinId="8" hidden="1"/>
    <cellStyle name="Hyperlink" xfId="233" builtinId="8" hidden="1"/>
    <cellStyle name="Hyperlink" xfId="235" builtinId="8" hidden="1"/>
    <cellStyle name="Hyperlink" xfId="239" builtinId="8" hidden="1"/>
    <cellStyle name="Hyperlink" xfId="241" builtinId="8" hidden="1"/>
    <cellStyle name="Hyperlink" xfId="243" builtinId="8" hidden="1"/>
    <cellStyle name="Hyperlink" xfId="247" builtinId="8" hidden="1"/>
    <cellStyle name="Hyperlink" xfId="249" builtinId="8" hidden="1"/>
    <cellStyle name="Hyperlink" xfId="251" builtinId="8" hidden="1"/>
    <cellStyle name="Hyperlink" xfId="255" builtinId="8" hidden="1"/>
    <cellStyle name="Hyperlink" xfId="257" builtinId="8" hidden="1"/>
    <cellStyle name="Hyperlink" xfId="259" builtinId="8" hidden="1"/>
    <cellStyle name="Hyperlink" xfId="263" builtinId="8" hidden="1"/>
    <cellStyle name="Hyperlink" xfId="265" builtinId="8" hidden="1"/>
    <cellStyle name="Hyperlink" xfId="267" builtinId="8" hidden="1"/>
    <cellStyle name="Hyperlink" xfId="271" builtinId="8" hidden="1"/>
    <cellStyle name="Hyperlink" xfId="273" builtinId="8" hidden="1"/>
    <cellStyle name="Hyperlink" xfId="275" builtinId="8" hidden="1"/>
    <cellStyle name="Hyperlink" xfId="279" builtinId="8" hidden="1"/>
    <cellStyle name="Hyperlink" xfId="281" builtinId="8" hidden="1"/>
    <cellStyle name="Hyperlink" xfId="283" builtinId="8" hidden="1"/>
    <cellStyle name="Hyperlink" xfId="287" builtinId="8" hidden="1"/>
    <cellStyle name="Hyperlink" xfId="289" builtinId="8" hidden="1"/>
    <cellStyle name="Hyperlink" xfId="291" builtinId="8" hidden="1"/>
    <cellStyle name="Hyperlink" xfId="295" builtinId="8" hidden="1"/>
    <cellStyle name="Hyperlink" xfId="297" builtinId="8" hidden="1"/>
    <cellStyle name="Hyperlink" xfId="299" builtinId="8" hidden="1"/>
    <cellStyle name="Hyperlink" xfId="303" builtinId="8" hidden="1"/>
    <cellStyle name="Hyperlink" xfId="305" builtinId="8" hidden="1"/>
    <cellStyle name="Hyperlink" xfId="307" builtinId="8" hidden="1"/>
    <cellStyle name="Hyperlink" xfId="311" builtinId="8" hidden="1"/>
    <cellStyle name="Hyperlink" xfId="313" builtinId="8" hidden="1"/>
    <cellStyle name="Hyperlink" xfId="315" builtinId="8" hidden="1"/>
    <cellStyle name="Hyperlink" xfId="319" builtinId="8" hidden="1"/>
    <cellStyle name="Hyperlink" xfId="321" builtinId="8" hidden="1"/>
    <cellStyle name="Hyperlink" xfId="323" builtinId="8" hidden="1"/>
    <cellStyle name="Hyperlink" xfId="327" builtinId="8" hidden="1"/>
    <cellStyle name="Hyperlink" xfId="329" builtinId="8" hidden="1"/>
    <cellStyle name="Hyperlink" xfId="331" builtinId="8" hidden="1"/>
    <cellStyle name="Hyperlink" xfId="335" builtinId="8" hidden="1"/>
    <cellStyle name="Hyperlink" xfId="337" builtinId="8" hidden="1"/>
    <cellStyle name="Hyperlink" xfId="339" builtinId="8" hidden="1"/>
    <cellStyle name="Hyperlink" xfId="343" builtinId="8" hidden="1"/>
    <cellStyle name="Hyperlink" xfId="345" builtinId="8" hidden="1"/>
    <cellStyle name="Hyperlink" xfId="347" builtinId="8" hidden="1"/>
    <cellStyle name="Hyperlink" xfId="351" builtinId="8" hidden="1"/>
    <cellStyle name="Hyperlink" xfId="353" builtinId="8" hidden="1"/>
    <cellStyle name="Hyperlink" xfId="355" builtinId="8" hidden="1"/>
    <cellStyle name="Hyperlink" xfId="359" builtinId="8" hidden="1"/>
    <cellStyle name="Hyperlink" xfId="361" builtinId="8" hidden="1"/>
    <cellStyle name="Hyperlink" xfId="363" builtinId="8" hidden="1"/>
    <cellStyle name="Hyperlink" xfId="367" builtinId="8" hidden="1"/>
    <cellStyle name="Hyperlink" xfId="369" builtinId="8" hidden="1"/>
    <cellStyle name="Hyperlink" xfId="371" builtinId="8" hidden="1"/>
    <cellStyle name="Hyperlink" xfId="375" builtinId="8" hidden="1"/>
    <cellStyle name="Hyperlink" xfId="377" builtinId="8" hidden="1"/>
    <cellStyle name="Hyperlink" xfId="379" builtinId="8" hidden="1"/>
    <cellStyle name="Hyperlink" xfId="383" builtinId="8" hidden="1"/>
    <cellStyle name="Hyperlink" xfId="385" builtinId="8" hidden="1"/>
    <cellStyle name="Hyperlink" xfId="387" builtinId="8" hidden="1"/>
    <cellStyle name="Hyperlink" xfId="391" builtinId="8" hidden="1"/>
    <cellStyle name="Hyperlink" xfId="393" builtinId="8" hidden="1"/>
    <cellStyle name="Hyperlink" xfId="395" builtinId="8" hidden="1"/>
    <cellStyle name="Hyperlink" xfId="399" builtinId="8" hidden="1"/>
    <cellStyle name="Hyperlink" xfId="401" builtinId="8" hidden="1"/>
    <cellStyle name="Hyperlink" xfId="403" builtinId="8" hidden="1"/>
    <cellStyle name="Hyperlink" xfId="407" builtinId="8" hidden="1"/>
    <cellStyle name="Hyperlink" xfId="409" builtinId="8" hidden="1"/>
    <cellStyle name="Hyperlink" xfId="411" builtinId="8" hidden="1"/>
    <cellStyle name="Hyperlink" xfId="415" builtinId="8" hidden="1"/>
    <cellStyle name="Hyperlink" xfId="417" builtinId="8" hidden="1"/>
    <cellStyle name="Hyperlink" xfId="419" builtinId="8" hidden="1"/>
    <cellStyle name="Hyperlink" xfId="423" builtinId="8" hidden="1"/>
    <cellStyle name="Hyperlink" xfId="425" builtinId="8" hidden="1"/>
    <cellStyle name="Hyperlink" xfId="427" builtinId="8" hidden="1"/>
    <cellStyle name="Hyperlink" xfId="431" builtinId="8" hidden="1"/>
    <cellStyle name="Hyperlink" xfId="433" builtinId="8" hidden="1"/>
    <cellStyle name="Hyperlink" xfId="435" builtinId="8" hidden="1"/>
    <cellStyle name="Hyperlink" xfId="439" builtinId="8" hidden="1"/>
    <cellStyle name="Hyperlink" xfId="441" builtinId="8" hidden="1"/>
    <cellStyle name="Hyperlink" xfId="443" builtinId="8" hidden="1"/>
    <cellStyle name="Hyperlink" xfId="447" builtinId="8" hidden="1"/>
    <cellStyle name="Hyperlink" xfId="449" builtinId="8" hidden="1"/>
    <cellStyle name="Hyperlink" xfId="451" builtinId="8" hidden="1"/>
    <cellStyle name="Hyperlink" xfId="455" builtinId="8" hidden="1"/>
    <cellStyle name="Hyperlink" xfId="457" builtinId="8" hidden="1"/>
    <cellStyle name="Hyperlink" xfId="459" builtinId="8" hidden="1"/>
    <cellStyle name="Hyperlink" xfId="463" builtinId="8" hidden="1"/>
    <cellStyle name="Hyperlink" xfId="465" builtinId="8" hidden="1"/>
    <cellStyle name="Hyperlink" xfId="467" builtinId="8" hidden="1"/>
    <cellStyle name="Hyperlink" xfId="471" builtinId="8" hidden="1"/>
    <cellStyle name="Hyperlink" xfId="473" builtinId="8" hidden="1"/>
    <cellStyle name="Hyperlink" xfId="475" builtinId="8" hidden="1"/>
    <cellStyle name="Hyperlink" xfId="479" builtinId="8" hidden="1"/>
    <cellStyle name="Hyperlink" xfId="481" builtinId="8" hidden="1"/>
    <cellStyle name="Hyperlink" xfId="483" builtinId="8" hidden="1"/>
    <cellStyle name="Hyperlink" xfId="487" builtinId="8" hidden="1"/>
    <cellStyle name="Hyperlink" xfId="489" builtinId="8" hidden="1"/>
    <cellStyle name="Hyperlink" xfId="491" builtinId="8" hidden="1"/>
    <cellStyle name="Hyperlink" xfId="495" builtinId="8" hidden="1"/>
    <cellStyle name="Hyperlink" xfId="499" builtinId="8" hidden="1"/>
    <cellStyle name="Hyperlink" xfId="493" builtinId="8" hidden="1"/>
    <cellStyle name="Hyperlink" xfId="485" builtinId="8" hidden="1"/>
    <cellStyle name="Hyperlink" xfId="477" builtinId="8" hidden="1"/>
    <cellStyle name="Hyperlink" xfId="469" builtinId="8" hidden="1"/>
    <cellStyle name="Hyperlink" xfId="461" builtinId="8" hidden="1"/>
    <cellStyle name="Hyperlink" xfId="453" builtinId="8" hidden="1"/>
    <cellStyle name="Hyperlink" xfId="445" builtinId="8" hidden="1"/>
    <cellStyle name="Hyperlink" xfId="437" builtinId="8" hidden="1"/>
    <cellStyle name="Hyperlink" xfId="429" builtinId="8" hidden="1"/>
    <cellStyle name="Hyperlink" xfId="421" builtinId="8" hidden="1"/>
    <cellStyle name="Hyperlink" xfId="413" builtinId="8" hidden="1"/>
    <cellStyle name="Hyperlink" xfId="405" builtinId="8" hidden="1"/>
    <cellStyle name="Hyperlink" xfId="397" builtinId="8" hidden="1"/>
    <cellStyle name="Hyperlink" xfId="389" builtinId="8" hidden="1"/>
    <cellStyle name="Hyperlink" xfId="381" builtinId="8" hidden="1"/>
    <cellStyle name="Hyperlink" xfId="373" builtinId="8" hidden="1"/>
    <cellStyle name="Hyperlink" xfId="365" builtinId="8" hidden="1"/>
    <cellStyle name="Hyperlink" xfId="357" builtinId="8" hidden="1"/>
    <cellStyle name="Hyperlink" xfId="349" builtinId="8" hidden="1"/>
    <cellStyle name="Hyperlink" xfId="341" builtinId="8" hidden="1"/>
    <cellStyle name="Hyperlink" xfId="333" builtinId="8" hidden="1"/>
    <cellStyle name="Hyperlink" xfId="325" builtinId="8" hidden="1"/>
    <cellStyle name="Hyperlink" xfId="317" builtinId="8" hidden="1"/>
    <cellStyle name="Hyperlink" xfId="309" builtinId="8" hidden="1"/>
    <cellStyle name="Hyperlink" xfId="301" builtinId="8" hidden="1"/>
    <cellStyle name="Hyperlink" xfId="293" builtinId="8" hidden="1"/>
    <cellStyle name="Hyperlink" xfId="285" builtinId="8" hidden="1"/>
    <cellStyle name="Hyperlink" xfId="277" builtinId="8" hidden="1"/>
    <cellStyle name="Hyperlink" xfId="269" builtinId="8" hidden="1"/>
    <cellStyle name="Hyperlink" xfId="261" builtinId="8" hidden="1"/>
    <cellStyle name="Hyperlink" xfId="253" builtinId="8" hidden="1"/>
    <cellStyle name="Hyperlink" xfId="245" builtinId="8" hidden="1"/>
    <cellStyle name="Hyperlink" xfId="237" builtinId="8" hidden="1"/>
    <cellStyle name="Hyperlink" xfId="229" builtinId="8" hidden="1"/>
    <cellStyle name="Hyperlink" xfId="221" builtinId="8" hidden="1"/>
    <cellStyle name="Hyperlink" xfId="213" builtinId="8" hidden="1"/>
    <cellStyle name="Hyperlink" xfId="205" builtinId="8" hidden="1"/>
    <cellStyle name="Hyperlink" xfId="197" builtinId="8" hidden="1"/>
    <cellStyle name="Hyperlink" xfId="82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9" builtinId="8" hidden="1"/>
    <cellStyle name="Hyperlink" xfId="131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81" builtinId="8" hidden="1"/>
    <cellStyle name="Hyperlink" xfId="165" builtinId="8" hidden="1"/>
    <cellStyle name="Hyperlink" xfId="149" builtinId="8" hidden="1"/>
    <cellStyle name="Hyperlink" xfId="133" builtinId="8" hidden="1"/>
    <cellStyle name="Hyperlink" xfId="116" builtinId="8" hidden="1"/>
    <cellStyle name="Hyperlink" xfId="100" builtinId="8" hidden="1"/>
    <cellStyle name="Hyperlink" xfId="84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68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6" builtinId="8" hidden="1"/>
    <cellStyle name="Hyperlink" xfId="38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Normal 2" xfId="497" xr:uid="{00000000-0005-0000-0000-0000F2010000}"/>
    <cellStyle name="Normal 2 2" xfId="498" xr:uid="{00000000-0005-0000-0000-0000F3010000}"/>
    <cellStyle name="Percent" xfId="12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700"/>
              <a:t>Air and Ocean $/unit as</a:t>
            </a:r>
            <a:r>
              <a:rPr lang="en-US" sz="1700" baseline="0"/>
              <a:t> function of holding cost rate</a:t>
            </a:r>
            <a:endParaRPr lang="en-US" sz="17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Air $/unit</c:v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'Senario calculations'!$B$79:$B$119</c:f>
              <c:numCache>
                <c:formatCode>0%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</c:numCache>
            </c:numRef>
          </c:cat>
          <c:val>
            <c:numRef>
              <c:f>'Senario calculations'!$D$79:$D$119</c:f>
              <c:numCache>
                <c:formatCode>"$"#,##0.00;[Red]\-"$"#,##0.00</c:formatCode>
                <c:ptCount val="41"/>
                <c:pt idx="0">
                  <c:v>121.81987264419801</c:v>
                </c:pt>
                <c:pt idx="1">
                  <c:v>122.07441395912019</c:v>
                </c:pt>
                <c:pt idx="2">
                  <c:v>122.3289552740424</c:v>
                </c:pt>
                <c:pt idx="3">
                  <c:v>122.58349658896459</c:v>
                </c:pt>
                <c:pt idx="4">
                  <c:v>122.83803790388677</c:v>
                </c:pt>
                <c:pt idx="5">
                  <c:v>123.09257921880896</c:v>
                </c:pt>
                <c:pt idx="6">
                  <c:v>123.34712053373116</c:v>
                </c:pt>
                <c:pt idx="7">
                  <c:v>123.60166184865334</c:v>
                </c:pt>
                <c:pt idx="8">
                  <c:v>123.85620316357554</c:v>
                </c:pt>
                <c:pt idx="9">
                  <c:v>124.11074447849772</c:v>
                </c:pt>
                <c:pt idx="10">
                  <c:v>124.36528579341991</c:v>
                </c:pt>
                <c:pt idx="11">
                  <c:v>124.61982710834211</c:v>
                </c:pt>
                <c:pt idx="12">
                  <c:v>124.8743684232643</c:v>
                </c:pt>
                <c:pt idx="13">
                  <c:v>125.12890973818648</c:v>
                </c:pt>
                <c:pt idx="14">
                  <c:v>125.38345105310869</c:v>
                </c:pt>
                <c:pt idx="15">
                  <c:v>125.63799236803087</c:v>
                </c:pt>
                <c:pt idx="16">
                  <c:v>125.89253368295304</c:v>
                </c:pt>
                <c:pt idx="17">
                  <c:v>126.14707499787525</c:v>
                </c:pt>
                <c:pt idx="18">
                  <c:v>126.40161631279744</c:v>
                </c:pt>
                <c:pt idx="19">
                  <c:v>126.65615762771962</c:v>
                </c:pt>
                <c:pt idx="20">
                  <c:v>126.91069894264182</c:v>
                </c:pt>
                <c:pt idx="21">
                  <c:v>127.16524025756401</c:v>
                </c:pt>
                <c:pt idx="22">
                  <c:v>127.4197815724862</c:v>
                </c:pt>
                <c:pt idx="23">
                  <c:v>127.67432288740839</c:v>
                </c:pt>
                <c:pt idx="24">
                  <c:v>127.92886420233057</c:v>
                </c:pt>
                <c:pt idx="25">
                  <c:v>128.18340551725277</c:v>
                </c:pt>
                <c:pt idx="26">
                  <c:v>128.43794683217496</c:v>
                </c:pt>
                <c:pt idx="27">
                  <c:v>128.69248814709715</c:v>
                </c:pt>
                <c:pt idx="28">
                  <c:v>128.94702946201934</c:v>
                </c:pt>
                <c:pt idx="29">
                  <c:v>129.20157077694154</c:v>
                </c:pt>
                <c:pt idx="30">
                  <c:v>129.4561120918637</c:v>
                </c:pt>
                <c:pt idx="31">
                  <c:v>129.71065340678589</c:v>
                </c:pt>
                <c:pt idx="32">
                  <c:v>129.96519472170812</c:v>
                </c:pt>
                <c:pt idx="33">
                  <c:v>130.21973603663028</c:v>
                </c:pt>
                <c:pt idx="34">
                  <c:v>130.47427735155247</c:v>
                </c:pt>
                <c:pt idx="35">
                  <c:v>130.72881866647467</c:v>
                </c:pt>
                <c:pt idx="36">
                  <c:v>130.98335998139686</c:v>
                </c:pt>
                <c:pt idx="37">
                  <c:v>131.23790129631905</c:v>
                </c:pt>
                <c:pt idx="38">
                  <c:v>131.49244261124124</c:v>
                </c:pt>
                <c:pt idx="39">
                  <c:v>131.74698392616344</c:v>
                </c:pt>
                <c:pt idx="40">
                  <c:v>132.0015252410856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8-D647-8B61-D38C6B663F82}"/>
            </c:ext>
          </c:extLst>
        </c:ser>
        <c:ser>
          <c:idx val="2"/>
          <c:order val="1"/>
          <c:tx>
            <c:v>Ocean $/unit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'Senario calculations'!$B$79:$B$119</c:f>
              <c:numCache>
                <c:formatCode>0%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</c:numCache>
            </c:numRef>
          </c:cat>
          <c:val>
            <c:numRef>
              <c:f>'Senario calculations'!$C$79:$C$119</c:f>
              <c:numCache>
                <c:formatCode>"$"#,##0.00;[Red]\-"$"#,##0.00</c:formatCode>
                <c:ptCount val="41"/>
                <c:pt idx="0">
                  <c:v>118.91987264419802</c:v>
                </c:pt>
                <c:pt idx="1">
                  <c:v>119.33475504275175</c:v>
                </c:pt>
                <c:pt idx="2">
                  <c:v>119.7496374413055</c:v>
                </c:pt>
                <c:pt idx="3">
                  <c:v>120.1645198398592</c:v>
                </c:pt>
                <c:pt idx="4">
                  <c:v>120.57940223841294</c:v>
                </c:pt>
                <c:pt idx="5">
                  <c:v>120.99428463696667</c:v>
                </c:pt>
                <c:pt idx="6">
                  <c:v>121.40916703552041</c:v>
                </c:pt>
                <c:pt idx="7">
                  <c:v>121.82404943407414</c:v>
                </c:pt>
                <c:pt idx="8">
                  <c:v>122.23893183262788</c:v>
                </c:pt>
                <c:pt idx="9">
                  <c:v>122.65381423118158</c:v>
                </c:pt>
                <c:pt idx="10">
                  <c:v>123.06869662973533</c:v>
                </c:pt>
                <c:pt idx="11">
                  <c:v>123.48357902828906</c:v>
                </c:pt>
                <c:pt idx="12">
                  <c:v>123.8984614268428</c:v>
                </c:pt>
                <c:pt idx="13">
                  <c:v>124.31334382539653</c:v>
                </c:pt>
                <c:pt idx="14">
                  <c:v>124.72822622395027</c:v>
                </c:pt>
                <c:pt idx="15">
                  <c:v>125.14310862250397</c:v>
                </c:pt>
                <c:pt idx="16">
                  <c:v>125.55799102105772</c:v>
                </c:pt>
                <c:pt idx="17">
                  <c:v>125.97287341961145</c:v>
                </c:pt>
                <c:pt idx="18">
                  <c:v>126.38775581816518</c:v>
                </c:pt>
                <c:pt idx="19">
                  <c:v>126.80263821671892</c:v>
                </c:pt>
                <c:pt idx="20">
                  <c:v>127.21752061527263</c:v>
                </c:pt>
                <c:pt idx="21">
                  <c:v>127.63240301382636</c:v>
                </c:pt>
                <c:pt idx="22">
                  <c:v>128.04728541238009</c:v>
                </c:pt>
                <c:pt idx="23">
                  <c:v>128.46216781093383</c:v>
                </c:pt>
                <c:pt idx="24">
                  <c:v>128.87705020948758</c:v>
                </c:pt>
                <c:pt idx="25">
                  <c:v>129.29193260804129</c:v>
                </c:pt>
                <c:pt idx="26">
                  <c:v>129.70681500659501</c:v>
                </c:pt>
                <c:pt idx="27">
                  <c:v>130.12169740514875</c:v>
                </c:pt>
                <c:pt idx="28">
                  <c:v>130.53657980370249</c:v>
                </c:pt>
                <c:pt idx="29">
                  <c:v>130.95146220225621</c:v>
                </c:pt>
                <c:pt idx="30">
                  <c:v>131.36634460080995</c:v>
                </c:pt>
                <c:pt idx="31">
                  <c:v>131.78122699936367</c:v>
                </c:pt>
                <c:pt idx="32">
                  <c:v>132.19610939791741</c:v>
                </c:pt>
                <c:pt idx="33">
                  <c:v>132.61099179647113</c:v>
                </c:pt>
                <c:pt idx="34">
                  <c:v>133.02587419502487</c:v>
                </c:pt>
                <c:pt idx="35">
                  <c:v>133.44075659357861</c:v>
                </c:pt>
                <c:pt idx="36">
                  <c:v>133.85563899213236</c:v>
                </c:pt>
                <c:pt idx="37">
                  <c:v>134.27052139068604</c:v>
                </c:pt>
                <c:pt idx="38">
                  <c:v>134.68540378923979</c:v>
                </c:pt>
                <c:pt idx="39">
                  <c:v>135.10028618779353</c:v>
                </c:pt>
                <c:pt idx="40">
                  <c:v>135.51516858634727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8-D647-8B61-D38C6B663F82}"/>
            </c:ext>
          </c:extLst>
        </c:ser>
        <c:ser>
          <c:idx val="1"/>
          <c:order val="2"/>
          <c:tx>
            <c:v>Max allowable $/unit printer cost</c:v>
          </c:tx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val>
            <c:numRef>
              <c:f>'Senario calculations'!$E$78:$E$119</c:f>
              <c:numCache>
                <c:formatCode>"$"#,##0.00;[Red]\-"$"#,##0.00</c:formatCode>
                <c:ptCount val="42"/>
                <c:pt idx="0">
                  <c:v>128.88000000000002</c:v>
                </c:pt>
                <c:pt idx="1">
                  <c:v>128.88000000000002</c:v>
                </c:pt>
                <c:pt idx="2">
                  <c:v>128.88000000000002</c:v>
                </c:pt>
                <c:pt idx="3">
                  <c:v>128.88000000000002</c:v>
                </c:pt>
                <c:pt idx="4">
                  <c:v>128.88000000000002</c:v>
                </c:pt>
                <c:pt idx="5">
                  <c:v>128.88000000000002</c:v>
                </c:pt>
                <c:pt idx="6">
                  <c:v>128.88000000000002</c:v>
                </c:pt>
                <c:pt idx="7">
                  <c:v>128.88000000000002</c:v>
                </c:pt>
                <c:pt idx="8">
                  <c:v>128.88000000000002</c:v>
                </c:pt>
                <c:pt idx="9">
                  <c:v>128.88000000000002</c:v>
                </c:pt>
                <c:pt idx="10">
                  <c:v>128.88000000000002</c:v>
                </c:pt>
                <c:pt idx="11">
                  <c:v>128.88000000000002</c:v>
                </c:pt>
                <c:pt idx="12">
                  <c:v>128.88000000000002</c:v>
                </c:pt>
                <c:pt idx="13">
                  <c:v>128.88000000000002</c:v>
                </c:pt>
                <c:pt idx="14">
                  <c:v>128.88000000000002</c:v>
                </c:pt>
                <c:pt idx="15">
                  <c:v>128.88000000000002</c:v>
                </c:pt>
                <c:pt idx="16">
                  <c:v>128.88000000000002</c:v>
                </c:pt>
                <c:pt idx="17">
                  <c:v>128.88000000000002</c:v>
                </c:pt>
                <c:pt idx="18">
                  <c:v>128.88000000000002</c:v>
                </c:pt>
                <c:pt idx="19">
                  <c:v>128.88000000000002</c:v>
                </c:pt>
                <c:pt idx="20">
                  <c:v>128.88000000000002</c:v>
                </c:pt>
                <c:pt idx="21">
                  <c:v>128.88000000000002</c:v>
                </c:pt>
                <c:pt idx="22">
                  <c:v>128.88000000000002</c:v>
                </c:pt>
                <c:pt idx="23">
                  <c:v>128.88000000000002</c:v>
                </c:pt>
                <c:pt idx="24">
                  <c:v>128.88000000000002</c:v>
                </c:pt>
                <c:pt idx="25">
                  <c:v>128.88000000000002</c:v>
                </c:pt>
                <c:pt idx="26">
                  <c:v>128.88000000000002</c:v>
                </c:pt>
                <c:pt idx="27">
                  <c:v>128.88000000000002</c:v>
                </c:pt>
                <c:pt idx="28">
                  <c:v>128.88000000000002</c:v>
                </c:pt>
                <c:pt idx="29">
                  <c:v>128.88000000000002</c:v>
                </c:pt>
                <c:pt idx="30">
                  <c:v>128.88000000000002</c:v>
                </c:pt>
                <c:pt idx="31">
                  <c:v>128.88000000000002</c:v>
                </c:pt>
                <c:pt idx="32">
                  <c:v>128.88000000000002</c:v>
                </c:pt>
                <c:pt idx="33">
                  <c:v>128.88000000000002</c:v>
                </c:pt>
                <c:pt idx="34">
                  <c:v>128.88000000000002</c:v>
                </c:pt>
                <c:pt idx="35">
                  <c:v>128.88000000000002</c:v>
                </c:pt>
                <c:pt idx="36">
                  <c:v>128.88000000000002</c:v>
                </c:pt>
                <c:pt idx="37">
                  <c:v>128.88000000000002</c:v>
                </c:pt>
                <c:pt idx="38">
                  <c:v>128.88000000000002</c:v>
                </c:pt>
                <c:pt idx="39">
                  <c:v>128.88000000000002</c:v>
                </c:pt>
                <c:pt idx="40">
                  <c:v>128.88000000000002</c:v>
                </c:pt>
                <c:pt idx="41">
                  <c:v>128.88000000000002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8-D647-8B61-D38C6B663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8259208"/>
        <c:axId val="-2098884792"/>
      </c:lineChart>
      <c:catAx>
        <c:axId val="-209825920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-20988847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-2098884792"/>
        <c:scaling>
          <c:orientation val="minMax"/>
          <c:max val="140"/>
          <c:min val="115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-20982592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700"/>
              <a:t>Air and Ocean $/unit as</a:t>
            </a:r>
            <a:r>
              <a:rPr lang="en-US" sz="1700" baseline="0"/>
              <a:t> function of holding cost rate</a:t>
            </a:r>
            <a:endParaRPr lang="en-US" sz="17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Air $/unit</c:v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'Senario calculations'!$B$84:$B$114</c:f>
              <c:numCache>
                <c:formatCode>0%</c:formatCode>
                <c:ptCount val="3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0.19</c:v>
                </c:pt>
                <c:pt idx="15">
                  <c:v>0.2</c:v>
                </c:pt>
                <c:pt idx="16">
                  <c:v>0.21</c:v>
                </c:pt>
                <c:pt idx="17">
                  <c:v>0.22</c:v>
                </c:pt>
                <c:pt idx="18">
                  <c:v>0.23</c:v>
                </c:pt>
                <c:pt idx="19">
                  <c:v>0.24</c:v>
                </c:pt>
                <c:pt idx="20">
                  <c:v>0.25</c:v>
                </c:pt>
                <c:pt idx="21">
                  <c:v>0.26</c:v>
                </c:pt>
                <c:pt idx="22">
                  <c:v>0.27</c:v>
                </c:pt>
                <c:pt idx="23">
                  <c:v>0.28000000000000003</c:v>
                </c:pt>
                <c:pt idx="24">
                  <c:v>0.28999999999999998</c:v>
                </c:pt>
                <c:pt idx="25">
                  <c:v>0.3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</c:numCache>
            </c:numRef>
          </c:cat>
          <c:val>
            <c:numRef>
              <c:f>'Senario calculations'!$D$84:$D$114</c:f>
              <c:numCache>
                <c:formatCode>"$"#,##0.00;[Red]\-"$"#,##0.00</c:formatCode>
                <c:ptCount val="31"/>
                <c:pt idx="0">
                  <c:v>123.09257921880896</c:v>
                </c:pt>
                <c:pt idx="1">
                  <c:v>123.34712053373116</c:v>
                </c:pt>
                <c:pt idx="2">
                  <c:v>123.60166184865334</c:v>
                </c:pt>
                <c:pt idx="3">
                  <c:v>123.85620316357554</c:v>
                </c:pt>
                <c:pt idx="4">
                  <c:v>124.11074447849772</c:v>
                </c:pt>
                <c:pt idx="5">
                  <c:v>124.36528579341991</c:v>
                </c:pt>
                <c:pt idx="6">
                  <c:v>124.61982710834211</c:v>
                </c:pt>
                <c:pt idx="7">
                  <c:v>124.8743684232643</c:v>
                </c:pt>
                <c:pt idx="8">
                  <c:v>125.12890973818648</c:v>
                </c:pt>
                <c:pt idx="9">
                  <c:v>125.38345105310869</c:v>
                </c:pt>
                <c:pt idx="10">
                  <c:v>125.63799236803087</c:v>
                </c:pt>
                <c:pt idx="11">
                  <c:v>125.89253368295304</c:v>
                </c:pt>
                <c:pt idx="12">
                  <c:v>126.14707499787525</c:v>
                </c:pt>
                <c:pt idx="13">
                  <c:v>126.40161631279744</c:v>
                </c:pt>
                <c:pt idx="14">
                  <c:v>126.65615762771962</c:v>
                </c:pt>
                <c:pt idx="15">
                  <c:v>126.91069894264182</c:v>
                </c:pt>
                <c:pt idx="16">
                  <c:v>127.16524025756401</c:v>
                </c:pt>
                <c:pt idx="17">
                  <c:v>127.4197815724862</c:v>
                </c:pt>
                <c:pt idx="18">
                  <c:v>127.67432288740839</c:v>
                </c:pt>
                <c:pt idx="19">
                  <c:v>127.92886420233057</c:v>
                </c:pt>
                <c:pt idx="20">
                  <c:v>128.18340551725277</c:v>
                </c:pt>
                <c:pt idx="21">
                  <c:v>128.43794683217496</c:v>
                </c:pt>
                <c:pt idx="22">
                  <c:v>128.69248814709715</c:v>
                </c:pt>
                <c:pt idx="23">
                  <c:v>128.94702946201934</c:v>
                </c:pt>
                <c:pt idx="24">
                  <c:v>129.20157077694154</c:v>
                </c:pt>
                <c:pt idx="25">
                  <c:v>129.4561120918637</c:v>
                </c:pt>
                <c:pt idx="26">
                  <c:v>129.71065340678589</c:v>
                </c:pt>
                <c:pt idx="27">
                  <c:v>129.96519472170812</c:v>
                </c:pt>
                <c:pt idx="28">
                  <c:v>130.21973603663028</c:v>
                </c:pt>
                <c:pt idx="29">
                  <c:v>130.47427735155247</c:v>
                </c:pt>
                <c:pt idx="30">
                  <c:v>130.72881866647467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3-7841-9F50-17AA6D61C9EA}"/>
            </c:ext>
          </c:extLst>
        </c:ser>
        <c:ser>
          <c:idx val="2"/>
          <c:order val="1"/>
          <c:tx>
            <c:v>Ocean $/unit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'Senario calculations'!$B$84:$B$114</c:f>
              <c:numCache>
                <c:formatCode>0%</c:formatCode>
                <c:ptCount val="3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0.19</c:v>
                </c:pt>
                <c:pt idx="15">
                  <c:v>0.2</c:v>
                </c:pt>
                <c:pt idx="16">
                  <c:v>0.21</c:v>
                </c:pt>
                <c:pt idx="17">
                  <c:v>0.22</c:v>
                </c:pt>
                <c:pt idx="18">
                  <c:v>0.23</c:v>
                </c:pt>
                <c:pt idx="19">
                  <c:v>0.24</c:v>
                </c:pt>
                <c:pt idx="20">
                  <c:v>0.25</c:v>
                </c:pt>
                <c:pt idx="21">
                  <c:v>0.26</c:v>
                </c:pt>
                <c:pt idx="22">
                  <c:v>0.27</c:v>
                </c:pt>
                <c:pt idx="23">
                  <c:v>0.28000000000000003</c:v>
                </c:pt>
                <c:pt idx="24">
                  <c:v>0.28999999999999998</c:v>
                </c:pt>
                <c:pt idx="25">
                  <c:v>0.3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</c:numCache>
            </c:numRef>
          </c:cat>
          <c:val>
            <c:numRef>
              <c:f>'Senario calculations'!$C$84:$C$114</c:f>
              <c:numCache>
                <c:formatCode>"$"#,##0.00;[Red]\-"$"#,##0.00</c:formatCode>
                <c:ptCount val="31"/>
                <c:pt idx="0">
                  <c:v>120.99428463696667</c:v>
                </c:pt>
                <c:pt idx="1">
                  <c:v>121.40916703552041</c:v>
                </c:pt>
                <c:pt idx="2">
                  <c:v>121.82404943407414</c:v>
                </c:pt>
                <c:pt idx="3">
                  <c:v>122.23893183262788</c:v>
                </c:pt>
                <c:pt idx="4">
                  <c:v>122.65381423118158</c:v>
                </c:pt>
                <c:pt idx="5">
                  <c:v>123.06869662973533</c:v>
                </c:pt>
                <c:pt idx="6">
                  <c:v>123.48357902828906</c:v>
                </c:pt>
                <c:pt idx="7">
                  <c:v>123.8984614268428</c:v>
                </c:pt>
                <c:pt idx="8">
                  <c:v>124.31334382539653</c:v>
                </c:pt>
                <c:pt idx="9">
                  <c:v>124.72822622395027</c:v>
                </c:pt>
                <c:pt idx="10">
                  <c:v>125.14310862250397</c:v>
                </c:pt>
                <c:pt idx="11">
                  <c:v>125.55799102105772</c:v>
                </c:pt>
                <c:pt idx="12">
                  <c:v>125.97287341961145</c:v>
                </c:pt>
                <c:pt idx="13">
                  <c:v>126.38775581816518</c:v>
                </c:pt>
                <c:pt idx="14">
                  <c:v>126.80263821671892</c:v>
                </c:pt>
                <c:pt idx="15">
                  <c:v>127.21752061527263</c:v>
                </c:pt>
                <c:pt idx="16">
                  <c:v>127.63240301382636</c:v>
                </c:pt>
                <c:pt idx="17">
                  <c:v>128.04728541238009</c:v>
                </c:pt>
                <c:pt idx="18">
                  <c:v>128.46216781093383</c:v>
                </c:pt>
                <c:pt idx="19">
                  <c:v>128.87705020948758</c:v>
                </c:pt>
                <c:pt idx="20">
                  <c:v>129.29193260804129</c:v>
                </c:pt>
                <c:pt idx="21">
                  <c:v>129.70681500659501</c:v>
                </c:pt>
                <c:pt idx="22">
                  <c:v>130.12169740514875</c:v>
                </c:pt>
                <c:pt idx="23">
                  <c:v>130.53657980370249</c:v>
                </c:pt>
                <c:pt idx="24">
                  <c:v>130.95146220225621</c:v>
                </c:pt>
                <c:pt idx="25">
                  <c:v>131.36634460080995</c:v>
                </c:pt>
                <c:pt idx="26">
                  <c:v>131.78122699936367</c:v>
                </c:pt>
                <c:pt idx="27">
                  <c:v>132.19610939791741</c:v>
                </c:pt>
                <c:pt idx="28">
                  <c:v>132.61099179647113</c:v>
                </c:pt>
                <c:pt idx="29">
                  <c:v>133.02587419502487</c:v>
                </c:pt>
                <c:pt idx="30">
                  <c:v>133.44075659357861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3-7841-9F50-17AA6D61C9EA}"/>
            </c:ext>
          </c:extLst>
        </c:ser>
        <c:ser>
          <c:idx val="1"/>
          <c:order val="2"/>
          <c:tx>
            <c:v>Maximum allowable printer cost ($/unit)</c:v>
          </c:tx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numRef>
              <c:f>'Senario calculations'!$B$84:$B$114</c:f>
              <c:numCache>
                <c:formatCode>0%</c:formatCode>
                <c:ptCount val="3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0.19</c:v>
                </c:pt>
                <c:pt idx="15">
                  <c:v>0.2</c:v>
                </c:pt>
                <c:pt idx="16">
                  <c:v>0.21</c:v>
                </c:pt>
                <c:pt idx="17">
                  <c:v>0.22</c:v>
                </c:pt>
                <c:pt idx="18">
                  <c:v>0.23</c:v>
                </c:pt>
                <c:pt idx="19">
                  <c:v>0.24</c:v>
                </c:pt>
                <c:pt idx="20">
                  <c:v>0.25</c:v>
                </c:pt>
                <c:pt idx="21">
                  <c:v>0.26</c:v>
                </c:pt>
                <c:pt idx="22">
                  <c:v>0.27</c:v>
                </c:pt>
                <c:pt idx="23">
                  <c:v>0.28000000000000003</c:v>
                </c:pt>
                <c:pt idx="24">
                  <c:v>0.28999999999999998</c:v>
                </c:pt>
                <c:pt idx="25">
                  <c:v>0.3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</c:numCache>
            </c:numRef>
          </c:cat>
          <c:val>
            <c:numRef>
              <c:f>'Senario calculations'!$E$84:$E$114</c:f>
              <c:numCache>
                <c:formatCode>"$"#,##0.00;[Red]\-"$"#,##0.00</c:formatCode>
                <c:ptCount val="31"/>
                <c:pt idx="0">
                  <c:v>128.88000000000002</c:v>
                </c:pt>
                <c:pt idx="1">
                  <c:v>128.88000000000002</c:v>
                </c:pt>
                <c:pt idx="2">
                  <c:v>128.88000000000002</c:v>
                </c:pt>
                <c:pt idx="3">
                  <c:v>128.88000000000002</c:v>
                </c:pt>
                <c:pt idx="4">
                  <c:v>128.88000000000002</c:v>
                </c:pt>
                <c:pt idx="5">
                  <c:v>128.88000000000002</c:v>
                </c:pt>
                <c:pt idx="6">
                  <c:v>128.88000000000002</c:v>
                </c:pt>
                <c:pt idx="7">
                  <c:v>128.88000000000002</c:v>
                </c:pt>
                <c:pt idx="8">
                  <c:v>128.88000000000002</c:v>
                </c:pt>
                <c:pt idx="9">
                  <c:v>128.88000000000002</c:v>
                </c:pt>
                <c:pt idx="10">
                  <c:v>128.88000000000002</c:v>
                </c:pt>
                <c:pt idx="11">
                  <c:v>128.88000000000002</c:v>
                </c:pt>
                <c:pt idx="12">
                  <c:v>128.88000000000002</c:v>
                </c:pt>
                <c:pt idx="13">
                  <c:v>128.88000000000002</c:v>
                </c:pt>
                <c:pt idx="14">
                  <c:v>128.88000000000002</c:v>
                </c:pt>
                <c:pt idx="15">
                  <c:v>128.88000000000002</c:v>
                </c:pt>
                <c:pt idx="16">
                  <c:v>128.88000000000002</c:v>
                </c:pt>
                <c:pt idx="17">
                  <c:v>128.88000000000002</c:v>
                </c:pt>
                <c:pt idx="18">
                  <c:v>128.88000000000002</c:v>
                </c:pt>
                <c:pt idx="19">
                  <c:v>128.88000000000002</c:v>
                </c:pt>
                <c:pt idx="20">
                  <c:v>128.88000000000002</c:v>
                </c:pt>
                <c:pt idx="21">
                  <c:v>128.88000000000002</c:v>
                </c:pt>
                <c:pt idx="22">
                  <c:v>128.88000000000002</c:v>
                </c:pt>
                <c:pt idx="23">
                  <c:v>128.88000000000002</c:v>
                </c:pt>
                <c:pt idx="24">
                  <c:v>128.88000000000002</c:v>
                </c:pt>
                <c:pt idx="25">
                  <c:v>128.88000000000002</c:v>
                </c:pt>
                <c:pt idx="26">
                  <c:v>128.88000000000002</c:v>
                </c:pt>
                <c:pt idx="27">
                  <c:v>128.88000000000002</c:v>
                </c:pt>
                <c:pt idx="28">
                  <c:v>128.88000000000002</c:v>
                </c:pt>
                <c:pt idx="29">
                  <c:v>128.88000000000002</c:v>
                </c:pt>
                <c:pt idx="30">
                  <c:v>128.88000000000002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3-7841-9F50-17AA6D61C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8259208"/>
        <c:axId val="-2098884792"/>
      </c:lineChart>
      <c:catAx>
        <c:axId val="-209825920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-20988847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-2098884792"/>
        <c:scaling>
          <c:orientation val="minMax"/>
          <c:max val="135"/>
          <c:min val="120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-2098259208"/>
        <c:crosses val="autoZero"/>
        <c:crossBetween val="between"/>
        <c:majorUnit val="5"/>
        <c:minorUnit val="2.5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295274</xdr:colOff>
      <xdr:row>68</xdr:row>
      <xdr:rowOff>177800</xdr:rowOff>
    </xdr:from>
    <xdr:to>
      <xdr:col>23</xdr:col>
      <xdr:colOff>812799</xdr:colOff>
      <xdr:row>88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68</xdr:row>
      <xdr:rowOff>171450</xdr:rowOff>
    </xdr:from>
    <xdr:to>
      <xdr:col>15</xdr:col>
      <xdr:colOff>155575</xdr:colOff>
      <xdr:row>88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58C2AA-A22C-7548-A04B-016D81246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641350</xdr:colOff>
      <xdr:row>32</xdr:row>
      <xdr:rowOff>127010</xdr:rowOff>
    </xdr:from>
    <xdr:to>
      <xdr:col>3</xdr:col>
      <xdr:colOff>569380</xdr:colOff>
      <xdr:row>32</xdr:row>
      <xdr:rowOff>127010</xdr:rowOff>
    </xdr:to>
    <xdr:cxnSp macro="">
      <xdr:nvCxnSpPr>
        <xdr:cNvPr id="2" name="AutoShap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>
          <a:cxnSpLocks noChangeShapeType="1"/>
          <a:stCxn id="10" idx="3"/>
          <a:endCxn id="11" idx="1"/>
        </xdr:cNvCxnSpPr>
      </xdr:nvCxnSpPr>
      <xdr:spPr bwMode="auto">
        <a:xfrm>
          <a:off x="1987550" y="5003810"/>
          <a:ext cx="601130" cy="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628650</xdr:colOff>
      <xdr:row>1</xdr:row>
      <xdr:rowOff>146050</xdr:rowOff>
    </xdr:from>
    <xdr:to>
      <xdr:col>2</xdr:col>
      <xdr:colOff>641350</xdr:colOff>
      <xdr:row>6</xdr:row>
      <xdr:rowOff>69850</xdr:rowOff>
    </xdr:to>
    <xdr:sp macro="" textlink="">
      <xdr:nvSpPr>
        <xdr:cNvPr id="3" name="Rectangle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301750" y="29845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Mechanical</a:t>
          </a:r>
          <a:r>
            <a:rPr lang="en-US" sz="1000" baseline="0"/>
            <a:t> components at CM</a:t>
          </a:r>
          <a:endParaRPr lang="en-US" sz="1000"/>
        </a:p>
      </xdr:txBody>
    </xdr:sp>
    <xdr:clientData/>
  </xdr:twoCellAnchor>
  <xdr:twoCellAnchor>
    <xdr:from>
      <xdr:col>1</xdr:col>
      <xdr:colOff>628650</xdr:colOff>
      <xdr:row>11</xdr:row>
      <xdr:rowOff>78320</xdr:rowOff>
    </xdr:from>
    <xdr:to>
      <xdr:col>2</xdr:col>
      <xdr:colOff>641350</xdr:colOff>
      <xdr:row>16</xdr:row>
      <xdr:rowOff>2120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1301750" y="175472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HP_101 </a:t>
          </a:r>
          <a:br>
            <a:rPr lang="en-US" sz="1000"/>
          </a:br>
          <a:r>
            <a:rPr lang="en-US" sz="1000"/>
            <a:t>control </a:t>
          </a:r>
          <a:br>
            <a:rPr lang="en-US" sz="1000"/>
          </a:br>
          <a:r>
            <a:rPr lang="en-US" sz="1000"/>
            <a:t>panel at CM</a:t>
          </a:r>
        </a:p>
      </xdr:txBody>
    </xdr:sp>
    <xdr:clientData/>
  </xdr:twoCellAnchor>
  <xdr:twoCellAnchor>
    <xdr:from>
      <xdr:col>3</xdr:col>
      <xdr:colOff>569380</xdr:colOff>
      <xdr:row>11</xdr:row>
      <xdr:rowOff>78320</xdr:rowOff>
    </xdr:from>
    <xdr:to>
      <xdr:col>4</xdr:col>
      <xdr:colOff>582080</xdr:colOff>
      <xdr:row>16</xdr:row>
      <xdr:rowOff>2120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588680" y="175472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HP_101 assembly </a:t>
          </a:r>
        </a:p>
        <a:p>
          <a:pPr algn="ctr"/>
          <a:r>
            <a:rPr lang="en-US" sz="1000"/>
            <a:t>at CM</a:t>
          </a:r>
        </a:p>
      </xdr:txBody>
    </xdr:sp>
    <xdr:clientData/>
  </xdr:twoCellAnchor>
  <xdr:twoCellAnchor>
    <xdr:from>
      <xdr:col>5</xdr:col>
      <xdr:colOff>514343</xdr:colOff>
      <xdr:row>11</xdr:row>
      <xdr:rowOff>78320</xdr:rowOff>
    </xdr:from>
    <xdr:to>
      <xdr:col>6</xdr:col>
      <xdr:colOff>527043</xdr:colOff>
      <xdr:row>16</xdr:row>
      <xdr:rowOff>2120</xdr:rowOff>
    </xdr:to>
    <xdr:sp macro="" textlink="">
      <xdr:nvSpPr>
        <xdr:cNvPr id="6" name="Rectangle 2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879843" y="175472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900" baseline="0"/>
            <a:t>HP_101 </a:t>
          </a:r>
          <a:br>
            <a:rPr lang="en-US" sz="900" baseline="0"/>
          </a:br>
          <a:r>
            <a:rPr lang="en-US" sz="900" baseline="0"/>
            <a:t>at retailer</a:t>
          </a:r>
        </a:p>
      </xdr:txBody>
    </xdr:sp>
    <xdr:clientData/>
  </xdr:twoCellAnchor>
  <xdr:twoCellAnchor>
    <xdr:from>
      <xdr:col>1</xdr:col>
      <xdr:colOff>628650</xdr:colOff>
      <xdr:row>21</xdr:row>
      <xdr:rowOff>4240</xdr:rowOff>
    </xdr:from>
    <xdr:to>
      <xdr:col>2</xdr:col>
      <xdr:colOff>641350</xdr:colOff>
      <xdr:row>25</xdr:row>
      <xdr:rowOff>80440</xdr:rowOff>
    </xdr:to>
    <xdr:sp macro="" textlink="">
      <xdr:nvSpPr>
        <xdr:cNvPr id="7" name="Rectangle 2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301750" y="320464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HP_146 </a:t>
          </a:r>
          <a:br>
            <a:rPr lang="en-US" sz="1000"/>
          </a:br>
          <a:r>
            <a:rPr lang="en-US" sz="1000"/>
            <a:t>control </a:t>
          </a:r>
          <a:br>
            <a:rPr lang="en-US" sz="1000"/>
          </a:br>
          <a:r>
            <a:rPr lang="en-US" sz="1000"/>
            <a:t>panel at CM</a:t>
          </a:r>
        </a:p>
      </xdr:txBody>
    </xdr:sp>
    <xdr:clientData/>
  </xdr:twoCellAnchor>
  <xdr:twoCellAnchor>
    <xdr:from>
      <xdr:col>3</xdr:col>
      <xdr:colOff>569380</xdr:colOff>
      <xdr:row>21</xdr:row>
      <xdr:rowOff>4240</xdr:rowOff>
    </xdr:from>
    <xdr:to>
      <xdr:col>4</xdr:col>
      <xdr:colOff>582080</xdr:colOff>
      <xdr:row>25</xdr:row>
      <xdr:rowOff>80440</xdr:rowOff>
    </xdr:to>
    <xdr:sp macro="" textlink="">
      <xdr:nvSpPr>
        <xdr:cNvPr id="8" name="Rectangle 2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588680" y="320464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HP_146 assembly </a:t>
          </a:r>
        </a:p>
        <a:p>
          <a:pPr algn="ctr"/>
          <a:r>
            <a:rPr lang="en-US" sz="1000"/>
            <a:t>at CM</a:t>
          </a:r>
        </a:p>
      </xdr:txBody>
    </xdr:sp>
    <xdr:clientData/>
  </xdr:twoCellAnchor>
  <xdr:twoCellAnchor>
    <xdr:from>
      <xdr:col>5</xdr:col>
      <xdr:colOff>514343</xdr:colOff>
      <xdr:row>21</xdr:row>
      <xdr:rowOff>4240</xdr:rowOff>
    </xdr:from>
    <xdr:to>
      <xdr:col>6</xdr:col>
      <xdr:colOff>527043</xdr:colOff>
      <xdr:row>25</xdr:row>
      <xdr:rowOff>80440</xdr:rowOff>
    </xdr:to>
    <xdr:sp macro="" textlink="">
      <xdr:nvSpPr>
        <xdr:cNvPr id="9" name="Rectangle 2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879843" y="320464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fi-FI" sz="900"/>
            <a:t>HP_146 </a:t>
          </a:r>
          <a:br>
            <a:rPr lang="fi-FI" sz="900"/>
          </a:br>
          <a:r>
            <a:rPr lang="fi-FI" sz="900"/>
            <a:t>at retailer</a:t>
          </a:r>
        </a:p>
      </xdr:txBody>
    </xdr:sp>
    <xdr:clientData/>
  </xdr:twoCellAnchor>
  <xdr:twoCellAnchor>
    <xdr:from>
      <xdr:col>1</xdr:col>
      <xdr:colOff>628650</xdr:colOff>
      <xdr:row>30</xdr:row>
      <xdr:rowOff>88910</xdr:rowOff>
    </xdr:from>
    <xdr:to>
      <xdr:col>2</xdr:col>
      <xdr:colOff>641350</xdr:colOff>
      <xdr:row>35</xdr:row>
      <xdr:rowOff>12710</xdr:rowOff>
    </xdr:to>
    <xdr:sp macro="" textlink="">
      <xdr:nvSpPr>
        <xdr:cNvPr id="10" name="Rectangle 2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01750" y="466091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HP_246 </a:t>
          </a:r>
          <a:br>
            <a:rPr lang="en-US" sz="1000"/>
          </a:br>
          <a:r>
            <a:rPr lang="en-US" sz="1000"/>
            <a:t>control </a:t>
          </a:r>
          <a:br>
            <a:rPr lang="en-US" sz="1000"/>
          </a:br>
          <a:r>
            <a:rPr lang="en-US" sz="1000"/>
            <a:t>panel at CM</a:t>
          </a:r>
        </a:p>
      </xdr:txBody>
    </xdr:sp>
    <xdr:clientData/>
  </xdr:twoCellAnchor>
  <xdr:twoCellAnchor>
    <xdr:from>
      <xdr:col>3</xdr:col>
      <xdr:colOff>569380</xdr:colOff>
      <xdr:row>30</xdr:row>
      <xdr:rowOff>88910</xdr:rowOff>
    </xdr:from>
    <xdr:to>
      <xdr:col>4</xdr:col>
      <xdr:colOff>582080</xdr:colOff>
      <xdr:row>35</xdr:row>
      <xdr:rowOff>12710</xdr:rowOff>
    </xdr:to>
    <xdr:sp macro="" textlink="">
      <xdr:nvSpPr>
        <xdr:cNvPr id="11" name="Rectangle 2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2588680" y="466091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HP_246 assembly </a:t>
          </a:r>
        </a:p>
        <a:p>
          <a:pPr algn="ctr"/>
          <a:r>
            <a:rPr lang="en-US" sz="1000"/>
            <a:t>at CM</a:t>
          </a:r>
        </a:p>
      </xdr:txBody>
    </xdr:sp>
    <xdr:clientData/>
  </xdr:twoCellAnchor>
  <xdr:twoCellAnchor>
    <xdr:from>
      <xdr:col>5</xdr:col>
      <xdr:colOff>514343</xdr:colOff>
      <xdr:row>30</xdr:row>
      <xdr:rowOff>88910</xdr:rowOff>
    </xdr:from>
    <xdr:to>
      <xdr:col>6</xdr:col>
      <xdr:colOff>527043</xdr:colOff>
      <xdr:row>35</xdr:row>
      <xdr:rowOff>12710</xdr:rowOff>
    </xdr:to>
    <xdr:sp macro="" textlink="">
      <xdr:nvSpPr>
        <xdr:cNvPr id="12" name="Rectangle 2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879843" y="466091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fi-FI" sz="900"/>
            <a:t>HP_246 </a:t>
          </a:r>
          <a:br>
            <a:rPr lang="fi-FI" sz="900"/>
          </a:br>
          <a:r>
            <a:rPr lang="fi-FI" sz="900"/>
            <a:t>at retailer</a:t>
          </a:r>
        </a:p>
      </xdr:txBody>
    </xdr:sp>
    <xdr:clientData/>
  </xdr:twoCellAnchor>
  <xdr:twoCellAnchor>
    <xdr:from>
      <xdr:col>1</xdr:col>
      <xdr:colOff>628650</xdr:colOff>
      <xdr:row>40</xdr:row>
      <xdr:rowOff>14830</xdr:rowOff>
    </xdr:from>
    <xdr:to>
      <xdr:col>2</xdr:col>
      <xdr:colOff>641350</xdr:colOff>
      <xdr:row>44</xdr:row>
      <xdr:rowOff>91030</xdr:rowOff>
    </xdr:to>
    <xdr:sp macro="" textlink="">
      <xdr:nvSpPr>
        <xdr:cNvPr id="13" name="Rectangle 20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1301750" y="6110830"/>
          <a:ext cx="685800" cy="6858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lIns="0" tIns="0" rIns="0" bIns="0" rtlCol="0" anchor="ctr" anchorCtr="1"/>
        <a:lstStyle/>
        <a:p>
          <a:pPr algn="ctr"/>
          <a:r>
            <a:rPr lang="en-US" sz="1000"/>
            <a:t>Electrical components at CM</a:t>
          </a:r>
        </a:p>
      </xdr:txBody>
    </xdr:sp>
    <xdr:clientData/>
  </xdr:twoCellAnchor>
  <xdr:twoCellAnchor>
    <xdr:from>
      <xdr:col>2</xdr:col>
      <xdr:colOff>641350</xdr:colOff>
      <xdr:row>13</xdr:row>
      <xdr:rowOff>116420</xdr:rowOff>
    </xdr:from>
    <xdr:to>
      <xdr:col>3</xdr:col>
      <xdr:colOff>569380</xdr:colOff>
      <xdr:row>13</xdr:row>
      <xdr:rowOff>116420</xdr:rowOff>
    </xdr:to>
    <xdr:cxnSp macro="">
      <xdr:nvCxnSpPr>
        <xdr:cNvPr id="14" name="AutoShape 6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  <a:stCxn id="4" idx="3"/>
          <a:endCxn id="5" idx="1"/>
        </xdr:cNvCxnSpPr>
      </xdr:nvCxnSpPr>
      <xdr:spPr bwMode="auto">
        <a:xfrm>
          <a:off x="1987550" y="2097620"/>
          <a:ext cx="601130" cy="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23</xdr:row>
      <xdr:rowOff>42340</xdr:rowOff>
    </xdr:from>
    <xdr:to>
      <xdr:col>3</xdr:col>
      <xdr:colOff>569380</xdr:colOff>
      <xdr:row>23</xdr:row>
      <xdr:rowOff>42340</xdr:rowOff>
    </xdr:to>
    <xdr:cxnSp macro="">
      <xdr:nvCxnSpPr>
        <xdr:cNvPr id="15" name="AutoShape 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cxnSpLocks noChangeShapeType="1"/>
          <a:stCxn id="7" idx="3"/>
          <a:endCxn id="8" idx="1"/>
        </xdr:cNvCxnSpPr>
      </xdr:nvCxnSpPr>
      <xdr:spPr bwMode="auto">
        <a:xfrm>
          <a:off x="1987550" y="3547540"/>
          <a:ext cx="601130" cy="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4</xdr:row>
      <xdr:rowOff>31750</xdr:rowOff>
    </xdr:from>
    <xdr:to>
      <xdr:col>3</xdr:col>
      <xdr:colOff>569380</xdr:colOff>
      <xdr:row>13</xdr:row>
      <xdr:rowOff>116420</xdr:rowOff>
    </xdr:to>
    <xdr:cxnSp macro="">
      <xdr:nvCxnSpPr>
        <xdr:cNvPr id="16" name="AutoShape 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cxnSpLocks noChangeShapeType="1"/>
          <a:stCxn id="3" idx="3"/>
          <a:endCxn id="5" idx="1"/>
        </xdr:cNvCxnSpPr>
      </xdr:nvCxnSpPr>
      <xdr:spPr bwMode="auto">
        <a:xfrm>
          <a:off x="1987550" y="641350"/>
          <a:ext cx="601130" cy="145627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4</xdr:row>
      <xdr:rowOff>31750</xdr:rowOff>
    </xdr:from>
    <xdr:to>
      <xdr:col>3</xdr:col>
      <xdr:colOff>569380</xdr:colOff>
      <xdr:row>23</xdr:row>
      <xdr:rowOff>42340</xdr:rowOff>
    </xdr:to>
    <xdr:cxnSp macro="">
      <xdr:nvCxnSpPr>
        <xdr:cNvPr id="17" name="AutoShape 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cxnSpLocks noChangeShapeType="1"/>
          <a:stCxn id="3" idx="3"/>
          <a:endCxn id="8" idx="1"/>
        </xdr:cNvCxnSpPr>
      </xdr:nvCxnSpPr>
      <xdr:spPr bwMode="auto">
        <a:xfrm>
          <a:off x="1987550" y="641350"/>
          <a:ext cx="601130" cy="290619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4</xdr:row>
      <xdr:rowOff>31750</xdr:rowOff>
    </xdr:from>
    <xdr:to>
      <xdr:col>3</xdr:col>
      <xdr:colOff>569380</xdr:colOff>
      <xdr:row>32</xdr:row>
      <xdr:rowOff>127010</xdr:rowOff>
    </xdr:to>
    <xdr:cxnSp macro="">
      <xdr:nvCxnSpPr>
        <xdr:cNvPr id="18" name="AutoShape 6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cxnSpLocks noChangeShapeType="1"/>
          <a:stCxn id="3" idx="3"/>
          <a:endCxn id="11" idx="1"/>
        </xdr:cNvCxnSpPr>
      </xdr:nvCxnSpPr>
      <xdr:spPr bwMode="auto">
        <a:xfrm>
          <a:off x="1987550" y="641350"/>
          <a:ext cx="601130" cy="436246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32</xdr:row>
      <xdr:rowOff>127010</xdr:rowOff>
    </xdr:from>
    <xdr:to>
      <xdr:col>3</xdr:col>
      <xdr:colOff>569380</xdr:colOff>
      <xdr:row>42</xdr:row>
      <xdr:rowOff>52930</xdr:rowOff>
    </xdr:to>
    <xdr:cxnSp macro="">
      <xdr:nvCxnSpPr>
        <xdr:cNvPr id="19" name="AutoShape 6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cxnSpLocks noChangeShapeType="1"/>
          <a:stCxn id="13" idx="3"/>
          <a:endCxn id="11" idx="1"/>
        </xdr:cNvCxnSpPr>
      </xdr:nvCxnSpPr>
      <xdr:spPr bwMode="auto">
        <a:xfrm flipV="1">
          <a:off x="1987550" y="5003810"/>
          <a:ext cx="601130" cy="144992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23</xdr:row>
      <xdr:rowOff>42340</xdr:rowOff>
    </xdr:from>
    <xdr:to>
      <xdr:col>3</xdr:col>
      <xdr:colOff>569380</xdr:colOff>
      <xdr:row>42</xdr:row>
      <xdr:rowOff>52930</xdr:rowOff>
    </xdr:to>
    <xdr:cxnSp macro="">
      <xdr:nvCxnSpPr>
        <xdr:cNvPr id="20" name="AutoShape 6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cxnSpLocks noChangeShapeType="1"/>
          <a:stCxn id="13" idx="3"/>
          <a:endCxn id="8" idx="1"/>
        </xdr:cNvCxnSpPr>
      </xdr:nvCxnSpPr>
      <xdr:spPr bwMode="auto">
        <a:xfrm flipV="1">
          <a:off x="1987550" y="3547540"/>
          <a:ext cx="601130" cy="290619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641350</xdr:colOff>
      <xdr:row>13</xdr:row>
      <xdr:rowOff>116420</xdr:rowOff>
    </xdr:from>
    <xdr:to>
      <xdr:col>3</xdr:col>
      <xdr:colOff>569380</xdr:colOff>
      <xdr:row>42</xdr:row>
      <xdr:rowOff>52930</xdr:rowOff>
    </xdr:to>
    <xdr:cxnSp macro="">
      <xdr:nvCxnSpPr>
        <xdr:cNvPr id="21" name="AutoShape 6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cxnSpLocks noChangeShapeType="1"/>
          <a:stCxn id="13" idx="3"/>
          <a:endCxn id="5" idx="1"/>
        </xdr:cNvCxnSpPr>
      </xdr:nvCxnSpPr>
      <xdr:spPr bwMode="auto">
        <a:xfrm flipV="1">
          <a:off x="1987550" y="2097620"/>
          <a:ext cx="601130" cy="435611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582080</xdr:colOff>
      <xdr:row>32</xdr:row>
      <xdr:rowOff>127010</xdr:rowOff>
    </xdr:from>
    <xdr:to>
      <xdr:col>5</xdr:col>
      <xdr:colOff>514343</xdr:colOff>
      <xdr:row>32</xdr:row>
      <xdr:rowOff>127010</xdr:rowOff>
    </xdr:to>
    <xdr:cxnSp macro="">
      <xdr:nvCxnSpPr>
        <xdr:cNvPr id="22" name="AutoShape 6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cxnSpLocks noChangeShapeType="1"/>
          <a:stCxn id="11" idx="3"/>
          <a:endCxn id="12" idx="1"/>
        </xdr:cNvCxnSpPr>
      </xdr:nvCxnSpPr>
      <xdr:spPr bwMode="auto">
        <a:xfrm>
          <a:off x="3274480" y="5003810"/>
          <a:ext cx="605363" cy="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582080</xdr:colOff>
      <xdr:row>23</xdr:row>
      <xdr:rowOff>42340</xdr:rowOff>
    </xdr:from>
    <xdr:to>
      <xdr:col>5</xdr:col>
      <xdr:colOff>514343</xdr:colOff>
      <xdr:row>23</xdr:row>
      <xdr:rowOff>42340</xdr:rowOff>
    </xdr:to>
    <xdr:cxnSp macro="">
      <xdr:nvCxnSpPr>
        <xdr:cNvPr id="23" name="AutoShape 6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cxnSpLocks noChangeShapeType="1"/>
          <a:stCxn id="8" idx="3"/>
          <a:endCxn id="9" idx="1"/>
        </xdr:cNvCxnSpPr>
      </xdr:nvCxnSpPr>
      <xdr:spPr bwMode="auto">
        <a:xfrm>
          <a:off x="3274480" y="3547540"/>
          <a:ext cx="605363" cy="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582080</xdr:colOff>
      <xdr:row>13</xdr:row>
      <xdr:rowOff>116420</xdr:rowOff>
    </xdr:from>
    <xdr:to>
      <xdr:col>5</xdr:col>
      <xdr:colOff>514343</xdr:colOff>
      <xdr:row>13</xdr:row>
      <xdr:rowOff>116420</xdr:rowOff>
    </xdr:to>
    <xdr:cxnSp macro="">
      <xdr:nvCxnSpPr>
        <xdr:cNvPr id="24" name="AutoShape 6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cxnSpLocks noChangeShapeType="1"/>
          <a:stCxn id="5" idx="3"/>
          <a:endCxn id="6" idx="1"/>
        </xdr:cNvCxnSpPr>
      </xdr:nvCxnSpPr>
      <xdr:spPr bwMode="auto">
        <a:xfrm>
          <a:off x="3274480" y="2097620"/>
          <a:ext cx="605363" cy="0"/>
        </a:xfrm>
        <a:prstGeom prst="straightConnector1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551386</xdr:colOff>
      <xdr:row>25</xdr:row>
      <xdr:rowOff>77265</xdr:rowOff>
    </xdr:from>
    <xdr:to>
      <xdr:col>5</xdr:col>
      <xdr:colOff>646635</xdr:colOff>
      <xdr:row>28</xdr:row>
      <xdr:rowOff>134415</xdr:rowOff>
    </xdr:to>
    <xdr:sp macro="" textlink="">
      <xdr:nvSpPr>
        <xdr:cNvPr id="25" name="Text Box 7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2570686" y="3887265"/>
          <a:ext cx="144144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$108.44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$114.44</a:t>
          </a:r>
        </a:p>
      </xdr:txBody>
    </xdr:sp>
    <xdr:clientData/>
  </xdr:twoCellAnchor>
  <xdr:twoCellAnchor>
    <xdr:from>
      <xdr:col>3</xdr:col>
      <xdr:colOff>568320</xdr:colOff>
      <xdr:row>16</xdr:row>
      <xdr:rowOff>1067</xdr:rowOff>
    </xdr:from>
    <xdr:to>
      <xdr:col>5</xdr:col>
      <xdr:colOff>667802</xdr:colOff>
      <xdr:row>19</xdr:row>
      <xdr:rowOff>58217</xdr:rowOff>
    </xdr:to>
    <xdr:sp macro="" textlink="">
      <xdr:nvSpPr>
        <xdr:cNvPr id="26" name="Text Box 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587620" y="2439467"/>
          <a:ext cx="1445682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$108.44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$114.44</a:t>
          </a:r>
        </a:p>
      </xdr:txBody>
    </xdr:sp>
    <xdr:clientData/>
  </xdr:twoCellAnchor>
  <xdr:twoCellAnchor>
    <xdr:from>
      <xdr:col>5</xdr:col>
      <xdr:colOff>511169</xdr:colOff>
      <xdr:row>16</xdr:row>
      <xdr:rowOff>1066</xdr:rowOff>
    </xdr:from>
    <xdr:to>
      <xdr:col>7</xdr:col>
      <xdr:colOff>602186</xdr:colOff>
      <xdr:row>19</xdr:row>
      <xdr:rowOff>58216</xdr:rowOff>
    </xdr:to>
    <xdr:sp macro="" textlink="">
      <xdr:nvSpPr>
        <xdr:cNvPr id="27" name="Text Box 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3876669" y="2439466"/>
          <a:ext cx="1437217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$114.44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$121.64</a:t>
          </a:r>
        </a:p>
      </xdr:txBody>
    </xdr:sp>
    <xdr:clientData/>
  </xdr:twoCellAnchor>
  <xdr:twoCellAnchor>
    <xdr:from>
      <xdr:col>5</xdr:col>
      <xdr:colOff>509053</xdr:colOff>
      <xdr:row>25</xdr:row>
      <xdr:rowOff>77269</xdr:rowOff>
    </xdr:from>
    <xdr:to>
      <xdr:col>7</xdr:col>
      <xdr:colOff>604303</xdr:colOff>
      <xdr:row>28</xdr:row>
      <xdr:rowOff>134419</xdr:rowOff>
    </xdr:to>
    <xdr:sp macro="" textlink="">
      <xdr:nvSpPr>
        <xdr:cNvPr id="28" name="Text Box 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3874553" y="3887269"/>
          <a:ext cx="14414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$114.44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$121.64</a:t>
          </a:r>
        </a:p>
      </xdr:txBody>
    </xdr:sp>
    <xdr:clientData/>
  </xdr:twoCellAnchor>
  <xdr:twoCellAnchor>
    <xdr:from>
      <xdr:col>3</xdr:col>
      <xdr:colOff>564086</xdr:colOff>
      <xdr:row>35</xdr:row>
      <xdr:rowOff>9535</xdr:rowOff>
    </xdr:from>
    <xdr:to>
      <xdr:col>5</xdr:col>
      <xdr:colOff>663568</xdr:colOff>
      <xdr:row>38</xdr:row>
      <xdr:rowOff>66685</xdr:rowOff>
    </xdr:to>
    <xdr:sp macro="" textlink="">
      <xdr:nvSpPr>
        <xdr:cNvPr id="29" name="Text Box 7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2583386" y="5343535"/>
          <a:ext cx="1445682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$110.12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$116.12</a:t>
          </a:r>
        </a:p>
      </xdr:txBody>
    </xdr:sp>
    <xdr:clientData/>
  </xdr:twoCellAnchor>
  <xdr:twoCellAnchor>
    <xdr:from>
      <xdr:col>5</xdr:col>
      <xdr:colOff>513286</xdr:colOff>
      <xdr:row>35</xdr:row>
      <xdr:rowOff>9539</xdr:rowOff>
    </xdr:from>
    <xdr:to>
      <xdr:col>7</xdr:col>
      <xdr:colOff>604303</xdr:colOff>
      <xdr:row>38</xdr:row>
      <xdr:rowOff>66689</xdr:rowOff>
    </xdr:to>
    <xdr:sp macro="" textlink="">
      <xdr:nvSpPr>
        <xdr:cNvPr id="30" name="Text Box 7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3878786" y="5343539"/>
          <a:ext cx="1437217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$116.12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$123.32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+mn-lt"/>
            <a:ea typeface="Arial"/>
            <a:cs typeface="Arial"/>
          </a:endParaRPr>
        </a:p>
      </xdr:txBody>
    </xdr:sp>
    <xdr:clientData/>
  </xdr:twoCellAnchor>
  <xdr:twoCellAnchor>
    <xdr:from>
      <xdr:col>1</xdr:col>
      <xdr:colOff>624435</xdr:colOff>
      <xdr:row>35</xdr:row>
      <xdr:rowOff>9535</xdr:rowOff>
    </xdr:from>
    <xdr:to>
      <xdr:col>4</xdr:col>
      <xdr:colOff>38118</xdr:colOff>
      <xdr:row>38</xdr:row>
      <xdr:rowOff>66685</xdr:rowOff>
    </xdr:to>
    <xdr:sp macro="" textlink="">
      <xdr:nvSpPr>
        <xdr:cNvPr id="31" name="Text Box 7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1297535" y="5343535"/>
          <a:ext cx="1432983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6 weeks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$4.08</a:t>
          </a:r>
        </a:p>
      </xdr:txBody>
    </xdr:sp>
    <xdr:clientData/>
  </xdr:twoCellAnchor>
  <xdr:twoCellAnchor>
    <xdr:from>
      <xdr:col>1</xdr:col>
      <xdr:colOff>624435</xdr:colOff>
      <xdr:row>44</xdr:row>
      <xdr:rowOff>87855</xdr:rowOff>
    </xdr:from>
    <xdr:to>
      <xdr:col>4</xdr:col>
      <xdr:colOff>38118</xdr:colOff>
      <xdr:row>47</xdr:row>
      <xdr:rowOff>145005</xdr:rowOff>
    </xdr:to>
    <xdr:sp macro="" textlink="">
      <xdr:nvSpPr>
        <xdr:cNvPr id="32" name="Text Box 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1297535" y="6793455"/>
          <a:ext cx="1432983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12 weeks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$69.36</a:t>
          </a:r>
        </a:p>
      </xdr:txBody>
    </xdr:sp>
    <xdr:clientData/>
  </xdr:twoCellAnchor>
  <xdr:twoCellAnchor>
    <xdr:from>
      <xdr:col>1</xdr:col>
      <xdr:colOff>624435</xdr:colOff>
      <xdr:row>25</xdr:row>
      <xdr:rowOff>77265</xdr:rowOff>
    </xdr:from>
    <xdr:to>
      <xdr:col>4</xdr:col>
      <xdr:colOff>38118</xdr:colOff>
      <xdr:row>28</xdr:row>
      <xdr:rowOff>134415</xdr:rowOff>
    </xdr:to>
    <xdr:sp macro="" textlink="">
      <xdr:nvSpPr>
        <xdr:cNvPr id="33" name="Text Box 7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1297535" y="3887265"/>
          <a:ext cx="1432983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4 weeks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$2.40</a:t>
          </a:r>
        </a:p>
      </xdr:txBody>
    </xdr:sp>
    <xdr:clientData/>
  </xdr:twoCellAnchor>
  <xdr:twoCellAnchor>
    <xdr:from>
      <xdr:col>1</xdr:col>
      <xdr:colOff>624435</xdr:colOff>
      <xdr:row>15</xdr:row>
      <xdr:rowOff>151345</xdr:rowOff>
    </xdr:from>
    <xdr:to>
      <xdr:col>4</xdr:col>
      <xdr:colOff>38118</xdr:colOff>
      <xdr:row>19</xdr:row>
      <xdr:rowOff>56095</xdr:rowOff>
    </xdr:to>
    <xdr:sp macro="" textlink="">
      <xdr:nvSpPr>
        <xdr:cNvPr id="34" name="Text Box 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297535" y="2437345"/>
          <a:ext cx="1432983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= 4 weeks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$2.40</a:t>
          </a:r>
        </a:p>
      </xdr:txBody>
    </xdr:sp>
    <xdr:clientData/>
  </xdr:twoCellAnchor>
  <xdr:twoCellAnchor>
    <xdr:from>
      <xdr:col>1</xdr:col>
      <xdr:colOff>624435</xdr:colOff>
      <xdr:row>6</xdr:row>
      <xdr:rowOff>69850</xdr:rowOff>
    </xdr:from>
    <xdr:to>
      <xdr:col>4</xdr:col>
      <xdr:colOff>38118</xdr:colOff>
      <xdr:row>9</xdr:row>
      <xdr:rowOff>127000</xdr:rowOff>
    </xdr:to>
    <xdr:sp macro="" textlink="">
      <xdr:nvSpPr>
        <xdr:cNvPr id="35" name="Text Box 7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1297535" y="984250"/>
          <a:ext cx="1432983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t" anchorCtr="0" upright="1">
          <a:noAutofit/>
        </a:bodyPr>
        <a:lstStyle/>
        <a:p>
          <a:pPr algn="l" rtl="0">
            <a:defRPr sz="1000"/>
          </a:pPr>
          <a:r>
            <a:rPr lang="pl-PL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RP = 1 week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LT = 8 weeks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IC = $0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CC= $36.68</a:t>
          </a:r>
        </a:p>
      </xdr:txBody>
    </xdr:sp>
    <xdr:clientData/>
  </xdr:twoCellAnchor>
  <xdr:twoCellAnchor>
    <xdr:from>
      <xdr:col>4</xdr:col>
      <xdr:colOff>508000</xdr:colOff>
      <xdr:row>41</xdr:row>
      <xdr:rowOff>16939</xdr:rowOff>
    </xdr:from>
    <xdr:to>
      <xdr:col>8</xdr:col>
      <xdr:colOff>76214</xdr:colOff>
      <xdr:row>46</xdr:row>
      <xdr:rowOff>76206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pSpPr/>
      </xdr:nvGrpSpPr>
      <xdr:grpSpPr>
        <a:xfrm>
          <a:off x="2488248" y="7099015"/>
          <a:ext cx="1969466" cy="918660"/>
          <a:chOff x="9101654" y="4267200"/>
          <a:chExt cx="2260614" cy="821267"/>
        </a:xfrm>
      </xdr:grpSpPr>
      <xdr:sp macro="" textlink="">
        <xdr:nvSpPr>
          <xdr:cNvPr id="37" name="Text Box 7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01654" y="4267202"/>
            <a:ext cx="1075279" cy="82126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27432" rIns="36576" bIns="0" anchor="t" anchorCtr="0" upright="1">
            <a:no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where </a:t>
            </a:r>
          </a:p>
        </xdr:txBody>
      </xdr:sp>
      <xdr:sp macro="" textlink="">
        <xdr:nvSpPr>
          <xdr:cNvPr id="38" name="Text Box 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57264" y="4267200"/>
            <a:ext cx="1905004" cy="8212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27432" rIns="36576" bIns="0" anchor="t" anchorCtr="0" upright="1">
            <a:no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RP = review period </a:t>
            </a:r>
            <a:b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</a:br>
            <a: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LT = lead time</a:t>
            </a:r>
          </a:p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RP = review period </a:t>
            </a:r>
            <a:b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</a:br>
            <a: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IC = incoming cost</a:t>
            </a:r>
          </a:p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OC = cumulative cost</a:t>
            </a:r>
          </a:p>
        </xdr:txBody>
      </xdr:sp>
    </xdr:grpSp>
    <xdr:clientData/>
  </xdr:twoCellAnchor>
  <xdr:twoCellAnchor>
    <xdr:from>
      <xdr:col>6</xdr:col>
      <xdr:colOff>560003</xdr:colOff>
      <xdr:row>20</xdr:row>
      <xdr:rowOff>150290</xdr:rowOff>
    </xdr:from>
    <xdr:to>
      <xdr:col>8</xdr:col>
      <xdr:colOff>655253</xdr:colOff>
      <xdr:row>25</xdr:row>
      <xdr:rowOff>86790</xdr:rowOff>
    </xdr:to>
    <xdr:sp macro="" textlink="">
      <xdr:nvSpPr>
        <xdr:cNvPr id="39" name="Text Box 7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4598603" y="3198290"/>
          <a:ext cx="1441450" cy="698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ctr" anchorCtr="0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 charset="2"/>
              <a:ea typeface="Arial"/>
              <a:cs typeface="Symbol" charset="2"/>
            </a:rPr>
            <a:t>m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 = 10,116 printers/wk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 charset="2"/>
              <a:ea typeface="Arial"/>
              <a:cs typeface="Symbol" charset="2"/>
            </a:rPr>
            <a:t>s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 = 5,732 printers/wk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+mn-lt"/>
            <a:ea typeface="Arial"/>
            <a:cs typeface="Arial"/>
          </a:endParaRPr>
        </a:p>
      </xdr:txBody>
    </xdr:sp>
    <xdr:clientData/>
  </xdr:twoCellAnchor>
  <xdr:twoCellAnchor>
    <xdr:from>
      <xdr:col>6</xdr:col>
      <xdr:colOff>563178</xdr:colOff>
      <xdr:row>11</xdr:row>
      <xdr:rowOff>71970</xdr:rowOff>
    </xdr:from>
    <xdr:to>
      <xdr:col>8</xdr:col>
      <xdr:colOff>658428</xdr:colOff>
      <xdr:row>16</xdr:row>
      <xdr:rowOff>8470</xdr:rowOff>
    </xdr:to>
    <xdr:sp macro="" textlink="">
      <xdr:nvSpPr>
        <xdr:cNvPr id="40" name="Text Box 7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4601778" y="1748370"/>
          <a:ext cx="1441450" cy="698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ctr" anchorCtr="0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 charset="2"/>
              <a:ea typeface="Arial"/>
              <a:cs typeface="Symbol" charset="2"/>
            </a:rPr>
            <a:t>m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 = 10,105 printers/wk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 charset="2"/>
              <a:ea typeface="Arial"/>
              <a:cs typeface="Symbol" charset="2"/>
            </a:rPr>
            <a:t>s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 = 5,766 printers/wk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+mn-lt"/>
            <a:ea typeface="Arial"/>
            <a:cs typeface="Arial"/>
          </a:endParaRPr>
        </a:p>
      </xdr:txBody>
    </xdr:sp>
    <xdr:clientData/>
  </xdr:twoCellAnchor>
  <xdr:twoCellAnchor>
    <xdr:from>
      <xdr:col>6</xdr:col>
      <xdr:colOff>563178</xdr:colOff>
      <xdr:row>30</xdr:row>
      <xdr:rowOff>82560</xdr:rowOff>
    </xdr:from>
    <xdr:to>
      <xdr:col>8</xdr:col>
      <xdr:colOff>658428</xdr:colOff>
      <xdr:row>35</xdr:row>
      <xdr:rowOff>19060</xdr:rowOff>
    </xdr:to>
    <xdr:sp macro="" textlink="">
      <xdr:nvSpPr>
        <xdr:cNvPr id="41" name="Text Box 7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4601778" y="4654560"/>
          <a:ext cx="1441450" cy="698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27432" rIns="36576" bIns="0" anchor="ctr" anchorCtr="0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 charset="2"/>
              <a:ea typeface="Arial"/>
              <a:cs typeface="Symbol" charset="2"/>
            </a:rPr>
            <a:t>m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 = 4,042 printers/wk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 charset="2"/>
              <a:ea typeface="Arial"/>
              <a:cs typeface="Symbol" charset="2"/>
            </a:rPr>
            <a:t>s</a:t>
          </a:r>
          <a:r>
            <a:rPr lang="en-US"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rPr>
            <a:t> = 4,613 printers/wk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+mn-lt"/>
            <a:ea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9"/>
  <sheetViews>
    <sheetView showGridLines="0" tabSelected="1" topLeftCell="A30" zoomScale="85" zoomScaleNormal="85" zoomScalePageLayoutView="200" workbookViewId="0">
      <pane ySplit="1680" topLeftCell="A16" activePane="bottomLeft"/>
      <selection activeCell="F35" sqref="F35"/>
      <selection pane="bottomLeft" activeCell="Q27" sqref="Q27"/>
    </sheetView>
  </sheetViews>
  <sheetFormatPr defaultColWidth="10.77734375" defaultRowHeight="14.4" x14ac:dyDescent="0.3"/>
  <cols>
    <col min="1" max="1" width="2.77734375" customWidth="1"/>
    <col min="2" max="2" width="20.109375" customWidth="1"/>
    <col min="3" max="3" width="13.109375" bestFit="1" customWidth="1"/>
    <col min="4" max="4" width="11.33203125" bestFit="1" customWidth="1"/>
    <col min="5" max="5" width="9.77734375" customWidth="1"/>
    <col min="6" max="12" width="8.77734375" customWidth="1"/>
    <col min="13" max="13" width="10.33203125" customWidth="1"/>
    <col min="14" max="15" width="8.77734375" customWidth="1"/>
    <col min="16" max="16" width="9.6640625" customWidth="1"/>
    <col min="17" max="17" width="17.6640625" customWidth="1"/>
    <col min="18" max="18" width="9.6640625" customWidth="1"/>
    <col min="21" max="21" width="11" bestFit="1" customWidth="1"/>
    <col min="22" max="22" width="13.33203125" bestFit="1" customWidth="1"/>
    <col min="23" max="23" width="11.6640625" bestFit="1" customWidth="1"/>
  </cols>
  <sheetData>
    <row r="1" spans="2:18" x14ac:dyDescent="0.3">
      <c r="B1" t="s">
        <v>57</v>
      </c>
      <c r="C1" s="1"/>
      <c r="G1" t="s">
        <v>58</v>
      </c>
    </row>
    <row r="2" spans="2:18" ht="43.2" x14ac:dyDescent="0.3">
      <c r="C2" s="9" t="s">
        <v>39</v>
      </c>
      <c r="D2" s="9" t="s">
        <v>34</v>
      </c>
      <c r="H2" s="9" t="s">
        <v>61</v>
      </c>
      <c r="I2" s="9" t="s">
        <v>56</v>
      </c>
      <c r="Q2" s="4"/>
    </row>
    <row r="3" spans="2:18" x14ac:dyDescent="0.3">
      <c r="B3" s="5" t="s">
        <v>25</v>
      </c>
      <c r="C3" s="6">
        <v>36.68</v>
      </c>
      <c r="D3" s="11">
        <v>8</v>
      </c>
      <c r="G3" s="5" t="s">
        <v>10</v>
      </c>
      <c r="H3" s="10">
        <v>10104.806792307694</v>
      </c>
      <c r="I3" s="10">
        <v>5766.0037797297891</v>
      </c>
      <c r="Q3" s="4"/>
    </row>
    <row r="4" spans="2:18" x14ac:dyDescent="0.3">
      <c r="B4" s="5" t="s">
        <v>26</v>
      </c>
      <c r="C4" s="6">
        <v>69.36</v>
      </c>
      <c r="D4" s="11">
        <v>12</v>
      </c>
      <c r="G4" s="5" t="s">
        <v>11</v>
      </c>
      <c r="H4" s="10">
        <v>10115.842432692307</v>
      </c>
      <c r="I4" s="10">
        <v>5732.2078798314542</v>
      </c>
    </row>
    <row r="5" spans="2:18" x14ac:dyDescent="0.3">
      <c r="B5" s="5" t="s">
        <v>7</v>
      </c>
      <c r="C5" s="6">
        <v>2.4</v>
      </c>
      <c r="D5" s="11">
        <v>4</v>
      </c>
      <c r="G5" s="5" t="s">
        <v>12</v>
      </c>
      <c r="H5" s="10">
        <v>4041.922716923078</v>
      </c>
      <c r="I5" s="10">
        <f>2*0.4*I3</f>
        <v>4612.8030237838311</v>
      </c>
      <c r="Q5" s="4"/>
    </row>
    <row r="6" spans="2:18" x14ac:dyDescent="0.3">
      <c r="B6" s="5" t="s">
        <v>8</v>
      </c>
      <c r="C6" s="6">
        <v>2.4</v>
      </c>
      <c r="D6" s="11">
        <v>4</v>
      </c>
      <c r="Q6" s="4">
        <f>SUMPRODUCT(D20:D33,J20:J33)*52</f>
        <v>150035702.1984176</v>
      </c>
    </row>
    <row r="7" spans="2:18" x14ac:dyDescent="0.3">
      <c r="B7" s="5" t="s">
        <v>9</v>
      </c>
      <c r="C7" s="6">
        <v>4.08</v>
      </c>
      <c r="D7" s="11">
        <v>6</v>
      </c>
      <c r="H7" s="5" t="s">
        <v>55</v>
      </c>
      <c r="I7" s="30">
        <v>0.95</v>
      </c>
      <c r="Q7" s="4">
        <f>SUMPRODUCT(E31:E33,J31:J33)*52</f>
        <v>150035702.1984176</v>
      </c>
    </row>
    <row r="8" spans="2:18" x14ac:dyDescent="0.3">
      <c r="B8" s="5" t="s">
        <v>1</v>
      </c>
      <c r="C8" s="12">
        <v>5.8</v>
      </c>
      <c r="D8" s="13">
        <v>1</v>
      </c>
      <c r="Q8" s="4"/>
    </row>
    <row r="9" spans="2:18" x14ac:dyDescent="0.3">
      <c r="B9" s="5" t="s">
        <v>27</v>
      </c>
      <c r="C9" s="14">
        <v>3321</v>
      </c>
      <c r="D9" s="11">
        <v>8100</v>
      </c>
      <c r="E9" s="6">
        <f>ROUND(C9/D9,2)</f>
        <v>0.41</v>
      </c>
      <c r="Q9" s="4"/>
    </row>
    <row r="10" spans="2:18" x14ac:dyDescent="0.3">
      <c r="B10" s="5" t="s">
        <v>28</v>
      </c>
      <c r="C10" s="14">
        <v>972</v>
      </c>
      <c r="D10" s="11">
        <v>8100</v>
      </c>
      <c r="E10" s="6">
        <f>ROUND(C10/D10,2)</f>
        <v>0.12</v>
      </c>
      <c r="Q10" s="4"/>
    </row>
    <row r="11" spans="2:18" x14ac:dyDescent="0.3">
      <c r="B11" s="5" t="s">
        <v>2</v>
      </c>
      <c r="C11" s="15">
        <v>3.79</v>
      </c>
      <c r="F11" s="31"/>
      <c r="Q11" s="4"/>
    </row>
    <row r="12" spans="2:18" x14ac:dyDescent="0.3">
      <c r="B12" s="5" t="s">
        <v>29</v>
      </c>
      <c r="C12" s="6">
        <v>0.08</v>
      </c>
      <c r="F12" s="27"/>
      <c r="Q12" s="4"/>
    </row>
    <row r="13" spans="2:18" x14ac:dyDescent="0.3">
      <c r="B13" s="5" t="s">
        <v>70</v>
      </c>
      <c r="C13" s="29">
        <v>0.1</v>
      </c>
      <c r="Q13" s="4"/>
    </row>
    <row r="14" spans="2:18" x14ac:dyDescent="0.3">
      <c r="B14" s="5" t="s">
        <v>30</v>
      </c>
      <c r="C14" s="6">
        <v>4</v>
      </c>
      <c r="D14" s="11">
        <v>1.8</v>
      </c>
      <c r="E14" s="6">
        <f>ROUND(C14*D14,2)</f>
        <v>7.2</v>
      </c>
      <c r="Q14" s="4"/>
    </row>
    <row r="15" spans="2:18" x14ac:dyDescent="0.3">
      <c r="B15" s="20" t="s">
        <v>59</v>
      </c>
      <c r="Q15" s="4"/>
    </row>
    <row r="16" spans="2:18" x14ac:dyDescent="0.3">
      <c r="B16" s="5" t="s">
        <v>44</v>
      </c>
      <c r="C16" s="16">
        <v>0.15</v>
      </c>
      <c r="P16" s="4"/>
      <c r="Q16" s="4"/>
      <c r="R16" s="4"/>
    </row>
    <row r="17" spans="1:27" x14ac:dyDescent="0.3">
      <c r="Q17" s="4"/>
    </row>
    <row r="18" spans="1:27" x14ac:dyDescent="0.3">
      <c r="A18" t="s">
        <v>3</v>
      </c>
      <c r="Q18" s="4"/>
    </row>
    <row r="19" spans="1:27" ht="42" customHeight="1" x14ac:dyDescent="0.3">
      <c r="C19" s="9" t="s">
        <v>31</v>
      </c>
      <c r="D19" s="9" t="s">
        <v>32</v>
      </c>
      <c r="E19" s="9" t="s">
        <v>33</v>
      </c>
      <c r="F19" s="9" t="s">
        <v>34</v>
      </c>
      <c r="G19" s="9" t="s">
        <v>35</v>
      </c>
      <c r="H19" s="9" t="s">
        <v>40</v>
      </c>
      <c r="I19" s="9" t="s">
        <v>36</v>
      </c>
      <c r="J19" s="9" t="s">
        <v>37</v>
      </c>
      <c r="K19" s="9" t="s">
        <v>38</v>
      </c>
      <c r="L19" s="9" t="s">
        <v>41</v>
      </c>
      <c r="M19" s="9" t="s">
        <v>42</v>
      </c>
      <c r="N19" s="9" t="s">
        <v>43</v>
      </c>
      <c r="O19" s="9" t="s">
        <v>44</v>
      </c>
      <c r="P19" s="9" t="s">
        <v>45</v>
      </c>
      <c r="Q19" s="9" t="s">
        <v>46</v>
      </c>
      <c r="R19" s="9" t="s">
        <v>47</v>
      </c>
    </row>
    <row r="20" spans="1:27" x14ac:dyDescent="0.3">
      <c r="B20" s="5" t="s">
        <v>25</v>
      </c>
      <c r="C20" s="6">
        <v>0</v>
      </c>
      <c r="D20" s="6">
        <f>$C$3</f>
        <v>36.68</v>
      </c>
      <c r="E20" s="6">
        <f t="shared" ref="E20:E33" si="0">C20+D20</f>
        <v>36.68</v>
      </c>
      <c r="F20" s="11">
        <f>$D$3</f>
        <v>8</v>
      </c>
      <c r="G20" s="11">
        <v>1</v>
      </c>
      <c r="H20" s="11">
        <f>F20+G20</f>
        <v>9</v>
      </c>
      <c r="I20" s="11">
        <f t="shared" ref="I20:I33" si="1">$I$7</f>
        <v>0.95</v>
      </c>
      <c r="J20" s="10">
        <f>$H$3+$H$4+$H$5</f>
        <v>24262.571941923081</v>
      </c>
      <c r="K20" s="10">
        <f>SQRT(SUMPRODUCT($I$3:$I$5,$I$3:$I$5))</f>
        <v>9347.8852422186537</v>
      </c>
      <c r="L20" s="17">
        <f>G20*J20/2</f>
        <v>12131.28597096154</v>
      </c>
      <c r="M20" s="17">
        <f>J20*F20</f>
        <v>194100.57553538465</v>
      </c>
      <c r="N20" s="17">
        <f>NORMSINV(I20)*K20*SQRT(H20)</f>
        <v>46127.708834968464</v>
      </c>
      <c r="O20" s="18">
        <f t="shared" ref="O20:O33" si="2">$C$16</f>
        <v>0.15</v>
      </c>
      <c r="P20" s="19">
        <f>L20*E20*O20</f>
        <v>66746.335412230386</v>
      </c>
      <c r="Q20" s="19">
        <f>O20*M20*(C20+D20/2)</f>
        <v>533970.68329784309</v>
      </c>
      <c r="R20" s="19">
        <f t="shared" ref="R20:R30" si="3">N20*(C20+D20)*O20</f>
        <v>253794.65400999648</v>
      </c>
      <c r="S20" s="27">
        <f>C20+D20/2</f>
        <v>18.34</v>
      </c>
      <c r="T20">
        <f>(C20+E20)/2</f>
        <v>18.34</v>
      </c>
      <c r="U20" s="1">
        <f>L20*E20</f>
        <v>444975.5694148693</v>
      </c>
      <c r="V20" s="1">
        <f>M20*(C20+E20)/2</f>
        <v>3559804.5553189544</v>
      </c>
      <c r="W20" s="1">
        <f>N20*E20</f>
        <v>1691964.3600666432</v>
      </c>
      <c r="X20" s="28">
        <f>P20*O20/J20/52</f>
        <v>7.9355769230769219E-3</v>
      </c>
      <c r="Y20" s="28">
        <f>Q20*O20/J20/52</f>
        <v>6.3484615384615375E-2</v>
      </c>
      <c r="Z20" s="28">
        <f>R20*O20/J20/52</f>
        <v>3.0174046067448664E-2</v>
      </c>
      <c r="AA20">
        <f>SUM(U20:W33)*O20/SUM(H3:H5)/52</f>
        <v>6.2232359783059614</v>
      </c>
    </row>
    <row r="21" spans="1:27" x14ac:dyDescent="0.3">
      <c r="B21" s="5" t="s">
        <v>26</v>
      </c>
      <c r="C21" s="6">
        <v>0</v>
      </c>
      <c r="D21" s="6">
        <f>$C$4</f>
        <v>69.36</v>
      </c>
      <c r="E21" s="6">
        <f t="shared" si="0"/>
        <v>69.36</v>
      </c>
      <c r="F21" s="11">
        <f>$D$4</f>
        <v>12</v>
      </c>
      <c r="G21" s="11">
        <v>1</v>
      </c>
      <c r="H21" s="11">
        <f t="shared" ref="H21:H24" si="4">F21+G21</f>
        <v>13</v>
      </c>
      <c r="I21" s="11">
        <f t="shared" si="1"/>
        <v>0.95</v>
      </c>
      <c r="J21" s="10">
        <f>$H$3+$H$4+$H$5</f>
        <v>24262.571941923081</v>
      </c>
      <c r="K21" s="10">
        <f>SQRT(SUMPRODUCT($I$3:$I$5,$I$3:$I$5))</f>
        <v>9347.8852422186537</v>
      </c>
      <c r="L21" s="17">
        <f t="shared" ref="L21:L30" si="5">G21*J21/2</f>
        <v>12131.28597096154</v>
      </c>
      <c r="M21" s="17">
        <f t="shared" ref="M20:M33" si="6">J21*F21</f>
        <v>291150.86330307694</v>
      </c>
      <c r="N21" s="17">
        <f t="shared" ref="N20:N30" si="7">NORMSINV(I21)*K21*SQRT(H21)</f>
        <v>55438.606474717351</v>
      </c>
      <c r="O21" s="18">
        <f t="shared" si="2"/>
        <v>0.15</v>
      </c>
      <c r="P21" s="19">
        <f t="shared" ref="P21:P30" si="8">L21*E21*O21</f>
        <v>126213.89924188386</v>
      </c>
      <c r="Q21" s="19">
        <f t="shared" ref="Q21:Q33" si="9">O21*M21*(C21+D21/2)</f>
        <v>1514566.790902606</v>
      </c>
      <c r="R21" s="19">
        <f t="shared" si="3"/>
        <v>576783.2617629593</v>
      </c>
      <c r="S21" s="27">
        <f t="shared" ref="S21:S30" si="10">C21+D21/2</f>
        <v>34.68</v>
      </c>
      <c r="T21">
        <f t="shared" ref="T21:T30" si="11">(C21+E21)/2</f>
        <v>34.68</v>
      </c>
      <c r="U21" s="1">
        <f t="shared" ref="U21:U33" si="12">L21*E21</f>
        <v>841425.99494589248</v>
      </c>
      <c r="V21" s="1">
        <f t="shared" ref="V21:V33" si="13">M21*(C21+E21)/2</f>
        <v>10097111.939350707</v>
      </c>
      <c r="W21" s="1">
        <f t="shared" ref="W21:W33" si="14">N21*E21</f>
        <v>3845221.7450863956</v>
      </c>
      <c r="X21" s="28">
        <f t="shared" ref="X21:X33" si="15">P21*O21/J21/52</f>
        <v>1.5005769230769229E-2</v>
      </c>
      <c r="Y21" s="28">
        <f t="shared" ref="Y21:Y33" si="16">Q21*O21/J21/52</f>
        <v>0.1800692307692307</v>
      </c>
      <c r="Z21" s="28">
        <f t="shared" ref="Z21:Z33" si="17">R21*O21/J21/52</f>
        <v>6.8574670255596992E-2</v>
      </c>
    </row>
    <row r="22" spans="1:27" x14ac:dyDescent="0.3">
      <c r="B22" s="5" t="s">
        <v>7</v>
      </c>
      <c r="C22" s="6">
        <v>0</v>
      </c>
      <c r="D22" s="6">
        <f>$C$5</f>
        <v>2.4</v>
      </c>
      <c r="E22" s="6">
        <f t="shared" si="0"/>
        <v>2.4</v>
      </c>
      <c r="F22" s="11">
        <f>$D$5</f>
        <v>4</v>
      </c>
      <c r="G22" s="11">
        <v>1</v>
      </c>
      <c r="H22" s="11">
        <f t="shared" si="4"/>
        <v>5</v>
      </c>
      <c r="I22" s="11">
        <f t="shared" si="1"/>
        <v>0.95</v>
      </c>
      <c r="J22" s="10">
        <f>$H$3</f>
        <v>10104.806792307694</v>
      </c>
      <c r="K22" s="10">
        <f>$I$3</f>
        <v>5766.0037797297891</v>
      </c>
      <c r="L22" s="17">
        <f t="shared" si="5"/>
        <v>5052.4033961538471</v>
      </c>
      <c r="M22" s="17">
        <f t="shared" si="6"/>
        <v>40419.227169230777</v>
      </c>
      <c r="N22" s="17">
        <f t="shared" si="7"/>
        <v>21207.387980907948</v>
      </c>
      <c r="O22" s="18">
        <f t="shared" si="2"/>
        <v>0.15</v>
      </c>
      <c r="P22" s="19">
        <f t="shared" si="8"/>
        <v>1818.8652226153847</v>
      </c>
      <c r="Q22" s="19">
        <f t="shared" si="9"/>
        <v>7275.4608904615388</v>
      </c>
      <c r="R22" s="19">
        <f t="shared" si="3"/>
        <v>7634.659673126861</v>
      </c>
      <c r="S22" s="27">
        <f t="shared" si="10"/>
        <v>1.2</v>
      </c>
      <c r="T22">
        <f t="shared" si="11"/>
        <v>1.2</v>
      </c>
      <c r="U22" s="1">
        <f t="shared" si="12"/>
        <v>12125.768150769232</v>
      </c>
      <c r="V22" s="1">
        <f t="shared" si="13"/>
        <v>48503.072603076929</v>
      </c>
      <c r="W22" s="1">
        <f t="shared" si="14"/>
        <v>50897.731154179077</v>
      </c>
      <c r="X22" s="28">
        <f t="shared" si="15"/>
        <v>5.1923076923076912E-4</v>
      </c>
      <c r="Y22" s="28">
        <f t="shared" si="16"/>
        <v>2.0769230769230765E-3</v>
      </c>
      <c r="Z22" s="28">
        <f t="shared" si="17"/>
        <v>2.1794634179615889E-3</v>
      </c>
    </row>
    <row r="23" spans="1:27" x14ac:dyDescent="0.3">
      <c r="B23" s="5" t="s">
        <v>8</v>
      </c>
      <c r="C23" s="6">
        <v>0</v>
      </c>
      <c r="D23" s="6">
        <f>$C$6</f>
        <v>2.4</v>
      </c>
      <c r="E23" s="6">
        <f t="shared" si="0"/>
        <v>2.4</v>
      </c>
      <c r="F23" s="11">
        <f>$D$6</f>
        <v>4</v>
      </c>
      <c r="G23" s="11">
        <v>1</v>
      </c>
      <c r="H23" s="11">
        <f t="shared" si="4"/>
        <v>5</v>
      </c>
      <c r="I23" s="11">
        <f t="shared" si="1"/>
        <v>0.95</v>
      </c>
      <c r="J23" s="10">
        <f>$H$4</f>
        <v>10115.842432692307</v>
      </c>
      <c r="K23" s="10">
        <f>$I$4</f>
        <v>5732.2078798314542</v>
      </c>
      <c r="L23" s="17">
        <f t="shared" si="5"/>
        <v>5057.9212163461534</v>
      </c>
      <c r="M23" s="17">
        <f t="shared" si="6"/>
        <v>40463.369730769227</v>
      </c>
      <c r="N23" s="17">
        <f t="shared" si="7"/>
        <v>21083.086508226381</v>
      </c>
      <c r="O23" s="18">
        <f t="shared" si="2"/>
        <v>0.15</v>
      </c>
      <c r="P23" s="19">
        <f t="shared" si="8"/>
        <v>1820.8516378846152</v>
      </c>
      <c r="Q23" s="19">
        <f t="shared" si="9"/>
        <v>7283.4065515384609</v>
      </c>
      <c r="R23" s="19">
        <f t="shared" si="3"/>
        <v>7589.9111429614959</v>
      </c>
      <c r="S23" s="27">
        <f t="shared" si="10"/>
        <v>1.2</v>
      </c>
      <c r="T23">
        <f t="shared" si="11"/>
        <v>1.2</v>
      </c>
      <c r="U23" s="1">
        <f t="shared" si="12"/>
        <v>12139.010919230768</v>
      </c>
      <c r="V23" s="1">
        <f t="shared" si="13"/>
        <v>48556.043676923073</v>
      </c>
      <c r="W23" s="1">
        <f t="shared" si="14"/>
        <v>50599.40761974331</v>
      </c>
      <c r="X23" s="28">
        <f t="shared" si="15"/>
        <v>5.1923076923076912E-4</v>
      </c>
      <c r="Y23" s="28">
        <f t="shared" si="16"/>
        <v>2.0769230769230765E-3</v>
      </c>
      <c r="Z23" s="28">
        <f t="shared" si="17"/>
        <v>2.1643253734452881E-3</v>
      </c>
    </row>
    <row r="24" spans="1:27" x14ac:dyDescent="0.3">
      <c r="B24" s="5" t="s">
        <v>9</v>
      </c>
      <c r="C24" s="6">
        <v>0</v>
      </c>
      <c r="D24" s="6">
        <f>$C$7</f>
        <v>4.08</v>
      </c>
      <c r="E24" s="6">
        <f t="shared" si="0"/>
        <v>4.08</v>
      </c>
      <c r="F24" s="11">
        <f>$D$7</f>
        <v>6</v>
      </c>
      <c r="G24" s="11">
        <v>1</v>
      </c>
      <c r="H24" s="11">
        <f t="shared" si="4"/>
        <v>7</v>
      </c>
      <c r="I24" s="11">
        <f t="shared" si="1"/>
        <v>0.95</v>
      </c>
      <c r="J24" s="10">
        <f>$H$5</f>
        <v>4041.922716923078</v>
      </c>
      <c r="K24" s="10">
        <f>$I$5</f>
        <v>4612.8030237838311</v>
      </c>
      <c r="L24" s="17">
        <f t="shared" si="5"/>
        <v>2020.961358461539</v>
      </c>
      <c r="M24" s="17">
        <f t="shared" si="6"/>
        <v>24251.536301538468</v>
      </c>
      <c r="N24" s="17">
        <f t="shared" si="7"/>
        <v>20074.33588579189</v>
      </c>
      <c r="O24" s="18">
        <f t="shared" si="2"/>
        <v>0.15</v>
      </c>
      <c r="P24" s="19">
        <f t="shared" si="8"/>
        <v>1236.828351378462</v>
      </c>
      <c r="Q24" s="19">
        <f t="shared" si="9"/>
        <v>7420.9701082707716</v>
      </c>
      <c r="R24" s="19">
        <f t="shared" si="3"/>
        <v>12285.493562104637</v>
      </c>
      <c r="S24" s="27">
        <f t="shared" si="10"/>
        <v>2.04</v>
      </c>
      <c r="T24">
        <f t="shared" si="11"/>
        <v>2.04</v>
      </c>
      <c r="U24" s="1">
        <f t="shared" si="12"/>
        <v>8245.5223425230797</v>
      </c>
      <c r="V24" s="1">
        <f t="shared" si="13"/>
        <v>49473.134055138478</v>
      </c>
      <c r="W24" s="1">
        <f t="shared" si="14"/>
        <v>81903.290414030911</v>
      </c>
      <c r="X24" s="28">
        <f t="shared" si="15"/>
        <v>8.8269230769230775E-4</v>
      </c>
      <c r="Y24" s="28">
        <f t="shared" si="16"/>
        <v>5.2961538461538471E-3</v>
      </c>
      <c r="Z24" s="28">
        <f t="shared" si="17"/>
        <v>8.7678380362052662E-3</v>
      </c>
    </row>
    <row r="25" spans="1:27" x14ac:dyDescent="0.3">
      <c r="B25" s="5" t="s">
        <v>13</v>
      </c>
      <c r="C25" s="6">
        <f>D20+D21+D22</f>
        <v>108.44</v>
      </c>
      <c r="D25" s="6">
        <f>$C$8</f>
        <v>5.8</v>
      </c>
      <c r="E25" s="6">
        <f t="shared" si="0"/>
        <v>114.24</v>
      </c>
      <c r="F25" s="11">
        <f>$D$8</f>
        <v>1</v>
      </c>
      <c r="G25" s="11">
        <v>1</v>
      </c>
      <c r="H25" s="11">
        <v>0</v>
      </c>
      <c r="I25" s="11">
        <f t="shared" si="1"/>
        <v>0.95</v>
      </c>
      <c r="J25" s="10">
        <f>$H$3</f>
        <v>10104.806792307694</v>
      </c>
      <c r="K25" s="10">
        <f>$I$3</f>
        <v>5766.0037797297891</v>
      </c>
      <c r="L25" s="17">
        <f t="shared" si="5"/>
        <v>5052.4033961538471</v>
      </c>
      <c r="M25" s="17">
        <f t="shared" si="6"/>
        <v>10104.806792307694</v>
      </c>
      <c r="N25" s="17">
        <f>NORMSINV(I25)*K25*SQRT(H25)</f>
        <v>0</v>
      </c>
      <c r="O25" s="18">
        <f t="shared" si="2"/>
        <v>0.15</v>
      </c>
      <c r="P25" s="19">
        <f t="shared" si="8"/>
        <v>86577.984596492315</v>
      </c>
      <c r="Q25" s="19">
        <f t="shared" si="9"/>
        <v>168760.3782383308</v>
      </c>
      <c r="R25" s="19">
        <f t="shared" si="3"/>
        <v>0</v>
      </c>
      <c r="S25" s="27">
        <f t="shared" si="10"/>
        <v>111.34</v>
      </c>
      <c r="T25">
        <f t="shared" si="11"/>
        <v>111.34</v>
      </c>
      <c r="U25" s="1">
        <f t="shared" si="12"/>
        <v>577186.56397661543</v>
      </c>
      <c r="V25" s="1">
        <f t="shared" si="13"/>
        <v>1125069.1882555387</v>
      </c>
      <c r="W25" s="1">
        <f t="shared" si="14"/>
        <v>0</v>
      </c>
      <c r="X25" s="28">
        <f t="shared" si="15"/>
        <v>2.4715384615384615E-2</v>
      </c>
      <c r="Y25" s="28">
        <f t="shared" si="16"/>
        <v>4.8175961538461536E-2</v>
      </c>
      <c r="Z25" s="28">
        <f t="shared" si="17"/>
        <v>0</v>
      </c>
    </row>
    <row r="26" spans="1:27" x14ac:dyDescent="0.3">
      <c r="B26" s="5" t="s">
        <v>14</v>
      </c>
      <c r="C26" s="6">
        <f>D20+D21+D23</f>
        <v>108.44</v>
      </c>
      <c r="D26" s="6">
        <f>$C$8</f>
        <v>5.8</v>
      </c>
      <c r="E26" s="6">
        <f t="shared" si="0"/>
        <v>114.24</v>
      </c>
      <c r="F26" s="11">
        <f>$D$8</f>
        <v>1</v>
      </c>
      <c r="G26" s="11">
        <v>1</v>
      </c>
      <c r="H26" s="11">
        <v>0</v>
      </c>
      <c r="I26" s="11">
        <f t="shared" si="1"/>
        <v>0.95</v>
      </c>
      <c r="J26" s="10">
        <f>$H$4</f>
        <v>10115.842432692307</v>
      </c>
      <c r="K26" s="10">
        <f>$I$4</f>
        <v>5732.2078798314542</v>
      </c>
      <c r="L26" s="17">
        <f t="shared" si="5"/>
        <v>5057.9212163461534</v>
      </c>
      <c r="M26" s="17">
        <f t="shared" si="6"/>
        <v>10115.842432692307</v>
      </c>
      <c r="N26" s="17">
        <f t="shared" si="7"/>
        <v>0</v>
      </c>
      <c r="O26" s="18">
        <f t="shared" si="2"/>
        <v>0.15</v>
      </c>
      <c r="P26" s="19">
        <f t="shared" si="8"/>
        <v>86672.537963307681</v>
      </c>
      <c r="Q26" s="19">
        <f t="shared" si="9"/>
        <v>168944.68446839423</v>
      </c>
      <c r="R26" s="19">
        <f t="shared" si="3"/>
        <v>0</v>
      </c>
      <c r="S26" s="27">
        <f t="shared" si="10"/>
        <v>111.34</v>
      </c>
      <c r="T26">
        <f t="shared" si="11"/>
        <v>111.34</v>
      </c>
      <c r="U26" s="1">
        <f t="shared" si="12"/>
        <v>577816.91975538456</v>
      </c>
      <c r="V26" s="1">
        <f t="shared" si="13"/>
        <v>1126297.8964559615</v>
      </c>
      <c r="W26" s="1">
        <f t="shared" si="14"/>
        <v>0</v>
      </c>
      <c r="X26" s="28">
        <f t="shared" si="15"/>
        <v>2.4715384615384615E-2</v>
      </c>
      <c r="Y26" s="28">
        <f t="shared" si="16"/>
        <v>4.8175961538461549E-2</v>
      </c>
      <c r="Z26" s="28">
        <f t="shared" si="17"/>
        <v>0</v>
      </c>
    </row>
    <row r="27" spans="1:27" x14ac:dyDescent="0.3">
      <c r="B27" s="5" t="s">
        <v>15</v>
      </c>
      <c r="C27" s="6">
        <f>D20+D21+D24</f>
        <v>110.11999999999999</v>
      </c>
      <c r="D27" s="6">
        <f>$C$8</f>
        <v>5.8</v>
      </c>
      <c r="E27" s="6">
        <f t="shared" si="0"/>
        <v>115.91999999999999</v>
      </c>
      <c r="F27" s="11">
        <f>$D$8</f>
        <v>1</v>
      </c>
      <c r="G27" s="11">
        <v>1</v>
      </c>
      <c r="H27" s="11">
        <v>0</v>
      </c>
      <c r="I27" s="11">
        <f t="shared" si="1"/>
        <v>0.95</v>
      </c>
      <c r="J27" s="10">
        <f>$H$5</f>
        <v>4041.922716923078</v>
      </c>
      <c r="K27" s="10">
        <f>$I$5</f>
        <v>4612.8030237838311</v>
      </c>
      <c r="L27" s="17">
        <f t="shared" si="5"/>
        <v>2020.961358461539</v>
      </c>
      <c r="M27" s="17">
        <f t="shared" si="6"/>
        <v>4041.922716923078</v>
      </c>
      <c r="N27" s="17">
        <f t="shared" si="7"/>
        <v>0</v>
      </c>
      <c r="O27" s="18">
        <f t="shared" si="2"/>
        <v>0.15</v>
      </c>
      <c r="P27" s="19">
        <f t="shared" si="8"/>
        <v>35140.476100929234</v>
      </c>
      <c r="Q27" s="19">
        <f>O27*M27*(C27+D27/2)</f>
        <v>68522.715819996942</v>
      </c>
      <c r="R27" s="19">
        <f t="shared" si="3"/>
        <v>0</v>
      </c>
      <c r="S27" s="27">
        <f t="shared" si="10"/>
        <v>113.02</v>
      </c>
      <c r="T27">
        <f t="shared" si="11"/>
        <v>113.01999999999998</v>
      </c>
      <c r="U27" s="1">
        <f t="shared" si="12"/>
        <v>234269.84067286158</v>
      </c>
      <c r="V27" s="1">
        <f t="shared" si="13"/>
        <v>456818.1054666462</v>
      </c>
      <c r="W27" s="1">
        <f t="shared" si="14"/>
        <v>0</v>
      </c>
      <c r="X27" s="28">
        <f t="shared" si="15"/>
        <v>2.5078846153846149E-2</v>
      </c>
      <c r="Y27" s="28">
        <f t="shared" si="16"/>
        <v>4.8902884615384619E-2</v>
      </c>
      <c r="Z27" s="28">
        <f t="shared" si="17"/>
        <v>0</v>
      </c>
    </row>
    <row r="28" spans="1:27" x14ac:dyDescent="0.3">
      <c r="B28" s="5" t="s">
        <v>16</v>
      </c>
      <c r="C28" s="6">
        <f t="shared" ref="C28:C30" si="18">E25</f>
        <v>114.24</v>
      </c>
      <c r="D28" s="6">
        <f>$E$9+$E$10+$C$11</f>
        <v>4.32</v>
      </c>
      <c r="E28" s="6">
        <f t="shared" si="0"/>
        <v>118.56</v>
      </c>
      <c r="F28" s="11">
        <v>5</v>
      </c>
      <c r="G28" s="11">
        <v>1</v>
      </c>
      <c r="H28" s="11">
        <f>F25+G25+F28+G28</f>
        <v>8</v>
      </c>
      <c r="I28" s="11">
        <f t="shared" si="1"/>
        <v>0.95</v>
      </c>
      <c r="J28" s="10">
        <f>$H$3</f>
        <v>10104.806792307694</v>
      </c>
      <c r="K28" s="10">
        <f>$I$3</f>
        <v>5766.0037797297891</v>
      </c>
      <c r="L28" s="17">
        <f t="shared" si="5"/>
        <v>5052.4033961538471</v>
      </c>
      <c r="M28" s="17">
        <f t="shared" si="6"/>
        <v>50524.033961538473</v>
      </c>
      <c r="N28" s="17">
        <f t="shared" si="7"/>
        <v>26825.45969701944</v>
      </c>
      <c r="O28" s="18">
        <f t="shared" si="2"/>
        <v>0.15</v>
      </c>
      <c r="P28" s="19">
        <f t="shared" si="8"/>
        <v>89851.941997200018</v>
      </c>
      <c r="Q28" s="19">
        <f t="shared" si="9"/>
        <v>882149.63296846161</v>
      </c>
      <c r="R28" s="19">
        <f t="shared" si="3"/>
        <v>477063.97525179369</v>
      </c>
      <c r="S28" s="27">
        <f t="shared" si="10"/>
        <v>116.39999999999999</v>
      </c>
      <c r="T28">
        <f t="shared" si="11"/>
        <v>116.4</v>
      </c>
      <c r="U28" s="1">
        <f t="shared" si="12"/>
        <v>599012.94664800016</v>
      </c>
      <c r="V28" s="1">
        <f t="shared" si="13"/>
        <v>5880997.5531230783</v>
      </c>
      <c r="W28" s="1">
        <f t="shared" si="14"/>
        <v>3180426.5016786247</v>
      </c>
      <c r="X28" s="28">
        <f t="shared" si="15"/>
        <v>2.5649999999999999E-2</v>
      </c>
      <c r="Y28" s="28">
        <f t="shared" si="16"/>
        <v>0.25182692307692306</v>
      </c>
      <c r="Z28" s="28">
        <f t="shared" si="17"/>
        <v>0.13618727312081724</v>
      </c>
    </row>
    <row r="29" spans="1:27" x14ac:dyDescent="0.3">
      <c r="B29" s="5" t="s">
        <v>17</v>
      </c>
      <c r="C29" s="6">
        <f t="shared" si="18"/>
        <v>114.24</v>
      </c>
      <c r="D29" s="6">
        <f>$E$9+$E$10+$C$11</f>
        <v>4.32</v>
      </c>
      <c r="E29" s="6">
        <f t="shared" si="0"/>
        <v>118.56</v>
      </c>
      <c r="F29" s="11">
        <v>5</v>
      </c>
      <c r="G29" s="11">
        <v>1</v>
      </c>
      <c r="H29" s="11">
        <f>F26+G26+F29+G29</f>
        <v>8</v>
      </c>
      <c r="I29" s="11">
        <f t="shared" si="1"/>
        <v>0.95</v>
      </c>
      <c r="J29" s="10">
        <f>$H$4</f>
        <v>10115.842432692307</v>
      </c>
      <c r="K29" s="10">
        <f>$I$4</f>
        <v>5732.2078798314542</v>
      </c>
      <c r="L29" s="17">
        <f t="shared" si="5"/>
        <v>5057.9212163461534</v>
      </c>
      <c r="M29" s="17">
        <f t="shared" si="6"/>
        <v>50579.212163461532</v>
      </c>
      <c r="N29" s="17">
        <f t="shared" si="7"/>
        <v>26668.229388944659</v>
      </c>
      <c r="O29" s="18">
        <f t="shared" si="2"/>
        <v>0.15</v>
      </c>
      <c r="P29" s="19">
        <f t="shared" si="8"/>
        <v>89950.070911499992</v>
      </c>
      <c r="Q29" s="19">
        <f t="shared" si="9"/>
        <v>883113.04437403823</v>
      </c>
      <c r="R29" s="19">
        <f t="shared" si="3"/>
        <v>474267.79145299178</v>
      </c>
      <c r="S29" s="27">
        <f t="shared" si="10"/>
        <v>116.39999999999999</v>
      </c>
      <c r="T29">
        <f t="shared" si="11"/>
        <v>116.4</v>
      </c>
      <c r="U29" s="1">
        <f t="shared" si="12"/>
        <v>599667.13940999995</v>
      </c>
      <c r="V29" s="1">
        <f t="shared" si="13"/>
        <v>5887420.2958269231</v>
      </c>
      <c r="W29" s="1">
        <f t="shared" si="14"/>
        <v>3161785.2763532787</v>
      </c>
      <c r="X29" s="28">
        <f t="shared" si="15"/>
        <v>2.5650000000000003E-2</v>
      </c>
      <c r="Y29" s="28">
        <f t="shared" si="16"/>
        <v>0.251826923076923</v>
      </c>
      <c r="Z29" s="28">
        <f t="shared" si="17"/>
        <v>0.13524134808896482</v>
      </c>
    </row>
    <row r="30" spans="1:27" x14ac:dyDescent="0.3">
      <c r="B30" s="5" t="s">
        <v>18</v>
      </c>
      <c r="C30" s="6">
        <f t="shared" si="18"/>
        <v>115.91999999999999</v>
      </c>
      <c r="D30" s="6">
        <f>$E$9+$E$10+$C$11</f>
        <v>4.32</v>
      </c>
      <c r="E30" s="6">
        <f t="shared" si="0"/>
        <v>120.23999999999998</v>
      </c>
      <c r="F30" s="11">
        <v>5</v>
      </c>
      <c r="G30" s="11">
        <v>1</v>
      </c>
      <c r="H30" s="11">
        <f>F27+G27+F30+G30</f>
        <v>8</v>
      </c>
      <c r="I30" s="11">
        <f t="shared" si="1"/>
        <v>0.95</v>
      </c>
      <c r="J30" s="10">
        <f>$H$5</f>
        <v>4041.922716923078</v>
      </c>
      <c r="K30" s="10">
        <f>$I$5</f>
        <v>4612.8030237838311</v>
      </c>
      <c r="L30" s="17">
        <f t="shared" si="5"/>
        <v>2020.961358461539</v>
      </c>
      <c r="M30" s="17">
        <f t="shared" si="6"/>
        <v>20209.613584615392</v>
      </c>
      <c r="N30" s="17">
        <f t="shared" si="7"/>
        <v>21460.367757615553</v>
      </c>
      <c r="O30" s="18">
        <f t="shared" si="2"/>
        <v>0.15</v>
      </c>
      <c r="P30" s="19">
        <f t="shared" si="8"/>
        <v>36450.059061212312</v>
      </c>
      <c r="Q30" s="19">
        <f t="shared" si="9"/>
        <v>357952.67581070773</v>
      </c>
      <c r="R30" s="19">
        <f t="shared" si="3"/>
        <v>387059.19287635403</v>
      </c>
      <c r="S30" s="27">
        <f t="shared" si="10"/>
        <v>118.07999999999998</v>
      </c>
      <c r="T30">
        <f t="shared" si="11"/>
        <v>118.07999999999998</v>
      </c>
      <c r="U30" s="1">
        <f t="shared" si="12"/>
        <v>243000.39374141541</v>
      </c>
      <c r="V30" s="1">
        <f t="shared" si="13"/>
        <v>2386351.1720713852</v>
      </c>
      <c r="W30" s="1">
        <f t="shared" si="14"/>
        <v>2580394.6191756935</v>
      </c>
      <c r="X30" s="28">
        <f t="shared" si="15"/>
        <v>2.6013461538461534E-2</v>
      </c>
      <c r="Y30" s="28">
        <f t="shared" si="16"/>
        <v>0.25546153846153841</v>
      </c>
      <c r="Z30" s="28">
        <f t="shared" si="17"/>
        <v>0.27623410458918796</v>
      </c>
    </row>
    <row r="31" spans="1:27" x14ac:dyDescent="0.3">
      <c r="B31" s="5" t="s">
        <v>19</v>
      </c>
      <c r="C31" s="6">
        <f>E28</f>
        <v>118.56</v>
      </c>
      <c r="D31" s="6">
        <f>$C$12</f>
        <v>0.08</v>
      </c>
      <c r="E31" s="6">
        <f t="shared" si="0"/>
        <v>118.64</v>
      </c>
      <c r="F31" s="11">
        <v>1</v>
      </c>
      <c r="G31" s="11">
        <v>1</v>
      </c>
      <c r="H31" s="11"/>
      <c r="I31" s="11">
        <f t="shared" si="1"/>
        <v>0.95</v>
      </c>
      <c r="J31" s="10">
        <f>$H$3</f>
        <v>10104.806792307694</v>
      </c>
      <c r="K31" s="10">
        <f>$I$3</f>
        <v>5766.0037797297891</v>
      </c>
      <c r="L31" s="17"/>
      <c r="M31" s="17">
        <f t="shared" si="6"/>
        <v>10104.806792307694</v>
      </c>
      <c r="N31" s="17"/>
      <c r="O31" s="18">
        <f t="shared" si="2"/>
        <v>0.15</v>
      </c>
      <c r="P31" s="19"/>
      <c r="Q31" s="19">
        <f t="shared" si="9"/>
        <v>179764.51283515387</v>
      </c>
      <c r="R31" s="19"/>
      <c r="U31" s="1">
        <f t="shared" si="12"/>
        <v>0</v>
      </c>
      <c r="V31" s="1">
        <f t="shared" si="13"/>
        <v>1198430.0855676925</v>
      </c>
      <c r="W31" s="1">
        <f t="shared" si="14"/>
        <v>0</v>
      </c>
      <c r="X31" s="28">
        <f t="shared" si="15"/>
        <v>0</v>
      </c>
      <c r="Y31" s="28">
        <f t="shared" si="16"/>
        <v>5.131730769230769E-2</v>
      </c>
      <c r="Z31" s="28">
        <f t="shared" si="17"/>
        <v>0</v>
      </c>
    </row>
    <row r="32" spans="1:27" x14ac:dyDescent="0.3">
      <c r="B32" s="5" t="s">
        <v>20</v>
      </c>
      <c r="C32" s="6">
        <f t="shared" ref="C32:C33" si="19">E29</f>
        <v>118.56</v>
      </c>
      <c r="D32" s="6">
        <f>$C$12</f>
        <v>0.08</v>
      </c>
      <c r="E32" s="6">
        <f t="shared" si="0"/>
        <v>118.64</v>
      </c>
      <c r="F32" s="11">
        <v>1</v>
      </c>
      <c r="G32" s="11">
        <v>1</v>
      </c>
      <c r="H32" s="11"/>
      <c r="I32" s="11">
        <f t="shared" si="1"/>
        <v>0.95</v>
      </c>
      <c r="J32" s="10">
        <f>$H$4</f>
        <v>10115.842432692307</v>
      </c>
      <c r="K32" s="10">
        <f>$I$4</f>
        <v>5732.2078798314542</v>
      </c>
      <c r="L32" s="17"/>
      <c r="M32" s="17">
        <f t="shared" si="6"/>
        <v>10115.842432692307</v>
      </c>
      <c r="N32" s="17"/>
      <c r="O32" s="18">
        <f t="shared" si="2"/>
        <v>0.15</v>
      </c>
      <c r="P32" s="19"/>
      <c r="Q32" s="19">
        <f t="shared" si="9"/>
        <v>179960.83687759616</v>
      </c>
      <c r="R32" s="19"/>
      <c r="U32" s="1">
        <f t="shared" si="12"/>
        <v>0</v>
      </c>
      <c r="V32" s="1">
        <f t="shared" si="13"/>
        <v>1199738.9125173076</v>
      </c>
      <c r="W32" s="1">
        <f t="shared" si="14"/>
        <v>0</v>
      </c>
      <c r="X32" s="28">
        <f t="shared" si="15"/>
        <v>0</v>
      </c>
      <c r="Y32" s="28">
        <f t="shared" si="16"/>
        <v>5.1317307692307697E-2</v>
      </c>
      <c r="Z32" s="28">
        <f t="shared" si="17"/>
        <v>0</v>
      </c>
    </row>
    <row r="33" spans="1:26" x14ac:dyDescent="0.3">
      <c r="B33" s="5" t="s">
        <v>21</v>
      </c>
      <c r="C33" s="6">
        <f t="shared" si="19"/>
        <v>120.23999999999998</v>
      </c>
      <c r="D33" s="6">
        <f>$C$12</f>
        <v>0.08</v>
      </c>
      <c r="E33" s="6">
        <f t="shared" si="0"/>
        <v>120.31999999999998</v>
      </c>
      <c r="F33" s="11">
        <v>1</v>
      </c>
      <c r="G33" s="11">
        <v>1</v>
      </c>
      <c r="H33" s="11"/>
      <c r="I33" s="11">
        <f t="shared" si="1"/>
        <v>0.95</v>
      </c>
      <c r="J33" s="10">
        <f>$H$5</f>
        <v>4041.922716923078</v>
      </c>
      <c r="K33" s="10">
        <f>$I$5</f>
        <v>4612.8030237838311</v>
      </c>
      <c r="L33" s="17"/>
      <c r="M33" s="17">
        <f t="shared" si="6"/>
        <v>4041.922716923078</v>
      </c>
      <c r="N33" s="17"/>
      <c r="O33" s="18">
        <f t="shared" si="2"/>
        <v>0.15</v>
      </c>
      <c r="P33" s="19"/>
      <c r="Q33" s="19">
        <f t="shared" si="9"/>
        <v>72924.369658726166</v>
      </c>
      <c r="R33" s="19"/>
      <c r="U33" s="1">
        <f t="shared" si="12"/>
        <v>0</v>
      </c>
      <c r="V33" s="1">
        <f t="shared" si="13"/>
        <v>486162.46439150773</v>
      </c>
      <c r="W33" s="1">
        <f t="shared" si="14"/>
        <v>0</v>
      </c>
      <c r="X33" s="28">
        <f t="shared" si="15"/>
        <v>0</v>
      </c>
      <c r="Y33" s="28">
        <f t="shared" si="16"/>
        <v>5.2044230769230766E-2</v>
      </c>
      <c r="Z33" s="28">
        <f t="shared" si="17"/>
        <v>0</v>
      </c>
    </row>
    <row r="34" spans="1:26" x14ac:dyDescent="0.3">
      <c r="S34" s="28"/>
    </row>
    <row r="35" spans="1:26" x14ac:dyDescent="0.3">
      <c r="A35" t="s">
        <v>0</v>
      </c>
    </row>
    <row r="36" spans="1:26" ht="40.950000000000003" customHeight="1" x14ac:dyDescent="0.3">
      <c r="C36" s="9" t="s">
        <v>31</v>
      </c>
      <c r="D36" s="9" t="s">
        <v>32</v>
      </c>
      <c r="E36" s="9" t="s">
        <v>33</v>
      </c>
      <c r="F36" s="9" t="s">
        <v>34</v>
      </c>
      <c r="G36" s="9" t="s">
        <v>35</v>
      </c>
      <c r="H36" s="9" t="s">
        <v>40</v>
      </c>
      <c r="I36" s="9" t="s">
        <v>36</v>
      </c>
      <c r="J36" s="9" t="s">
        <v>37</v>
      </c>
      <c r="K36" s="9" t="s">
        <v>38</v>
      </c>
      <c r="L36" s="9" t="s">
        <v>41</v>
      </c>
      <c r="M36" s="9" t="s">
        <v>42</v>
      </c>
      <c r="N36" s="9" t="s">
        <v>43</v>
      </c>
      <c r="O36" s="9" t="s">
        <v>44</v>
      </c>
      <c r="P36" s="9" t="s">
        <v>45</v>
      </c>
      <c r="Q36" s="9" t="s">
        <v>46</v>
      </c>
      <c r="R36" s="9" t="s">
        <v>47</v>
      </c>
    </row>
    <row r="37" spans="1:26" x14ac:dyDescent="0.3">
      <c r="B37" s="5" t="s">
        <v>25</v>
      </c>
      <c r="C37" s="6">
        <v>0</v>
      </c>
      <c r="D37" s="6">
        <f>$C$3</f>
        <v>36.68</v>
      </c>
      <c r="E37" s="6">
        <f>C37+D37</f>
        <v>36.68</v>
      </c>
      <c r="F37" s="11">
        <f>$D$3</f>
        <v>8</v>
      </c>
      <c r="G37" s="11">
        <v>1</v>
      </c>
      <c r="H37" s="11">
        <f>F37+G37</f>
        <v>9</v>
      </c>
      <c r="I37" s="11">
        <f t="shared" ref="I37:I47" si="20">$I$7</f>
        <v>0.95</v>
      </c>
      <c r="J37" s="10">
        <f>$H$3+$H$4+$H$5</f>
        <v>24262.571941923081</v>
      </c>
      <c r="K37" s="10">
        <f>SQRT(SUMPRODUCT($I$3:$I$5,$I$3:$I$5))</f>
        <v>9347.8852422186537</v>
      </c>
      <c r="L37" s="17">
        <f>G37*J37/2</f>
        <v>12131.28597096154</v>
      </c>
      <c r="M37" s="17">
        <f t="shared" ref="M37:M47" si="21">J37*F37</f>
        <v>194100.57553538465</v>
      </c>
      <c r="N37" s="17">
        <f t="shared" ref="N37:N44" si="22">NORMSINV(I37)*K37*SQRT(H37)</f>
        <v>46127.708834968464</v>
      </c>
      <c r="O37" s="18">
        <f t="shared" ref="O37:O47" si="23">$C$16</f>
        <v>0.15</v>
      </c>
      <c r="P37" s="19">
        <f>L37*E37*O37</f>
        <v>66746.335412230386</v>
      </c>
      <c r="Q37" s="19">
        <f>O37*M37*(C37+D37/2)</f>
        <v>533970.68329784309</v>
      </c>
      <c r="R37" s="19">
        <f t="shared" ref="R37:R44" si="24">N37*(C37+D37)*O37</f>
        <v>253794.65400999648</v>
      </c>
    </row>
    <row r="38" spans="1:26" x14ac:dyDescent="0.3">
      <c r="B38" s="5" t="s">
        <v>26</v>
      </c>
      <c r="C38" s="6">
        <v>0</v>
      </c>
      <c r="D38" s="6">
        <f>$C$4</f>
        <v>69.36</v>
      </c>
      <c r="E38" s="6">
        <f t="shared" ref="E38:E47" si="25">C38+D38</f>
        <v>69.36</v>
      </c>
      <c r="F38" s="11">
        <f>$D$4</f>
        <v>12</v>
      </c>
      <c r="G38" s="11">
        <v>1</v>
      </c>
      <c r="H38" s="11">
        <f t="shared" ref="H38:H44" si="26">F38+G38</f>
        <v>13</v>
      </c>
      <c r="I38" s="11">
        <f t="shared" si="20"/>
        <v>0.95</v>
      </c>
      <c r="J38" s="10">
        <f>$H$3+$H$4+$H$5</f>
        <v>24262.571941923081</v>
      </c>
      <c r="K38" s="10">
        <f>SQRT(SUMPRODUCT($I$3:$I$5,$I$3:$I$5))</f>
        <v>9347.8852422186537</v>
      </c>
      <c r="L38" s="17">
        <f t="shared" ref="L38:L44" si="27">G38*J38/2</f>
        <v>12131.28597096154</v>
      </c>
      <c r="M38" s="17">
        <f t="shared" si="21"/>
        <v>291150.86330307694</v>
      </c>
      <c r="N38" s="17">
        <f t="shared" si="22"/>
        <v>55438.606474717351</v>
      </c>
      <c r="O38" s="18">
        <f t="shared" si="23"/>
        <v>0.15</v>
      </c>
      <c r="P38" s="19">
        <f t="shared" ref="P38:P44" si="28">L38*E38*O38</f>
        <v>126213.89924188386</v>
      </c>
      <c r="Q38" s="19">
        <f>O38*M38*(C38+D38/2)</f>
        <v>1514566.790902606</v>
      </c>
      <c r="R38" s="19">
        <f t="shared" si="24"/>
        <v>576783.2617629593</v>
      </c>
    </row>
    <row r="39" spans="1:26" x14ac:dyDescent="0.3">
      <c r="B39" s="5" t="s">
        <v>7</v>
      </c>
      <c r="C39" s="6">
        <v>0</v>
      </c>
      <c r="D39" s="6">
        <f>$C$5</f>
        <v>2.4</v>
      </c>
      <c r="E39" s="6">
        <f t="shared" si="25"/>
        <v>2.4</v>
      </c>
      <c r="F39" s="11">
        <f>$D$5</f>
        <v>4</v>
      </c>
      <c r="G39" s="11">
        <v>1</v>
      </c>
      <c r="H39" s="11">
        <f t="shared" si="26"/>
        <v>5</v>
      </c>
      <c r="I39" s="11">
        <f t="shared" si="20"/>
        <v>0.95</v>
      </c>
      <c r="J39" s="10">
        <f>$H$3</f>
        <v>10104.806792307694</v>
      </c>
      <c r="K39" s="10">
        <f>$I$3</f>
        <v>5766.0037797297891</v>
      </c>
      <c r="L39" s="17">
        <f t="shared" si="27"/>
        <v>5052.4033961538471</v>
      </c>
      <c r="M39" s="17">
        <f t="shared" si="21"/>
        <v>40419.227169230777</v>
      </c>
      <c r="N39" s="17">
        <f t="shared" si="22"/>
        <v>21207.387980907948</v>
      </c>
      <c r="O39" s="18">
        <f t="shared" si="23"/>
        <v>0.15</v>
      </c>
      <c r="P39" s="19">
        <f t="shared" si="28"/>
        <v>1818.8652226153847</v>
      </c>
      <c r="Q39" s="19">
        <f t="shared" ref="Q39:Q47" si="29">O39*M39*(C39+D39/2)</f>
        <v>7275.4608904615388</v>
      </c>
      <c r="R39" s="19">
        <f t="shared" si="24"/>
        <v>7634.659673126861</v>
      </c>
    </row>
    <row r="40" spans="1:26" x14ac:dyDescent="0.3">
      <c r="B40" s="5" t="s">
        <v>8</v>
      </c>
      <c r="C40" s="6">
        <v>0</v>
      </c>
      <c r="D40" s="6">
        <f>$C$6</f>
        <v>2.4</v>
      </c>
      <c r="E40" s="6">
        <f t="shared" si="25"/>
        <v>2.4</v>
      </c>
      <c r="F40" s="11">
        <f>$D$6</f>
        <v>4</v>
      </c>
      <c r="G40" s="11">
        <v>1</v>
      </c>
      <c r="H40" s="11">
        <f t="shared" si="26"/>
        <v>5</v>
      </c>
      <c r="I40" s="11">
        <f t="shared" si="20"/>
        <v>0.95</v>
      </c>
      <c r="J40" s="10">
        <f>$H$4</f>
        <v>10115.842432692307</v>
      </c>
      <c r="K40" s="10">
        <f>$I$4</f>
        <v>5732.2078798314542</v>
      </c>
      <c r="L40" s="17">
        <f t="shared" si="27"/>
        <v>5057.9212163461534</v>
      </c>
      <c r="M40" s="17">
        <f t="shared" si="21"/>
        <v>40463.369730769227</v>
      </c>
      <c r="N40" s="17">
        <f t="shared" si="22"/>
        <v>21083.086508226381</v>
      </c>
      <c r="O40" s="18">
        <f t="shared" si="23"/>
        <v>0.15</v>
      </c>
      <c r="P40" s="19">
        <f t="shared" si="28"/>
        <v>1820.8516378846152</v>
      </c>
      <c r="Q40" s="19">
        <f t="shared" si="29"/>
        <v>7283.4065515384609</v>
      </c>
      <c r="R40" s="19">
        <f t="shared" si="24"/>
        <v>7589.9111429614959</v>
      </c>
    </row>
    <row r="41" spans="1:26" x14ac:dyDescent="0.3">
      <c r="B41" s="5" t="s">
        <v>9</v>
      </c>
      <c r="C41" s="6">
        <v>0</v>
      </c>
      <c r="D41" s="6">
        <f>$C$7</f>
        <v>4.08</v>
      </c>
      <c r="E41" s="6">
        <f t="shared" si="25"/>
        <v>4.08</v>
      </c>
      <c r="F41" s="11">
        <f>$D$7</f>
        <v>6</v>
      </c>
      <c r="G41" s="11">
        <v>1</v>
      </c>
      <c r="H41" s="11">
        <f t="shared" si="26"/>
        <v>7</v>
      </c>
      <c r="I41" s="11">
        <f t="shared" si="20"/>
        <v>0.95</v>
      </c>
      <c r="J41" s="10">
        <f>$H$5</f>
        <v>4041.922716923078</v>
      </c>
      <c r="K41" s="10">
        <f>$I$5</f>
        <v>4612.8030237838311</v>
      </c>
      <c r="L41" s="17">
        <f t="shared" si="27"/>
        <v>2020.961358461539</v>
      </c>
      <c r="M41" s="17">
        <f t="shared" si="21"/>
        <v>24251.536301538468</v>
      </c>
      <c r="N41" s="17">
        <f t="shared" si="22"/>
        <v>20074.33588579189</v>
      </c>
      <c r="O41" s="18">
        <f t="shared" si="23"/>
        <v>0.15</v>
      </c>
      <c r="P41" s="19">
        <f t="shared" si="28"/>
        <v>1236.828351378462</v>
      </c>
      <c r="Q41" s="19">
        <f t="shared" si="29"/>
        <v>7420.9701082707716</v>
      </c>
      <c r="R41" s="19">
        <f t="shared" si="24"/>
        <v>12285.493562104637</v>
      </c>
    </row>
    <row r="42" spans="1:26" x14ac:dyDescent="0.3">
      <c r="B42" s="5" t="s">
        <v>13</v>
      </c>
      <c r="C42" s="6">
        <f>D37+D38+D39</f>
        <v>108.44</v>
      </c>
      <c r="D42" s="6">
        <f>$C$8+$C$13</f>
        <v>5.8999999999999995</v>
      </c>
      <c r="E42" s="6">
        <f t="shared" si="25"/>
        <v>114.34</v>
      </c>
      <c r="F42" s="11">
        <f t="shared" ref="F42:F47" si="30">$D$8</f>
        <v>1</v>
      </c>
      <c r="G42" s="11">
        <v>1</v>
      </c>
      <c r="H42" s="11">
        <f t="shared" si="26"/>
        <v>2</v>
      </c>
      <c r="I42" s="11">
        <f t="shared" si="20"/>
        <v>0.95</v>
      </c>
      <c r="J42" s="10">
        <f>$H$3</f>
        <v>10104.806792307694</v>
      </c>
      <c r="K42" s="10">
        <f>$I$3</f>
        <v>5766.0037797297891</v>
      </c>
      <c r="L42" s="17">
        <f t="shared" si="27"/>
        <v>5052.4033961538471</v>
      </c>
      <c r="M42" s="17">
        <f t="shared" si="21"/>
        <v>10104.806792307694</v>
      </c>
      <c r="N42" s="17">
        <f t="shared" si="22"/>
        <v>13412.72984850972</v>
      </c>
      <c r="O42" s="18">
        <f t="shared" si="23"/>
        <v>0.15</v>
      </c>
      <c r="P42" s="19">
        <f t="shared" si="28"/>
        <v>86653.770647434634</v>
      </c>
      <c r="Q42" s="19">
        <f t="shared" si="29"/>
        <v>168836.16428927309</v>
      </c>
      <c r="R42" s="19">
        <f t="shared" si="24"/>
        <v>230041.72963179019</v>
      </c>
      <c r="S42" s="26">
        <f>N42/J42</f>
        <v>1.3273613364602073</v>
      </c>
      <c r="T42">
        <f>(L42+N42)/J42</f>
        <v>1.8273613364602073</v>
      </c>
    </row>
    <row r="43" spans="1:26" x14ac:dyDescent="0.3">
      <c r="B43" s="5" t="s">
        <v>14</v>
      </c>
      <c r="C43" s="6">
        <f>D37+D38+D40</f>
        <v>108.44</v>
      </c>
      <c r="D43" s="6">
        <f t="shared" ref="D43:D44" si="31">$C$8+$C$13</f>
        <v>5.8999999999999995</v>
      </c>
      <c r="E43" s="6">
        <f t="shared" si="25"/>
        <v>114.34</v>
      </c>
      <c r="F43" s="11">
        <f t="shared" si="30"/>
        <v>1</v>
      </c>
      <c r="G43" s="11">
        <v>1</v>
      </c>
      <c r="H43" s="11">
        <f t="shared" si="26"/>
        <v>2</v>
      </c>
      <c r="I43" s="11">
        <f t="shared" si="20"/>
        <v>0.95</v>
      </c>
      <c r="J43" s="10">
        <f>$H$4</f>
        <v>10115.842432692307</v>
      </c>
      <c r="K43" s="10">
        <f>$I$4</f>
        <v>5732.2078798314542</v>
      </c>
      <c r="L43" s="17">
        <f t="shared" si="27"/>
        <v>5057.9212163461534</v>
      </c>
      <c r="M43" s="17">
        <f t="shared" si="21"/>
        <v>10115.842432692307</v>
      </c>
      <c r="N43" s="17">
        <f t="shared" si="22"/>
        <v>13334.11469447233</v>
      </c>
      <c r="O43" s="18">
        <f t="shared" si="23"/>
        <v>0.15</v>
      </c>
      <c r="P43" s="19">
        <f t="shared" si="28"/>
        <v>86748.406781552869</v>
      </c>
      <c r="Q43" s="19">
        <f t="shared" si="29"/>
        <v>169020.55328663942</v>
      </c>
      <c r="R43" s="19">
        <f t="shared" si="24"/>
        <v>228693.40112489494</v>
      </c>
      <c r="S43" s="26">
        <f>N43/J43</f>
        <v>1.3181417942394233</v>
      </c>
      <c r="T43">
        <f>(L43+N43)/J43</f>
        <v>1.8181417942394231</v>
      </c>
    </row>
    <row r="44" spans="1:26" x14ac:dyDescent="0.3">
      <c r="B44" s="5" t="s">
        <v>15</v>
      </c>
      <c r="C44" s="6">
        <f>D37+D38+D41</f>
        <v>110.11999999999999</v>
      </c>
      <c r="D44" s="6">
        <f t="shared" si="31"/>
        <v>5.8999999999999995</v>
      </c>
      <c r="E44" s="6">
        <f t="shared" si="25"/>
        <v>116.02</v>
      </c>
      <c r="F44" s="11">
        <f t="shared" si="30"/>
        <v>1</v>
      </c>
      <c r="G44" s="11">
        <v>1</v>
      </c>
      <c r="H44" s="11">
        <f t="shared" si="26"/>
        <v>2</v>
      </c>
      <c r="I44" s="11">
        <f t="shared" si="20"/>
        <v>0.95</v>
      </c>
      <c r="J44" s="10">
        <f>$H$5</f>
        <v>4041.922716923078</v>
      </c>
      <c r="K44" s="10">
        <f>$I$5</f>
        <v>4612.8030237838311</v>
      </c>
      <c r="L44" s="17">
        <f t="shared" si="27"/>
        <v>2020.961358461539</v>
      </c>
      <c r="M44" s="17">
        <f t="shared" si="21"/>
        <v>4041.922716923078</v>
      </c>
      <c r="N44" s="17">
        <f t="shared" si="22"/>
        <v>10730.183878807777</v>
      </c>
      <c r="O44" s="18">
        <f t="shared" si="23"/>
        <v>0.15</v>
      </c>
      <c r="P44" s="19">
        <f t="shared" si="28"/>
        <v>35170.79052130616</v>
      </c>
      <c r="Q44" s="19">
        <f t="shared" si="29"/>
        <v>68553.030240373861</v>
      </c>
      <c r="R44" s="19">
        <f t="shared" si="24"/>
        <v>186737.39004289173</v>
      </c>
      <c r="S44" s="26">
        <f>N44/J44</f>
        <v>2.6547226729204141</v>
      </c>
      <c r="T44">
        <f>(L44+N44)/J44</f>
        <v>3.1547226729204145</v>
      </c>
    </row>
    <row r="45" spans="1:26" x14ac:dyDescent="0.3">
      <c r="B45" s="5" t="s">
        <v>19</v>
      </c>
      <c r="C45" s="6">
        <f>E42</f>
        <v>114.34</v>
      </c>
      <c r="D45" s="6">
        <f>$E$14</f>
        <v>7.2</v>
      </c>
      <c r="E45" s="6">
        <f t="shared" si="25"/>
        <v>121.54</v>
      </c>
      <c r="F45" s="11">
        <f t="shared" si="30"/>
        <v>1</v>
      </c>
      <c r="G45" s="11">
        <v>1</v>
      </c>
      <c r="H45" s="11"/>
      <c r="I45" s="11">
        <f t="shared" si="20"/>
        <v>0.95</v>
      </c>
      <c r="J45" s="10">
        <f>$H$3</f>
        <v>10104.806792307694</v>
      </c>
      <c r="K45" s="10">
        <f>$I$3</f>
        <v>5766.0037797297891</v>
      </c>
      <c r="L45" s="17"/>
      <c r="M45" s="17">
        <f t="shared" si="21"/>
        <v>10104.806792307694</v>
      </c>
      <c r="N45" s="17"/>
      <c r="O45" s="18">
        <f t="shared" si="23"/>
        <v>0.15</v>
      </c>
      <c r="P45" s="19"/>
      <c r="Q45" s="19">
        <f t="shared" si="29"/>
        <v>178764.13696271539</v>
      </c>
      <c r="R45" s="19"/>
    </row>
    <row r="46" spans="1:26" x14ac:dyDescent="0.3">
      <c r="B46" s="5" t="s">
        <v>20</v>
      </c>
      <c r="C46" s="6">
        <f>E43</f>
        <v>114.34</v>
      </c>
      <c r="D46" s="6">
        <f>$E$14</f>
        <v>7.2</v>
      </c>
      <c r="E46" s="6">
        <f t="shared" si="25"/>
        <v>121.54</v>
      </c>
      <c r="F46" s="11">
        <f t="shared" si="30"/>
        <v>1</v>
      </c>
      <c r="G46" s="11">
        <v>1</v>
      </c>
      <c r="H46" s="11"/>
      <c r="I46" s="11">
        <f t="shared" si="20"/>
        <v>0.95</v>
      </c>
      <c r="J46" s="10">
        <f>$H$4</f>
        <v>10115.842432692307</v>
      </c>
      <c r="K46" s="10">
        <f>$I$4</f>
        <v>5732.2078798314542</v>
      </c>
      <c r="L46" s="17"/>
      <c r="M46" s="17">
        <f t="shared" si="21"/>
        <v>10115.842432692307</v>
      </c>
      <c r="N46" s="17"/>
      <c r="O46" s="18">
        <f t="shared" si="23"/>
        <v>0.15</v>
      </c>
      <c r="P46" s="19"/>
      <c r="Q46" s="19">
        <f t="shared" si="29"/>
        <v>178959.36847675958</v>
      </c>
      <c r="R46" s="19"/>
    </row>
    <row r="47" spans="1:26" x14ac:dyDescent="0.3">
      <c r="B47" s="5" t="s">
        <v>21</v>
      </c>
      <c r="C47" s="6">
        <f>E44</f>
        <v>116.02</v>
      </c>
      <c r="D47" s="6">
        <f>$E$14</f>
        <v>7.2</v>
      </c>
      <c r="E47" s="6">
        <f t="shared" si="25"/>
        <v>123.22</v>
      </c>
      <c r="F47" s="11">
        <f t="shared" si="30"/>
        <v>1</v>
      </c>
      <c r="G47" s="11">
        <v>1</v>
      </c>
      <c r="H47" s="11"/>
      <c r="I47" s="11">
        <f t="shared" si="20"/>
        <v>0.95</v>
      </c>
      <c r="J47" s="10">
        <f>$H$5</f>
        <v>4041.922716923078</v>
      </c>
      <c r="K47" s="10">
        <f>$I$5</f>
        <v>4612.8030237838311</v>
      </c>
      <c r="L47" s="17"/>
      <c r="M47" s="17">
        <f t="shared" si="21"/>
        <v>4041.922716923078</v>
      </c>
      <c r="N47" s="17"/>
      <c r="O47" s="18">
        <f t="shared" si="23"/>
        <v>0.15</v>
      </c>
      <c r="P47" s="19"/>
      <c r="Q47" s="19">
        <f t="shared" si="29"/>
        <v>72524.219309750784</v>
      </c>
      <c r="R47" s="19"/>
    </row>
    <row r="49" spans="2:9" x14ac:dyDescent="0.3">
      <c r="B49" s="20" t="s">
        <v>60</v>
      </c>
    </row>
    <row r="50" spans="2:9" x14ac:dyDescent="0.3">
      <c r="C50" t="s">
        <v>4</v>
      </c>
      <c r="D50" t="s">
        <v>5</v>
      </c>
      <c r="H50" t="s">
        <v>4</v>
      </c>
      <c r="I50" t="s">
        <v>5</v>
      </c>
    </row>
    <row r="51" spans="2:9" x14ac:dyDescent="0.3">
      <c r="B51" s="5" t="s">
        <v>22</v>
      </c>
      <c r="C51" s="6">
        <f>D20+D21+($H$3*D22+$H$4*D23+$H$5*D24)/SUM($H$3:$H$5)</f>
        <v>108.71987264419802</v>
      </c>
      <c r="D51" s="6">
        <f>E37+E38+($H$3*E39+$H$4*E40+$H$5*E41)/SUM($H$3:$H$5)</f>
        <v>108.71987264419802</v>
      </c>
      <c r="G51" s="5" t="s">
        <v>53</v>
      </c>
      <c r="H51" s="6">
        <f>SUM(C51:C53)</f>
        <v>118.91987264419802</v>
      </c>
      <c r="I51" s="6">
        <f>SUM(D51:D53)</f>
        <v>121.81987264419801</v>
      </c>
    </row>
    <row r="52" spans="2:9" x14ac:dyDescent="0.3">
      <c r="B52" s="5" t="s">
        <v>23</v>
      </c>
      <c r="C52" s="6">
        <f>($H$3*D25+$H$4*D26+$H$5*D27)/SUM($H$3:$H$5)</f>
        <v>5.7999999999999989</v>
      </c>
      <c r="D52" s="6">
        <f>($H$3*D42+$H$4*D43+$H$5*D44)/SUM($H$3:$H$5)</f>
        <v>5.8999999999999986</v>
      </c>
      <c r="G52" s="5" t="s">
        <v>54</v>
      </c>
      <c r="H52" s="7">
        <f>SUM(C54:C56)</f>
        <v>6.2232359783059614</v>
      </c>
      <c r="I52" s="7">
        <f>SUM(D54:D56)</f>
        <v>3.8181197238328526</v>
      </c>
    </row>
    <row r="53" spans="2:9" x14ac:dyDescent="0.3">
      <c r="B53" s="5" t="s">
        <v>24</v>
      </c>
      <c r="C53" s="6">
        <f>($H$3*D28+$H$4*D29+$H$5*D30)/SUM($H$3:$H$5)+($H$3*D31+$H$4*D32+$H$5*D33)/SUM($H$3:$H$5)</f>
        <v>4.4000000000000004</v>
      </c>
      <c r="D53" s="6">
        <f>($H$3*D45+$H$4*D46+$H$5*D47)/SUM($H$3:$H$5)</f>
        <v>7.1999999999999984</v>
      </c>
      <c r="G53" s="5" t="s">
        <v>51</v>
      </c>
      <c r="H53" s="2">
        <f>SUM(H51:H52)</f>
        <v>125.14310862250399</v>
      </c>
      <c r="I53" s="2">
        <f>SUM(I51:I52)</f>
        <v>125.63799236803087</v>
      </c>
    </row>
    <row r="54" spans="2:9" x14ac:dyDescent="0.3">
      <c r="B54" s="5" t="s">
        <v>48</v>
      </c>
      <c r="C54" s="7">
        <f>SUM(P20:P33)/(SUM($H$3:$H$5)*52)</f>
        <v>0.49338406432585685</v>
      </c>
      <c r="D54" s="7">
        <f>SUM(P37:P47)/(SUM($H$3:$H$5)*52)</f>
        <v>0.3221246326274943</v>
      </c>
    </row>
    <row r="55" spans="2:9" x14ac:dyDescent="0.3">
      <c r="B55" s="5" t="s">
        <v>49</v>
      </c>
      <c r="C55" s="7">
        <f>SUM(R20:R33)/(SUM($H$3:$H$5)*52)</f>
        <v>1.7409522663691817</v>
      </c>
      <c r="D55" s="7">
        <f>SUM(R37:R47)/(SUM($H$3:$H$5)*52)</f>
        <v>1.1917378375011374</v>
      </c>
      <c r="F55" t="s">
        <v>81</v>
      </c>
    </row>
    <row r="56" spans="2:9" x14ac:dyDescent="0.3">
      <c r="B56" s="5" t="s">
        <v>50</v>
      </c>
      <c r="C56" s="7">
        <f>SUM(Q20:Q33)/(SUM($H$3:$H$5)*52)</f>
        <v>3.9888996476109235</v>
      </c>
      <c r="D56" s="7">
        <f>SUM(Q37:Q47)/(SUM($H$3:$H$5)*52)</f>
        <v>2.304257253704221</v>
      </c>
    </row>
    <row r="57" spans="2:9" x14ac:dyDescent="0.3">
      <c r="B57" s="5" t="s">
        <v>51</v>
      </c>
      <c r="C57" s="2">
        <f>SUM(C51:C56)</f>
        <v>125.14310862250397</v>
      </c>
      <c r="D57" s="2">
        <f>SUM(D51:D56)</f>
        <v>125.63799236803087</v>
      </c>
    </row>
    <row r="58" spans="2:9" x14ac:dyDescent="0.3">
      <c r="B58" s="5" t="s">
        <v>6</v>
      </c>
      <c r="C58" s="2">
        <v>143.19999999999999</v>
      </c>
      <c r="D58" s="2">
        <v>143.19999999999999</v>
      </c>
    </row>
    <row r="59" spans="2:9" x14ac:dyDescent="0.3">
      <c r="B59" s="5" t="s">
        <v>52</v>
      </c>
      <c r="C59" s="8">
        <f>1-C57/C58</f>
        <v>0.12609561017804483</v>
      </c>
      <c r="D59" s="8">
        <f>1-D57/D58</f>
        <v>0.12263971810034302</v>
      </c>
    </row>
    <row r="62" spans="2:9" x14ac:dyDescent="0.3">
      <c r="C62">
        <v>125.14311002434377</v>
      </c>
      <c r="D62">
        <v>125.6379931101431</v>
      </c>
    </row>
    <row r="69" spans="2:5" x14ac:dyDescent="0.3">
      <c r="C69" t="s">
        <v>4</v>
      </c>
      <c r="D69" t="s">
        <v>5</v>
      </c>
    </row>
    <row r="70" spans="2:5" x14ac:dyDescent="0.3">
      <c r="B70" s="5" t="s">
        <v>74</v>
      </c>
      <c r="C70" s="19">
        <f t="shared" ref="C70:D72" si="32">C54/$C$16*SUM($H$3:$H$5)*52</f>
        <v>4149865.6699775625</v>
      </c>
      <c r="D70" s="19">
        <f t="shared" si="32"/>
        <v>2709398.3187752427</v>
      </c>
    </row>
    <row r="71" spans="2:5" x14ac:dyDescent="0.3">
      <c r="B71" s="5" t="s">
        <v>75</v>
      </c>
      <c r="C71" s="19">
        <f t="shared" si="32"/>
        <v>14643192.931548584</v>
      </c>
      <c r="D71" s="19">
        <f t="shared" si="32"/>
        <v>10023736.673004838</v>
      </c>
    </row>
    <row r="72" spans="2:5" x14ac:dyDescent="0.3">
      <c r="B72" s="5" t="s">
        <v>76</v>
      </c>
      <c r="C72" s="19">
        <f t="shared" si="32"/>
        <v>33550734.418680839</v>
      </c>
      <c r="D72" s="19">
        <f t="shared" si="32"/>
        <v>19381165.228774879</v>
      </c>
    </row>
    <row r="73" spans="2:5" x14ac:dyDescent="0.3">
      <c r="B73" s="5" t="s">
        <v>77</v>
      </c>
      <c r="C73" s="4">
        <f>C70+C71+C72</f>
        <v>52343793.020206988</v>
      </c>
      <c r="D73" s="4">
        <f>D70+D71+D72</f>
        <v>32114300.220554959</v>
      </c>
    </row>
    <row r="77" spans="2:5" x14ac:dyDescent="0.3">
      <c r="B77" t="s">
        <v>71</v>
      </c>
      <c r="C77" t="s">
        <v>72</v>
      </c>
      <c r="D77" t="s">
        <v>73</v>
      </c>
    </row>
    <row r="78" spans="2:5" x14ac:dyDescent="0.3">
      <c r="C78" s="2">
        <f>C57</f>
        <v>125.14310862250397</v>
      </c>
      <c r="D78" s="2">
        <f>D57</f>
        <v>125.63799236803087</v>
      </c>
      <c r="E78" s="2">
        <f>$H$94</f>
        <v>128.88000000000002</v>
      </c>
    </row>
    <row r="79" spans="2:5" x14ac:dyDescent="0.3">
      <c r="B79" s="3">
        <v>0</v>
      </c>
      <c r="C79" s="2">
        <f t="dataTable" ref="C79:D119" dt2D="0" dtr="0" r1="C16"/>
        <v>118.91987264419802</v>
      </c>
      <c r="D79" s="2">
        <v>121.81987264419801</v>
      </c>
      <c r="E79" s="2">
        <f t="shared" ref="E79:E119" si="33">$H$94</f>
        <v>128.88000000000002</v>
      </c>
    </row>
    <row r="80" spans="2:5" x14ac:dyDescent="0.3">
      <c r="B80" s="3">
        <v>0.01</v>
      </c>
      <c r="C80" s="2">
        <v>119.33475504275175</v>
      </c>
      <c r="D80" s="2">
        <v>122.07441395912019</v>
      </c>
      <c r="E80" s="2">
        <f t="shared" si="33"/>
        <v>128.88000000000002</v>
      </c>
    </row>
    <row r="81" spans="2:8" x14ac:dyDescent="0.3">
      <c r="B81" s="3">
        <v>0.02</v>
      </c>
      <c r="C81" s="2">
        <v>119.7496374413055</v>
      </c>
      <c r="D81" s="2">
        <v>122.3289552740424</v>
      </c>
      <c r="E81" s="2">
        <f t="shared" si="33"/>
        <v>128.88000000000002</v>
      </c>
    </row>
    <row r="82" spans="2:8" x14ac:dyDescent="0.3">
      <c r="B82" s="3">
        <v>0.03</v>
      </c>
      <c r="C82" s="2">
        <v>120.1645198398592</v>
      </c>
      <c r="D82" s="2">
        <v>122.58349658896459</v>
      </c>
      <c r="E82" s="2">
        <f t="shared" si="33"/>
        <v>128.88000000000002</v>
      </c>
    </row>
    <row r="83" spans="2:8" x14ac:dyDescent="0.3">
      <c r="B83" s="3">
        <v>0.04</v>
      </c>
      <c r="C83" s="2">
        <v>120.57940223841294</v>
      </c>
      <c r="D83" s="2">
        <v>122.83803790388677</v>
      </c>
      <c r="E83" s="2">
        <f t="shared" si="33"/>
        <v>128.88000000000002</v>
      </c>
    </row>
    <row r="84" spans="2:8" x14ac:dyDescent="0.3">
      <c r="B84" s="3">
        <v>0.05</v>
      </c>
      <c r="C84" s="2">
        <v>120.99428463696667</v>
      </c>
      <c r="D84" s="2">
        <v>123.09257921880896</v>
      </c>
      <c r="E84" s="2">
        <f t="shared" si="33"/>
        <v>128.88000000000002</v>
      </c>
    </row>
    <row r="85" spans="2:8" x14ac:dyDescent="0.3">
      <c r="B85" s="3">
        <v>0.06</v>
      </c>
      <c r="C85" s="2">
        <v>121.40916703552041</v>
      </c>
      <c r="D85" s="2">
        <v>123.34712053373116</v>
      </c>
      <c r="E85" s="2">
        <f t="shared" si="33"/>
        <v>128.88000000000002</v>
      </c>
    </row>
    <row r="86" spans="2:8" x14ac:dyDescent="0.3">
      <c r="B86" s="3">
        <v>7.0000000000000007E-2</v>
      </c>
      <c r="C86" s="2">
        <v>121.82404943407414</v>
      </c>
      <c r="D86" s="2">
        <v>123.60166184865334</v>
      </c>
      <c r="E86" s="2">
        <f t="shared" si="33"/>
        <v>128.88000000000002</v>
      </c>
    </row>
    <row r="87" spans="2:8" x14ac:dyDescent="0.3">
      <c r="B87" s="3">
        <v>0.08</v>
      </c>
      <c r="C87" s="2">
        <v>122.23893183262788</v>
      </c>
      <c r="D87" s="2">
        <v>123.85620316357554</v>
      </c>
      <c r="E87" s="2">
        <f t="shared" si="33"/>
        <v>128.88000000000002</v>
      </c>
    </row>
    <row r="88" spans="2:8" x14ac:dyDescent="0.3">
      <c r="B88" s="3">
        <v>0.09</v>
      </c>
      <c r="C88" s="2">
        <v>122.65381423118158</v>
      </c>
      <c r="D88" s="2">
        <v>124.11074447849772</v>
      </c>
      <c r="E88" s="2">
        <f t="shared" si="33"/>
        <v>128.88000000000002</v>
      </c>
    </row>
    <row r="89" spans="2:8" x14ac:dyDescent="0.3">
      <c r="B89" s="3">
        <v>0.1</v>
      </c>
      <c r="C89" s="2">
        <v>123.06869662973533</v>
      </c>
      <c r="D89" s="2">
        <v>124.36528579341991</v>
      </c>
      <c r="E89" s="2">
        <f t="shared" si="33"/>
        <v>128.88000000000002</v>
      </c>
    </row>
    <row r="90" spans="2:8" x14ac:dyDescent="0.3">
      <c r="B90" s="3">
        <v>0.11</v>
      </c>
      <c r="C90" s="2">
        <v>123.48357902828906</v>
      </c>
      <c r="D90" s="2">
        <v>124.61982710834211</v>
      </c>
      <c r="E90" s="2">
        <f t="shared" si="33"/>
        <v>128.88000000000002</v>
      </c>
    </row>
    <row r="91" spans="2:8" x14ac:dyDescent="0.3">
      <c r="B91" s="3">
        <v>0.12</v>
      </c>
      <c r="C91" s="2">
        <v>123.8984614268428</v>
      </c>
      <c r="D91" s="2">
        <v>124.8743684232643</v>
      </c>
      <c r="E91" s="2">
        <f t="shared" si="33"/>
        <v>128.88000000000002</v>
      </c>
    </row>
    <row r="92" spans="2:8" x14ac:dyDescent="0.3">
      <c r="B92" s="3">
        <v>0.13</v>
      </c>
      <c r="C92" s="2">
        <v>124.31334382539653</v>
      </c>
      <c r="D92" s="2">
        <v>125.12890973818648</v>
      </c>
      <c r="E92" s="2">
        <f t="shared" si="33"/>
        <v>128.88000000000002</v>
      </c>
      <c r="G92" s="5" t="s">
        <v>78</v>
      </c>
      <c r="H92" s="25">
        <v>179</v>
      </c>
    </row>
    <row r="93" spans="2:8" x14ac:dyDescent="0.3">
      <c r="B93" s="3">
        <v>0.14000000000000001</v>
      </c>
      <c r="C93" s="2">
        <v>124.72822622395027</v>
      </c>
      <c r="D93" s="2">
        <v>125.38345105310869</v>
      </c>
      <c r="E93" s="2">
        <f t="shared" si="33"/>
        <v>128.88000000000002</v>
      </c>
      <c r="G93" s="5" t="s">
        <v>79</v>
      </c>
      <c r="H93" s="6">
        <f>H92*(1-0.2)</f>
        <v>143.20000000000002</v>
      </c>
    </row>
    <row r="94" spans="2:8" x14ac:dyDescent="0.3">
      <c r="B94" s="3">
        <v>0.15</v>
      </c>
      <c r="C94" s="2">
        <v>125.14310862250397</v>
      </c>
      <c r="D94" s="2">
        <v>125.63799236803087</v>
      </c>
      <c r="E94" s="2">
        <f t="shared" si="33"/>
        <v>128.88000000000002</v>
      </c>
      <c r="G94" s="5" t="s">
        <v>80</v>
      </c>
      <c r="H94" s="6">
        <f>H93*(1-0.1)</f>
        <v>128.88000000000002</v>
      </c>
    </row>
    <row r="95" spans="2:8" x14ac:dyDescent="0.3">
      <c r="B95" s="3">
        <v>0.16</v>
      </c>
      <c r="C95" s="2">
        <v>125.55799102105772</v>
      </c>
      <c r="D95" s="2">
        <v>125.89253368295304</v>
      </c>
      <c r="E95" s="2">
        <f t="shared" si="33"/>
        <v>128.88000000000002</v>
      </c>
    </row>
    <row r="96" spans="2:8" x14ac:dyDescent="0.3">
      <c r="B96" s="3">
        <v>0.17</v>
      </c>
      <c r="C96" s="2">
        <v>125.97287341961145</v>
      </c>
      <c r="D96" s="2">
        <v>126.14707499787525</v>
      </c>
      <c r="E96" s="2">
        <f t="shared" si="33"/>
        <v>128.88000000000002</v>
      </c>
    </row>
    <row r="97" spans="2:5" x14ac:dyDescent="0.3">
      <c r="B97" s="3">
        <v>0.18</v>
      </c>
      <c r="C97" s="2">
        <v>126.38775581816518</v>
      </c>
      <c r="D97" s="2">
        <v>126.40161631279744</v>
      </c>
      <c r="E97" s="2">
        <f t="shared" si="33"/>
        <v>128.88000000000002</v>
      </c>
    </row>
    <row r="98" spans="2:5" x14ac:dyDescent="0.3">
      <c r="B98" s="3">
        <v>0.19</v>
      </c>
      <c r="C98" s="2">
        <v>126.80263821671892</v>
      </c>
      <c r="D98" s="2">
        <v>126.65615762771962</v>
      </c>
      <c r="E98" s="2">
        <f t="shared" si="33"/>
        <v>128.88000000000002</v>
      </c>
    </row>
    <row r="99" spans="2:5" x14ac:dyDescent="0.3">
      <c r="B99" s="3">
        <v>0.2</v>
      </c>
      <c r="C99" s="2">
        <v>127.21752061527263</v>
      </c>
      <c r="D99" s="2">
        <v>126.91069894264182</v>
      </c>
      <c r="E99" s="2">
        <f t="shared" si="33"/>
        <v>128.88000000000002</v>
      </c>
    </row>
    <row r="100" spans="2:5" x14ac:dyDescent="0.3">
      <c r="B100" s="3">
        <v>0.21</v>
      </c>
      <c r="C100" s="2">
        <v>127.63240301382636</v>
      </c>
      <c r="D100" s="2">
        <v>127.16524025756401</v>
      </c>
      <c r="E100" s="2">
        <f t="shared" si="33"/>
        <v>128.88000000000002</v>
      </c>
    </row>
    <row r="101" spans="2:5" x14ac:dyDescent="0.3">
      <c r="B101" s="3">
        <v>0.22</v>
      </c>
      <c r="C101" s="2">
        <v>128.04728541238009</v>
      </c>
      <c r="D101" s="2">
        <v>127.4197815724862</v>
      </c>
      <c r="E101" s="2">
        <f t="shared" si="33"/>
        <v>128.88000000000002</v>
      </c>
    </row>
    <row r="102" spans="2:5" x14ac:dyDescent="0.3">
      <c r="B102" s="3">
        <v>0.23</v>
      </c>
      <c r="C102" s="2">
        <v>128.46216781093383</v>
      </c>
      <c r="D102" s="2">
        <v>127.67432288740839</v>
      </c>
      <c r="E102" s="2">
        <f t="shared" si="33"/>
        <v>128.88000000000002</v>
      </c>
    </row>
    <row r="103" spans="2:5" x14ac:dyDescent="0.3">
      <c r="B103" s="3">
        <v>0.24</v>
      </c>
      <c r="C103" s="2">
        <v>128.87705020948758</v>
      </c>
      <c r="D103" s="2">
        <v>127.92886420233057</v>
      </c>
      <c r="E103" s="2">
        <f t="shared" si="33"/>
        <v>128.88000000000002</v>
      </c>
    </row>
    <row r="104" spans="2:5" x14ac:dyDescent="0.3">
      <c r="B104" s="3">
        <v>0.25</v>
      </c>
      <c r="C104" s="2">
        <v>129.29193260804129</v>
      </c>
      <c r="D104" s="2">
        <v>128.18340551725277</v>
      </c>
      <c r="E104" s="2">
        <f t="shared" si="33"/>
        <v>128.88000000000002</v>
      </c>
    </row>
    <row r="105" spans="2:5" x14ac:dyDescent="0.3">
      <c r="B105" s="3">
        <v>0.26</v>
      </c>
      <c r="C105" s="2">
        <v>129.70681500659501</v>
      </c>
      <c r="D105" s="2">
        <v>128.43794683217496</v>
      </c>
      <c r="E105" s="2">
        <f t="shared" si="33"/>
        <v>128.88000000000002</v>
      </c>
    </row>
    <row r="106" spans="2:5" x14ac:dyDescent="0.3">
      <c r="B106" s="3">
        <v>0.27</v>
      </c>
      <c r="C106" s="2">
        <v>130.12169740514875</v>
      </c>
      <c r="D106" s="2">
        <v>128.69248814709715</v>
      </c>
      <c r="E106" s="2">
        <f t="shared" si="33"/>
        <v>128.88000000000002</v>
      </c>
    </row>
    <row r="107" spans="2:5" x14ac:dyDescent="0.3">
      <c r="B107" s="3">
        <v>0.28000000000000003</v>
      </c>
      <c r="C107" s="2">
        <v>130.53657980370249</v>
      </c>
      <c r="D107" s="2">
        <v>128.94702946201934</v>
      </c>
      <c r="E107" s="2">
        <f t="shared" si="33"/>
        <v>128.88000000000002</v>
      </c>
    </row>
    <row r="108" spans="2:5" x14ac:dyDescent="0.3">
      <c r="B108" s="3">
        <v>0.28999999999999998</v>
      </c>
      <c r="C108" s="2">
        <v>130.95146220225621</v>
      </c>
      <c r="D108" s="2">
        <v>129.20157077694154</v>
      </c>
      <c r="E108" s="2">
        <f t="shared" si="33"/>
        <v>128.88000000000002</v>
      </c>
    </row>
    <row r="109" spans="2:5" x14ac:dyDescent="0.3">
      <c r="B109" s="3">
        <v>0.3</v>
      </c>
      <c r="C109" s="2">
        <v>131.36634460080995</v>
      </c>
      <c r="D109" s="2">
        <v>129.4561120918637</v>
      </c>
      <c r="E109" s="2">
        <f t="shared" si="33"/>
        <v>128.88000000000002</v>
      </c>
    </row>
    <row r="110" spans="2:5" x14ac:dyDescent="0.3">
      <c r="B110" s="3">
        <v>0.31</v>
      </c>
      <c r="C110" s="2">
        <v>131.78122699936367</v>
      </c>
      <c r="D110" s="2">
        <v>129.71065340678589</v>
      </c>
      <c r="E110" s="2">
        <f t="shared" si="33"/>
        <v>128.88000000000002</v>
      </c>
    </row>
    <row r="111" spans="2:5" x14ac:dyDescent="0.3">
      <c r="B111" s="3">
        <v>0.32</v>
      </c>
      <c r="C111" s="2">
        <v>132.19610939791741</v>
      </c>
      <c r="D111" s="2">
        <v>129.96519472170812</v>
      </c>
      <c r="E111" s="2">
        <f t="shared" si="33"/>
        <v>128.88000000000002</v>
      </c>
    </row>
    <row r="112" spans="2:5" x14ac:dyDescent="0.3">
      <c r="B112" s="3">
        <v>0.33</v>
      </c>
      <c r="C112" s="2">
        <v>132.61099179647113</v>
      </c>
      <c r="D112" s="2">
        <v>130.21973603663028</v>
      </c>
      <c r="E112" s="2">
        <f t="shared" si="33"/>
        <v>128.88000000000002</v>
      </c>
    </row>
    <row r="113" spans="2:5" x14ac:dyDescent="0.3">
      <c r="B113" s="3">
        <v>0.34</v>
      </c>
      <c r="C113" s="2">
        <v>133.02587419502487</v>
      </c>
      <c r="D113" s="2">
        <v>130.47427735155247</v>
      </c>
      <c r="E113" s="2">
        <f t="shared" si="33"/>
        <v>128.88000000000002</v>
      </c>
    </row>
    <row r="114" spans="2:5" x14ac:dyDescent="0.3">
      <c r="B114" s="3">
        <v>0.35</v>
      </c>
      <c r="C114" s="2">
        <v>133.44075659357861</v>
      </c>
      <c r="D114" s="2">
        <v>130.72881866647467</v>
      </c>
      <c r="E114" s="2">
        <f t="shared" si="33"/>
        <v>128.88000000000002</v>
      </c>
    </row>
    <row r="115" spans="2:5" x14ac:dyDescent="0.3">
      <c r="B115" s="3">
        <v>0.36</v>
      </c>
      <c r="C115" s="2">
        <v>133.85563899213236</v>
      </c>
      <c r="D115" s="2">
        <v>130.98335998139686</v>
      </c>
      <c r="E115" s="2">
        <f t="shared" si="33"/>
        <v>128.88000000000002</v>
      </c>
    </row>
    <row r="116" spans="2:5" x14ac:dyDescent="0.3">
      <c r="B116" s="3">
        <v>0.37</v>
      </c>
      <c r="C116" s="2">
        <v>134.27052139068604</v>
      </c>
      <c r="D116" s="2">
        <v>131.23790129631905</v>
      </c>
      <c r="E116" s="2">
        <f t="shared" si="33"/>
        <v>128.88000000000002</v>
      </c>
    </row>
    <row r="117" spans="2:5" x14ac:dyDescent="0.3">
      <c r="B117" s="3">
        <v>0.38</v>
      </c>
      <c r="C117" s="2">
        <v>134.68540378923979</v>
      </c>
      <c r="D117" s="2">
        <v>131.49244261124124</v>
      </c>
      <c r="E117" s="2">
        <f t="shared" si="33"/>
        <v>128.88000000000002</v>
      </c>
    </row>
    <row r="118" spans="2:5" x14ac:dyDescent="0.3">
      <c r="B118" s="3">
        <v>0.39</v>
      </c>
      <c r="C118" s="2">
        <v>135.10028618779353</v>
      </c>
      <c r="D118" s="2">
        <v>131.74698392616344</v>
      </c>
      <c r="E118" s="2">
        <f t="shared" si="33"/>
        <v>128.88000000000002</v>
      </c>
    </row>
    <row r="119" spans="2:5" x14ac:dyDescent="0.3">
      <c r="B119" s="3">
        <v>0.4</v>
      </c>
      <c r="C119" s="2">
        <v>135.51516858634727</v>
      </c>
      <c r="D119" s="2">
        <v>132.0015252410856</v>
      </c>
      <c r="E119" s="2">
        <f t="shared" si="33"/>
        <v>128.88000000000002</v>
      </c>
    </row>
  </sheetData>
  <phoneticPr fontId="5" type="noConversion"/>
  <pageMargins left="0.5" right="0.5" top="0.5" bottom="0.5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1"/>
  <sheetViews>
    <sheetView showGridLines="0" zoomScale="200" zoomScaleNormal="200" zoomScalePageLayoutView="200" workbookViewId="0">
      <selection activeCell="D10" sqref="D10"/>
    </sheetView>
  </sheetViews>
  <sheetFormatPr defaultColWidth="10.77734375" defaultRowHeight="14.4" x14ac:dyDescent="0.3"/>
  <cols>
    <col min="1" max="1" width="2.77734375" customWidth="1"/>
    <col min="2" max="10" width="9.6640625" customWidth="1"/>
  </cols>
  <sheetData>
    <row r="2" spans="2:11" ht="43.2" x14ac:dyDescent="0.3">
      <c r="C2" s="9" t="s">
        <v>63</v>
      </c>
      <c r="D2" s="9" t="s">
        <v>62</v>
      </c>
      <c r="E2" s="9" t="s">
        <v>65</v>
      </c>
      <c r="F2" s="9" t="s">
        <v>61</v>
      </c>
      <c r="G2" s="9" t="s">
        <v>64</v>
      </c>
      <c r="H2" s="9" t="s">
        <v>65</v>
      </c>
      <c r="I2" s="9" t="s">
        <v>68</v>
      </c>
      <c r="J2" s="9" t="s">
        <v>56</v>
      </c>
    </row>
    <row r="3" spans="2:11" x14ac:dyDescent="0.3">
      <c r="B3" s="5" t="s">
        <v>10</v>
      </c>
      <c r="C3" s="21">
        <v>9838.2960615384618</v>
      </c>
      <c r="D3" s="21">
        <v>5837.9900031555699</v>
      </c>
      <c r="E3" s="22">
        <f>D3/C3</f>
        <v>0.59339442182253821</v>
      </c>
      <c r="F3" s="21">
        <v>10104.806792307694</v>
      </c>
      <c r="G3" s="21">
        <v>560.73741532260431</v>
      </c>
      <c r="H3" s="22">
        <f>G3/F3</f>
        <v>5.549214614864946E-2</v>
      </c>
      <c r="I3" s="21">
        <v>266.51073076923069</v>
      </c>
      <c r="J3" s="21">
        <v>5765.9355083524752</v>
      </c>
    </row>
    <row r="4" spans="2:11" x14ac:dyDescent="0.3">
      <c r="B4" s="5" t="s">
        <v>11</v>
      </c>
      <c r="C4" s="21">
        <v>7925.4300410071601</v>
      </c>
      <c r="D4" s="21">
        <v>5639.1508581208691</v>
      </c>
      <c r="E4" s="22">
        <f t="shared" ref="E4:E5" si="0">D4/C4</f>
        <v>0.71152616690112735</v>
      </c>
      <c r="F4" s="21">
        <v>10115.842432692307</v>
      </c>
      <c r="G4" s="21">
        <v>556.08138922425337</v>
      </c>
      <c r="H4" s="22">
        <f t="shared" ref="H4:H5" si="1">G4/F4</f>
        <v>5.4971337575120141E-2</v>
      </c>
      <c r="I4" s="21">
        <v>2190.4123916851486</v>
      </c>
      <c r="J4" s="21">
        <v>5732.244767325531</v>
      </c>
    </row>
    <row r="5" spans="2:11" x14ac:dyDescent="0.3">
      <c r="B5" s="5" t="s">
        <v>12</v>
      </c>
      <c r="C5" s="21">
        <v>3935.3184246153851</v>
      </c>
      <c r="D5" s="21">
        <v>4670.3920025244561</v>
      </c>
      <c r="E5" s="22">
        <f t="shared" si="0"/>
        <v>1.1867888436450762</v>
      </c>
      <c r="F5" s="21">
        <v>4041.922716923078</v>
      </c>
      <c r="G5" s="21">
        <v>448.58993225808348</v>
      </c>
      <c r="H5" s="22">
        <f t="shared" si="1"/>
        <v>0.11098429229729892</v>
      </c>
      <c r="I5" s="21">
        <v>106.60429230769228</v>
      </c>
      <c r="J5" s="21">
        <v>4612.7484066819807</v>
      </c>
    </row>
    <row r="6" spans="2:11" x14ac:dyDescent="0.3">
      <c r="K6" s="1"/>
    </row>
    <row r="7" spans="2:11" ht="28.8" x14ac:dyDescent="0.3">
      <c r="C7" s="9" t="s">
        <v>66</v>
      </c>
      <c r="D7" s="9" t="s">
        <v>67</v>
      </c>
    </row>
    <row r="8" spans="2:11" x14ac:dyDescent="0.3">
      <c r="B8" s="5" t="s">
        <v>10</v>
      </c>
      <c r="C8" s="21">
        <f>52*C3</f>
        <v>511591.39520000003</v>
      </c>
      <c r="D8" s="21">
        <f>F3*52</f>
        <v>525449.95320000011</v>
      </c>
    </row>
    <row r="9" spans="2:11" x14ac:dyDescent="0.3">
      <c r="B9" s="5" t="s">
        <v>11</v>
      </c>
      <c r="C9" s="21">
        <f t="shared" ref="C9:C10" si="2">52*C4</f>
        <v>412122.36213237233</v>
      </c>
      <c r="D9" s="21">
        <f t="shared" ref="D9:D10" si="3">F4*52</f>
        <v>526023.80649999995</v>
      </c>
    </row>
    <row r="10" spans="2:11" x14ac:dyDescent="0.3">
      <c r="B10" s="5" t="s">
        <v>12</v>
      </c>
      <c r="C10" s="21">
        <f t="shared" si="2"/>
        <v>204636.55808000002</v>
      </c>
      <c r="D10" s="21">
        <f t="shared" si="3"/>
        <v>210179.98128000007</v>
      </c>
    </row>
    <row r="11" spans="2:11" x14ac:dyDescent="0.3">
      <c r="B11" s="5" t="s">
        <v>69</v>
      </c>
      <c r="C11" s="23">
        <f>SUM(C8:C10)</f>
        <v>1128350.3154123724</v>
      </c>
      <c r="D11" s="23">
        <f>SUM(D8:D10)</f>
        <v>1261653.7409800002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160" zoomScaleNormal="160" zoomScalePageLayoutView="200" workbookViewId="0">
      <selection activeCell="L28" sqref="L28"/>
    </sheetView>
  </sheetViews>
  <sheetFormatPr defaultColWidth="8.77734375" defaultRowHeight="13.2" x14ac:dyDescent="0.25"/>
  <cols>
    <col min="1" max="1" width="2.44140625" style="24" customWidth="1"/>
    <col min="2" max="16384" width="8.77734375" style="24"/>
  </cols>
  <sheetData/>
  <pageMargins left="0.5" right="0.5" top="0.5" bottom="0.5" header="0.5" footer="0.5"/>
  <pageSetup orientation="portrait"/>
  <headerFooter>
    <oddHeader>&amp;C&amp;F : &amp;A&amp;R&amp;D &amp;T</oddHeader>
    <oddFooter>&amp;C&amp;P of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Senario calculations</vt:lpstr>
      <vt:lpstr>Demand analysis</vt:lpstr>
      <vt:lpstr>TN AirSCMap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 R Crane</dc:creator>
  <cp:lastModifiedBy>Anup Sreekumar</cp:lastModifiedBy>
  <dcterms:created xsi:type="dcterms:W3CDTF">2014-11-30T06:47:49Z</dcterms:created>
  <dcterms:modified xsi:type="dcterms:W3CDTF">2023-03-25T19:28:29Z</dcterms:modified>
</cp:coreProperties>
</file>