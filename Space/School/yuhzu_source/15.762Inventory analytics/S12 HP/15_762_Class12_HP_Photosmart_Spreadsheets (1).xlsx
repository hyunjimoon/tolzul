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12 - HP/_____PreClass/"/>
    </mc:Choice>
  </mc:AlternateContent>
  <xr:revisionPtr revIDLastSave="0" documentId="13_ncr:1_{C59C3900-A6DD-9041-91B5-320604B680EC}" xr6:coauthVersionLast="47" xr6:coauthVersionMax="47" xr10:uidLastSave="{00000000-0000-0000-0000-000000000000}"/>
  <bookViews>
    <workbookView xWindow="0" yWindow="760" windowWidth="34560" windowHeight="20220" tabRatio="655" xr2:uid="{00000000-000D-0000-FFFF-FFFF00000000}"/>
  </bookViews>
  <sheets>
    <sheet name="Ex2" sheetId="6" r:id="rId1"/>
    <sheet name="Ex5" sheetId="9" r:id="rId2"/>
    <sheet name="Ex6" sheetId="8" r:id="rId3"/>
    <sheet name="Ex7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9" l="1"/>
  <c r="AY19" i="8" l="1"/>
  <c r="AZ19" i="8"/>
  <c r="BA19" i="8"/>
  <c r="AX19" i="8"/>
  <c r="AY19" i="3"/>
  <c r="AZ19" i="3"/>
  <c r="BA19" i="3"/>
  <c r="AX19" i="3"/>
  <c r="B19" i="8" l="1"/>
  <c r="B20" i="8"/>
  <c r="C19" i="8"/>
  <c r="C20" i="8"/>
  <c r="D19" i="8"/>
  <c r="D20" i="8"/>
  <c r="E19" i="8"/>
  <c r="E20" i="8" s="1"/>
  <c r="F19" i="8"/>
  <c r="F20" i="8"/>
  <c r="G19" i="8"/>
  <c r="G20" i="8" s="1"/>
  <c r="H19" i="8"/>
  <c r="H20" i="8" s="1"/>
  <c r="I19" i="8"/>
  <c r="I20" i="8"/>
  <c r="J19" i="8"/>
  <c r="J20" i="8"/>
  <c r="K19" i="8"/>
  <c r="K20" i="8"/>
  <c r="L19" i="8"/>
  <c r="L20" i="8"/>
  <c r="M19" i="8"/>
  <c r="M20" i="8" s="1"/>
  <c r="N19" i="8"/>
  <c r="N20" i="8"/>
  <c r="O19" i="8"/>
  <c r="O20" i="8"/>
  <c r="P19" i="8"/>
  <c r="P20" i="8" s="1"/>
  <c r="Q19" i="8"/>
  <c r="Q20" i="8"/>
  <c r="R19" i="8"/>
  <c r="R20" i="8"/>
  <c r="S19" i="8"/>
  <c r="S20" i="8"/>
  <c r="T19" i="8"/>
  <c r="T20" i="8"/>
  <c r="U19" i="8"/>
  <c r="U20" i="8" s="1"/>
  <c r="V19" i="8"/>
  <c r="V20" i="8"/>
  <c r="W19" i="8"/>
  <c r="W20" i="8"/>
  <c r="X19" i="8"/>
  <c r="X20" i="8" s="1"/>
  <c r="Y19" i="8"/>
  <c r="Y20" i="8"/>
  <c r="Z19" i="8"/>
  <c r="Z20" i="8"/>
  <c r="AA19" i="8"/>
  <c r="AA20" i="8"/>
  <c r="AB19" i="8"/>
  <c r="AB20" i="8"/>
  <c r="AC19" i="8"/>
  <c r="AC20" i="8" s="1"/>
  <c r="AD19" i="8"/>
  <c r="AD20" i="8"/>
  <c r="AE19" i="8"/>
  <c r="AE20" i="8"/>
  <c r="AF19" i="8"/>
  <c r="AF20" i="8" s="1"/>
  <c r="AG19" i="8"/>
  <c r="AG20" i="8"/>
  <c r="AH19" i="8"/>
  <c r="AH20" i="8"/>
  <c r="AI19" i="8"/>
  <c r="AI20" i="8"/>
  <c r="AJ19" i="8"/>
  <c r="AJ20" i="8"/>
  <c r="AK19" i="8"/>
  <c r="AK20" i="8" s="1"/>
  <c r="AL19" i="8"/>
  <c r="AL20" i="8"/>
  <c r="AM19" i="8"/>
  <c r="AM20" i="8"/>
  <c r="AN19" i="8"/>
  <c r="AN20" i="8" s="1"/>
  <c r="AO19" i="8"/>
  <c r="AO20" i="8"/>
  <c r="AP19" i="8"/>
  <c r="AP20" i="8"/>
  <c r="AQ19" i="8"/>
  <c r="AQ20" i="8"/>
  <c r="AR19" i="8"/>
  <c r="AR20" i="8"/>
  <c r="AS19" i="8"/>
  <c r="AS20" i="8" s="1"/>
  <c r="AT19" i="8"/>
  <c r="AT20" i="8"/>
  <c r="AU19" i="8"/>
  <c r="AU20" i="8"/>
  <c r="AV19" i="8"/>
  <c r="AV20" i="8" s="1"/>
  <c r="AW19" i="8"/>
  <c r="AW20" i="8"/>
  <c r="AX20" i="8"/>
  <c r="AY20" i="8"/>
  <c r="AZ20" i="8"/>
  <c r="BA20" i="8"/>
  <c r="BD18" i="8"/>
  <c r="BC18" i="8"/>
  <c r="BD18" i="3"/>
  <c r="BC18" i="3"/>
  <c r="B19" i="3"/>
  <c r="B20" i="3"/>
  <c r="C19" i="3"/>
  <c r="C20" i="3"/>
  <c r="D19" i="3"/>
  <c r="D20" i="3" s="1"/>
  <c r="E19" i="3"/>
  <c r="E20" i="3"/>
  <c r="F19" i="3"/>
  <c r="F20" i="3"/>
  <c r="G19" i="3"/>
  <c r="G20" i="3"/>
  <c r="H19" i="3"/>
  <c r="H20" i="3"/>
  <c r="I19" i="3"/>
  <c r="I20" i="3" s="1"/>
  <c r="J19" i="3"/>
  <c r="J20" i="3"/>
  <c r="K19" i="3"/>
  <c r="K20" i="3"/>
  <c r="L19" i="3"/>
  <c r="L20" i="3" s="1"/>
  <c r="M19" i="3"/>
  <c r="M20" i="3"/>
  <c r="N19" i="3"/>
  <c r="N20" i="3"/>
  <c r="O19" i="3"/>
  <c r="O20" i="3"/>
  <c r="P19" i="3"/>
  <c r="P20" i="3"/>
  <c r="Q19" i="3"/>
  <c r="Q20" i="3"/>
  <c r="R19" i="3"/>
  <c r="R20" i="3"/>
  <c r="S19" i="3"/>
  <c r="S20" i="3"/>
  <c r="T19" i="3"/>
  <c r="T20" i="3" s="1"/>
  <c r="U19" i="3"/>
  <c r="U20" i="3"/>
  <c r="V19" i="3"/>
  <c r="V20" i="3"/>
  <c r="W19" i="3"/>
  <c r="W20" i="3"/>
  <c r="X19" i="3"/>
  <c r="X20" i="3"/>
  <c r="Y19" i="3"/>
  <c r="Y20" i="3" s="1"/>
  <c r="Z19" i="3"/>
  <c r="Z20" i="3"/>
  <c r="AA19" i="3"/>
  <c r="AA20" i="3"/>
  <c r="AB19" i="3"/>
  <c r="AB20" i="3"/>
  <c r="AC19" i="3"/>
  <c r="AC20" i="3"/>
  <c r="AD19" i="3"/>
  <c r="AD20" i="3"/>
  <c r="AE19" i="3"/>
  <c r="AE20" i="3"/>
  <c r="AF19" i="3"/>
  <c r="AF20" i="3"/>
  <c r="AG19" i="3"/>
  <c r="AG20" i="3"/>
  <c r="AH19" i="3"/>
  <c r="AH20" i="3"/>
  <c r="AI19" i="3"/>
  <c r="AI20" i="3"/>
  <c r="AJ19" i="3"/>
  <c r="AJ20" i="3"/>
  <c r="AK19" i="3"/>
  <c r="AK20" i="3"/>
  <c r="AL19" i="3"/>
  <c r="AL20" i="3"/>
  <c r="AM19" i="3"/>
  <c r="AM20" i="3"/>
  <c r="AN19" i="3"/>
  <c r="AN20" i="3"/>
  <c r="AO19" i="3"/>
  <c r="AO20" i="3"/>
  <c r="AP19" i="3"/>
  <c r="AP20" i="3"/>
  <c r="AQ19" i="3"/>
  <c r="AQ20" i="3"/>
  <c r="AR19" i="3"/>
  <c r="AR20" i="3"/>
  <c r="AS19" i="3"/>
  <c r="AS20" i="3"/>
  <c r="AT19" i="3"/>
  <c r="AT20" i="3"/>
  <c r="AU19" i="3"/>
  <c r="AU20" i="3"/>
  <c r="AV19" i="3"/>
  <c r="AV20" i="3"/>
  <c r="AW19" i="3"/>
  <c r="AW20" i="3"/>
  <c r="AX20" i="3"/>
  <c r="AY20" i="3"/>
  <c r="AZ20" i="3"/>
  <c r="BA20" i="3"/>
  <c r="BD19" i="3" l="1"/>
  <c r="BD19" i="8"/>
  <c r="BD20" i="8"/>
  <c r="BC20" i="8"/>
  <c r="BC20" i="3"/>
  <c r="BD20" i="3"/>
  <c r="BC19" i="3"/>
  <c r="BC19" i="8"/>
</calcChain>
</file>

<file path=xl/sharedStrings.xml><?xml version="1.0" encoding="utf-8"?>
<sst xmlns="http://schemas.openxmlformats.org/spreadsheetml/2006/main" count="75" uniqueCount="44">
  <si>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</si>
  <si>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</si>
  <si>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</si>
  <si>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</si>
  <si>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</si>
  <si>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</si>
  <si>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</si>
  <si>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</si>
  <si>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</si>
  <si>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</si>
  <si>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</si>
  <si>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</si>
  <si>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</t>
  </si>
  <si>
    <t>DC handling cost</t>
  </si>
  <si>
    <t>$/container</t>
  </si>
  <si>
    <t>$/kg</t>
  </si>
  <si>
    <t>$/unit</t>
  </si>
  <si>
    <t>error</t>
  </si>
  <si>
    <t>average</t>
  </si>
  <si>
    <t>st dev</t>
  </si>
  <si>
    <t>Material cost</t>
  </si>
  <si>
    <t>Lead time</t>
  </si>
  <si>
    <t>Ocean freight from factory to port</t>
  </si>
  <si>
    <t>Inland freight from port to DC</t>
  </si>
  <si>
    <t>Outbound freight from DC to retailer</t>
  </si>
  <si>
    <t>Air freight from factory to retailer</t>
  </si>
  <si>
    <t>weeks</t>
  </si>
  <si>
    <t>Mechanical components (for all models)</t>
  </si>
  <si>
    <t>Electrical components (for all models)</t>
  </si>
  <si>
    <t>Control panel for HP_101</t>
  </si>
  <si>
    <t>Control panel for HP_146</t>
  </si>
  <si>
    <t>Control panel for HP_246</t>
  </si>
  <si>
    <t>Logistics costs</t>
  </si>
  <si>
    <t>Ocean scenario</t>
  </si>
  <si>
    <t>Air scenario</t>
  </si>
  <si>
    <t>Forecast waterfall for HP_146</t>
  </si>
  <si>
    <t>Forecast waterfall for HP_101</t>
  </si>
  <si>
    <t>M-2 forecast</t>
  </si>
  <si>
    <t>Exhibit 6</t>
  </si>
  <si>
    <t>Exhibit 7</t>
  </si>
  <si>
    <t>8,100 units fit per container</t>
  </si>
  <si>
    <t>Printer weight</t>
  </si>
  <si>
    <t>kg/unit</t>
  </si>
  <si>
    <t>Air freight cost from factory to 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</si>
</sst>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22">
    <xf numFmtId="0" fontId="0" fillId="0" borderId="0" xfId="0"/>
    <xf numFmtId="16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right"/>
    </xf>
    <xf numFmtId="0" fontId="5" fillId="0" borderId="0" xfId="103" applyFont="1"/>
    <xf numFmtId="0" fontId="5" fillId="0" borderId="0" xfId="103" applyFont="1" applyAlignment="1">
      <alignment horizontal="center"/>
    </xf>
    <xf numFmtId="0" fontId="4" fillId="0" borderId="0" xfId="103"/>
    <xf numFmtId="8" fontId="5" fillId="0" borderId="1" xfId="103" applyNumberFormat="1" applyFont="1" applyBorder="1" applyAlignment="1">
      <alignment horizontal="center"/>
    </xf>
    <xf numFmtId="0" fontId="5" fillId="0" borderId="1" xfId="103" applyFont="1" applyBorder="1" applyAlignment="1">
      <alignment horizontal="center"/>
    </xf>
    <xf numFmtId="0" fontId="5" fillId="0" borderId="1" xfId="103" applyFont="1" applyBorder="1"/>
    <xf numFmtId="3" fontId="5" fillId="0" borderId="1" xfId="103" applyNumberFormat="1" applyFont="1" applyBorder="1"/>
    <xf numFmtId="0" fontId="5" fillId="0" borderId="0" xfId="0" applyFont="1" applyAlignment="1">
      <alignment horizontal="right"/>
    </xf>
    <xf numFmtId="0" fontId="5" fillId="0" borderId="0" xfId="103" applyFont="1" applyAlignment="1">
      <alignment vertical="center"/>
    </xf>
    <xf numFmtId="0" fontId="5" fillId="0" borderId="0" xfId="103" applyFont="1" applyAlignment="1">
      <alignment horizontal="justify" vertical="center"/>
    </xf>
    <xf numFmtId="2" fontId="5" fillId="0" borderId="1" xfId="103" applyNumberFormat="1" applyFont="1" applyBorder="1"/>
    <xf numFmtId="164" fontId="0" fillId="2" borderId="0" xfId="124" applyNumberFormat="1" applyFont="1" applyFill="1"/>
    <xf numFmtId="164" fontId="0" fillId="0" borderId="0" xfId="124" applyNumberFormat="1" applyFont="1"/>
    <xf numFmtId="164" fontId="0" fillId="0" borderId="0" xfId="124" applyNumberFormat="1" applyFont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103" applyFont="1" applyAlignment="1">
      <alignment horizontal="center"/>
    </xf>
  </cellXfs>
  <cellStyles count="125">
    <cellStyle name="Comma" xfId="124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Normal 2" xfId="103" xr:uid="{00000000-0005-0000-0000-00007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showGridLines="0" tabSelected="1" zoomScale="150" zoomScaleNormal="150" zoomScalePageLayoutView="150" workbookViewId="0"/>
  </sheetViews>
  <sheetFormatPr baseColWidth="10" defaultColWidth="8.83203125" defaultRowHeight="13" x14ac:dyDescent="0.15"/>
  <cols>
    <col min="1" max="1" width="2.5" style="7" customWidth="1"/>
    <col min="2" max="2" width="41.83203125" style="7" customWidth="1"/>
    <col min="3" max="3" width="12.83203125" style="7" customWidth="1"/>
    <col min="4" max="4" width="7.83203125" style="7" customWidth="1"/>
    <col min="5" max="16384" width="8.83203125" style="7"/>
  </cols>
  <sheetData>
    <row r="1" spans="2:5" ht="15" x14ac:dyDescent="0.2">
      <c r="B1" s="5"/>
      <c r="C1" s="6" t="s">
        <v>20</v>
      </c>
      <c r="D1" s="21" t="s">
        <v>21</v>
      </c>
      <c r="E1" s="21"/>
    </row>
    <row r="2" spans="2:5" ht="15" x14ac:dyDescent="0.2">
      <c r="B2" s="12" t="s">
        <v>27</v>
      </c>
      <c r="C2" s="8">
        <v>36.68</v>
      </c>
      <c r="D2" s="9">
        <v>8</v>
      </c>
      <c r="E2" s="7" t="s">
        <v>26</v>
      </c>
    </row>
    <row r="3" spans="2:5" ht="15" x14ac:dyDescent="0.2">
      <c r="B3" s="12" t="s">
        <v>28</v>
      </c>
      <c r="C3" s="8">
        <v>69.36</v>
      </c>
      <c r="D3" s="9">
        <v>12</v>
      </c>
      <c r="E3" s="7" t="s">
        <v>26</v>
      </c>
    </row>
    <row r="4" spans="2:5" ht="15" x14ac:dyDescent="0.2">
      <c r="B4" s="12" t="s">
        <v>29</v>
      </c>
      <c r="C4" s="8">
        <v>2.4</v>
      </c>
      <c r="D4" s="9">
        <v>4</v>
      </c>
      <c r="E4" s="7" t="s">
        <v>26</v>
      </c>
    </row>
    <row r="5" spans="2:5" ht="15" x14ac:dyDescent="0.2">
      <c r="B5" s="12" t="s">
        <v>30</v>
      </c>
      <c r="C5" s="8">
        <v>2.4</v>
      </c>
      <c r="D5" s="9">
        <v>4</v>
      </c>
      <c r="E5" s="7" t="s">
        <v>26</v>
      </c>
    </row>
    <row r="6" spans="2:5" ht="15" x14ac:dyDescent="0.2">
      <c r="B6" s="12" t="s">
        <v>31</v>
      </c>
      <c r="C6" s="8">
        <v>4.08</v>
      </c>
      <c r="D6" s="9">
        <v>6</v>
      </c>
      <c r="E6" s="7" t="s">
        <v>26</v>
      </c>
    </row>
  </sheetData>
  <mergeCells count="1">
    <mergeCell ref="D1:E1"/>
  </mergeCells>
  <pageMargins left="0.5" right="0.5" top="0.5" bottom="0.5" header="0.5" footer="0.5"/>
  <pageSetup orientation="portrait"/>
  <headerFooter>
    <oddHeader>&amp;C&amp;F : &amp;A&amp;R&amp;D &amp;T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showGridLines="0" zoomScale="200" zoomScaleNormal="200" zoomScalePageLayoutView="200" workbookViewId="0"/>
  </sheetViews>
  <sheetFormatPr baseColWidth="10" defaultColWidth="8.83203125" defaultRowHeight="13" x14ac:dyDescent="0.15"/>
  <cols>
    <col min="1" max="2" width="2.83203125" style="7" customWidth="1"/>
    <col min="3" max="3" width="30.1640625" style="7" bestFit="1" customWidth="1"/>
    <col min="4" max="4" width="6.33203125" style="7" customWidth="1"/>
    <col min="5" max="5" width="10" style="7" bestFit="1" customWidth="1"/>
    <col min="6" max="6" width="2.33203125" style="7" customWidth="1"/>
    <col min="7" max="7" width="30" style="7" customWidth="1"/>
    <col min="8" max="16384" width="8.83203125" style="7"/>
  </cols>
  <sheetData>
    <row r="1" spans="1:7" ht="15" x14ac:dyDescent="0.2">
      <c r="A1" s="13" t="s">
        <v>32</v>
      </c>
      <c r="B1" s="13"/>
      <c r="C1" s="13"/>
      <c r="D1" s="13"/>
      <c r="E1" s="5"/>
      <c r="F1" s="5"/>
      <c r="G1" s="5"/>
    </row>
    <row r="2" spans="1:7" ht="14" customHeight="1" x14ac:dyDescent="0.2">
      <c r="A2" s="5"/>
      <c r="B2" s="13" t="s">
        <v>33</v>
      </c>
      <c r="C2" s="5"/>
      <c r="D2" s="5"/>
      <c r="E2" s="5"/>
      <c r="F2" s="5"/>
      <c r="G2" s="5"/>
    </row>
    <row r="3" spans="1:7" ht="15" customHeight="1" x14ac:dyDescent="0.2">
      <c r="A3" s="5"/>
      <c r="B3" s="5"/>
      <c r="C3" s="13" t="s">
        <v>22</v>
      </c>
      <c r="D3" s="11">
        <v>3321</v>
      </c>
      <c r="E3" s="5" t="s">
        <v>14</v>
      </c>
      <c r="F3" s="5"/>
      <c r="G3" s="19" t="s">
        <v>40</v>
      </c>
    </row>
    <row r="4" spans="1:7" ht="16" x14ac:dyDescent="0.2">
      <c r="A4" s="5"/>
      <c r="B4" s="5"/>
      <c r="C4" s="13" t="s">
        <v>23</v>
      </c>
      <c r="D4" s="11">
        <v>972</v>
      </c>
      <c r="E4" s="5" t="s">
        <v>14</v>
      </c>
      <c r="F4" s="5"/>
      <c r="G4" s="19" t="s">
        <v>40</v>
      </c>
    </row>
    <row r="5" spans="1:7" ht="15" x14ac:dyDescent="0.2">
      <c r="A5" s="5"/>
      <c r="B5" s="5"/>
      <c r="C5" s="5" t="s">
        <v>13</v>
      </c>
      <c r="D5" s="10">
        <v>3.79</v>
      </c>
      <c r="E5" s="5" t="s">
        <v>16</v>
      </c>
      <c r="F5" s="5"/>
      <c r="G5" s="19"/>
    </row>
    <row r="6" spans="1:7" ht="15" x14ac:dyDescent="0.2">
      <c r="A6" s="5"/>
      <c r="B6" s="5"/>
      <c r="C6" s="13" t="s">
        <v>24</v>
      </c>
      <c r="D6" s="10">
        <v>0.08</v>
      </c>
      <c r="E6" s="5" t="s">
        <v>16</v>
      </c>
      <c r="F6" s="5"/>
      <c r="G6" s="20"/>
    </row>
    <row r="7" spans="1:7" ht="15" x14ac:dyDescent="0.2">
      <c r="A7" s="5"/>
      <c r="B7" s="13" t="s">
        <v>34</v>
      </c>
      <c r="C7" s="5"/>
      <c r="D7" s="5"/>
      <c r="E7" s="5"/>
      <c r="F7" s="5"/>
      <c r="G7" s="14"/>
    </row>
    <row r="8" spans="1:7" ht="15" x14ac:dyDescent="0.2">
      <c r="A8" s="5"/>
      <c r="B8" s="5"/>
      <c r="C8" s="13" t="s">
        <v>25</v>
      </c>
      <c r="D8" s="15">
        <v>4</v>
      </c>
      <c r="E8" s="5" t="s">
        <v>15</v>
      </c>
      <c r="F8" s="5"/>
      <c r="G8" s="5"/>
    </row>
    <row r="9" spans="1:7" ht="15" x14ac:dyDescent="0.2">
      <c r="A9" s="5"/>
      <c r="B9" s="5"/>
      <c r="C9" s="5" t="s">
        <v>41</v>
      </c>
      <c r="D9" s="10">
        <v>1.8</v>
      </c>
      <c r="E9" s="5" t="s">
        <v>42</v>
      </c>
      <c r="F9" s="5"/>
      <c r="G9" s="5"/>
    </row>
    <row r="10" spans="1:7" ht="15" x14ac:dyDescent="0.2">
      <c r="A10" s="5"/>
      <c r="B10" s="5"/>
      <c r="C10" s="5" t="s">
        <v>43</v>
      </c>
      <c r="D10" s="15">
        <f>D8*D9</f>
        <v>7.2</v>
      </c>
      <c r="E10" s="5" t="s">
        <v>16</v>
      </c>
      <c r="F10" s="5"/>
      <c r="G10" s="5"/>
    </row>
  </sheetData>
  <pageMargins left="0.5" right="0.5" top="0.5" bottom="0.5" header="0.5" footer="0.5"/>
  <pageSetup orientation="portrait"/>
  <headerFooter>
    <oddHeader>&amp;C&amp;F : &amp;A&amp;R&amp;D &amp;T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1"/>
  <sheetViews>
    <sheetView zoomScale="150" zoomScaleNormal="150" zoomScalePageLayoutView="150" workbookViewId="0"/>
  </sheetViews>
  <sheetFormatPr baseColWidth="10" defaultColWidth="8.83203125" defaultRowHeight="15" x14ac:dyDescent="0.2"/>
  <cols>
    <col min="2" max="5" width="10.33203125" bestFit="1" customWidth="1"/>
    <col min="6" max="6" width="10.1640625" bestFit="1" customWidth="1"/>
    <col min="7" max="15" width="10.33203125" bestFit="1" customWidth="1"/>
    <col min="16" max="16" width="9.33203125" bestFit="1" customWidth="1"/>
    <col min="17" max="53" width="10.33203125" bestFit="1" customWidth="1"/>
    <col min="55" max="55" width="10.1640625" bestFit="1" customWidth="1"/>
    <col min="56" max="56" width="9.1640625" bestFit="1" customWidth="1"/>
  </cols>
  <sheetData>
    <row r="1" spans="1:55" x14ac:dyDescent="0.2">
      <c r="A1" t="s">
        <v>38</v>
      </c>
    </row>
    <row r="2" spans="1:55" x14ac:dyDescent="0.2">
      <c r="A2" s="7" t="s">
        <v>36</v>
      </c>
    </row>
    <row r="3" spans="1:55" x14ac:dyDescent="0.2">
      <c r="B3" s="1">
        <v>42644</v>
      </c>
      <c r="C3" s="1">
        <v>42285</v>
      </c>
      <c r="D3" s="1">
        <v>42292</v>
      </c>
      <c r="E3" s="1">
        <v>42299</v>
      </c>
      <c r="F3" s="1">
        <v>42306</v>
      </c>
      <c r="G3" s="1">
        <v>42313</v>
      </c>
      <c r="H3" s="1">
        <v>42320</v>
      </c>
      <c r="I3" s="1">
        <v>42327</v>
      </c>
      <c r="J3" s="1">
        <v>42334</v>
      </c>
      <c r="K3" s="1">
        <v>42341</v>
      </c>
      <c r="L3" s="1">
        <v>42348</v>
      </c>
      <c r="M3" s="1">
        <v>42355</v>
      </c>
      <c r="N3" s="1">
        <v>42362</v>
      </c>
      <c r="O3" s="1">
        <v>42369</v>
      </c>
      <c r="P3" s="1">
        <v>42376</v>
      </c>
      <c r="Q3" s="1">
        <v>42383</v>
      </c>
      <c r="R3" s="1">
        <v>42390</v>
      </c>
      <c r="S3" s="1">
        <v>42397</v>
      </c>
      <c r="T3" s="1">
        <v>42404</v>
      </c>
      <c r="U3" s="1">
        <v>42411</v>
      </c>
      <c r="V3" s="1">
        <v>42418</v>
      </c>
      <c r="W3" s="1">
        <v>42425</v>
      </c>
      <c r="X3" s="1">
        <v>42432</v>
      </c>
      <c r="Y3" s="1">
        <v>42439</v>
      </c>
      <c r="Z3" s="1">
        <v>42446</v>
      </c>
      <c r="AA3" s="1">
        <v>42453</v>
      </c>
      <c r="AB3" s="1">
        <v>42460</v>
      </c>
      <c r="AC3" s="1">
        <v>42467</v>
      </c>
      <c r="AD3" s="1">
        <v>42474</v>
      </c>
      <c r="AE3" s="1">
        <v>42481</v>
      </c>
      <c r="AF3" s="1">
        <v>42488</v>
      </c>
      <c r="AG3" s="1">
        <v>42495</v>
      </c>
      <c r="AH3" s="1">
        <v>42502</v>
      </c>
      <c r="AI3" s="1">
        <v>42509</v>
      </c>
      <c r="AJ3" s="1">
        <v>42516</v>
      </c>
      <c r="AK3" s="1">
        <v>42523</v>
      </c>
      <c r="AL3" s="1">
        <v>42530</v>
      </c>
      <c r="AM3" s="1">
        <v>42537</v>
      </c>
      <c r="AN3" s="1">
        <v>42544</v>
      </c>
      <c r="AO3" s="1">
        <v>42551</v>
      </c>
      <c r="AP3" s="1">
        <v>42558</v>
      </c>
      <c r="AQ3" s="1">
        <v>42565</v>
      </c>
      <c r="AR3" s="1">
        <v>42572</v>
      </c>
      <c r="AS3" s="1">
        <v>42579</v>
      </c>
      <c r="AT3" s="1">
        <v>42586</v>
      </c>
      <c r="AU3" s="1">
        <v>42593</v>
      </c>
      <c r="AV3" s="1">
        <v>42600</v>
      </c>
      <c r="AW3" s="1">
        <v>42607</v>
      </c>
      <c r="AX3" s="1">
        <v>42614</v>
      </c>
      <c r="AY3" s="1">
        <v>42621</v>
      </c>
      <c r="AZ3" s="1">
        <v>42628</v>
      </c>
      <c r="BA3" s="1">
        <v>42635</v>
      </c>
    </row>
    <row r="4" spans="1:55" x14ac:dyDescent="0.2">
      <c r="A4" t="s">
        <v>7</v>
      </c>
      <c r="B4" s="16">
        <v>10843</v>
      </c>
      <c r="C4" s="16">
        <v>10318</v>
      </c>
      <c r="D4" s="16">
        <v>9392</v>
      </c>
      <c r="E4" s="16">
        <v>10980</v>
      </c>
      <c r="F4" s="16">
        <v>9226</v>
      </c>
      <c r="G4" s="17">
        <v>10322</v>
      </c>
      <c r="H4" s="17">
        <v>9862</v>
      </c>
      <c r="I4" s="17">
        <v>10727</v>
      </c>
      <c r="J4" s="17">
        <v>9433</v>
      </c>
      <c r="K4" s="17">
        <v>9531</v>
      </c>
      <c r="L4" s="17">
        <v>9781</v>
      </c>
      <c r="M4" s="17">
        <v>9183</v>
      </c>
      <c r="N4" s="17">
        <v>10702</v>
      </c>
      <c r="O4" s="17">
        <v>10583</v>
      </c>
      <c r="P4" s="17">
        <v>9309</v>
      </c>
      <c r="Q4" s="17">
        <v>9157</v>
      </c>
      <c r="R4" s="17">
        <v>10558</v>
      </c>
      <c r="S4" s="17">
        <v>9360</v>
      </c>
      <c r="T4" s="17">
        <v>10990</v>
      </c>
      <c r="U4" s="17">
        <v>9751</v>
      </c>
      <c r="V4" s="17">
        <v>10570</v>
      </c>
      <c r="W4" s="17">
        <v>10499</v>
      </c>
      <c r="X4" s="17">
        <v>9961</v>
      </c>
      <c r="Y4" s="17">
        <v>9750</v>
      </c>
      <c r="Z4" s="17">
        <v>10328</v>
      </c>
      <c r="AA4" s="17">
        <v>10556</v>
      </c>
      <c r="AB4" s="17">
        <v>10467</v>
      </c>
      <c r="AC4" s="17">
        <v>9630</v>
      </c>
      <c r="AD4" s="17">
        <v>9867</v>
      </c>
      <c r="AE4" s="17">
        <v>9198</v>
      </c>
      <c r="AF4" s="17">
        <v>10019</v>
      </c>
      <c r="AG4" s="17">
        <v>10198</v>
      </c>
      <c r="AH4" s="17">
        <v>10463</v>
      </c>
      <c r="AI4" s="17">
        <v>9658</v>
      </c>
      <c r="AJ4" s="17">
        <v>10091</v>
      </c>
      <c r="AK4" s="17">
        <v>10234</v>
      </c>
      <c r="AL4" s="17">
        <v>10460</v>
      </c>
      <c r="AM4" s="17">
        <v>10308</v>
      </c>
      <c r="AN4" s="17">
        <v>10628</v>
      </c>
      <c r="AO4" s="17">
        <v>10366</v>
      </c>
      <c r="AP4" s="17">
        <v>9606</v>
      </c>
      <c r="AQ4" s="17">
        <v>9019</v>
      </c>
      <c r="AR4" s="17">
        <v>9179</v>
      </c>
      <c r="AS4" s="17">
        <v>10980</v>
      </c>
      <c r="AT4" s="17">
        <v>10794</v>
      </c>
      <c r="AU4" s="17">
        <v>9320</v>
      </c>
      <c r="AV4" s="17">
        <v>9575</v>
      </c>
      <c r="AW4" s="17">
        <v>9841</v>
      </c>
      <c r="AX4" s="17">
        <v>10383</v>
      </c>
      <c r="AY4" s="17">
        <v>10763</v>
      </c>
      <c r="AZ4" s="17">
        <v>9618</v>
      </c>
      <c r="BA4" s="17">
        <v>9135</v>
      </c>
      <c r="BC4" s="2"/>
    </row>
    <row r="5" spans="1:55" x14ac:dyDescent="0.2">
      <c r="A5" t="s">
        <v>8</v>
      </c>
      <c r="B5" s="17">
        <v>9792</v>
      </c>
      <c r="C5" s="17">
        <v>9926</v>
      </c>
      <c r="D5" s="17">
        <v>10231</v>
      </c>
      <c r="E5" s="17">
        <v>10218</v>
      </c>
      <c r="F5" s="17">
        <v>9153</v>
      </c>
      <c r="G5" s="16">
        <v>9282</v>
      </c>
      <c r="H5" s="16">
        <v>10390</v>
      </c>
      <c r="I5" s="16">
        <v>9274</v>
      </c>
      <c r="J5" s="16">
        <v>10494</v>
      </c>
      <c r="K5" s="17">
        <v>9060</v>
      </c>
      <c r="L5" s="17">
        <v>10386</v>
      </c>
      <c r="M5" s="17">
        <v>10225</v>
      </c>
      <c r="N5" s="17">
        <v>10563</v>
      </c>
      <c r="O5" s="17">
        <v>10050</v>
      </c>
      <c r="P5" s="17">
        <v>9217</v>
      </c>
      <c r="Q5" s="17">
        <v>10943</v>
      </c>
      <c r="R5" s="17">
        <v>9940</v>
      </c>
      <c r="S5" s="17">
        <v>10093</v>
      </c>
      <c r="T5" s="17">
        <v>10303</v>
      </c>
      <c r="U5" s="17">
        <v>9083</v>
      </c>
      <c r="V5" s="17">
        <v>10654</v>
      </c>
      <c r="W5" s="17">
        <v>9955</v>
      </c>
      <c r="X5" s="17">
        <v>9580</v>
      </c>
      <c r="Y5" s="17">
        <v>9418</v>
      </c>
      <c r="Z5" s="17">
        <v>9532</v>
      </c>
      <c r="AA5" s="17">
        <v>9990</v>
      </c>
      <c r="AB5" s="17">
        <v>10634</v>
      </c>
      <c r="AC5" s="17">
        <v>10550</v>
      </c>
      <c r="AD5" s="17">
        <v>9682</v>
      </c>
      <c r="AE5" s="17">
        <v>9314</v>
      </c>
      <c r="AF5" s="17">
        <v>9328</v>
      </c>
      <c r="AG5" s="17">
        <v>9368</v>
      </c>
      <c r="AH5" s="17">
        <v>9586</v>
      </c>
      <c r="AI5" s="17">
        <v>9852</v>
      </c>
      <c r="AJ5" s="17">
        <v>9110</v>
      </c>
      <c r="AK5" s="17">
        <v>9574</v>
      </c>
      <c r="AL5" s="17">
        <v>10614</v>
      </c>
      <c r="AM5" s="17">
        <v>9988</v>
      </c>
      <c r="AN5" s="17">
        <v>9656</v>
      </c>
      <c r="AO5" s="17">
        <v>10491</v>
      </c>
      <c r="AP5" s="17">
        <v>9327</v>
      </c>
      <c r="AQ5" s="17">
        <v>10353</v>
      </c>
      <c r="AR5" s="17">
        <v>9718</v>
      </c>
      <c r="AS5" s="17">
        <v>9758</v>
      </c>
      <c r="AT5" s="17">
        <v>10044</v>
      </c>
      <c r="AU5" s="17">
        <v>9823</v>
      </c>
      <c r="AV5" s="17">
        <v>9195</v>
      </c>
      <c r="AW5" s="17">
        <v>10773</v>
      </c>
      <c r="AX5" s="17">
        <v>10243</v>
      </c>
      <c r="AY5" s="17">
        <v>10981</v>
      </c>
      <c r="AZ5" s="17">
        <v>9254</v>
      </c>
      <c r="BA5" s="17">
        <v>10162</v>
      </c>
      <c r="BC5" s="2"/>
    </row>
    <row r="6" spans="1:55" x14ac:dyDescent="0.2">
      <c r="A6" t="s">
        <v>9</v>
      </c>
      <c r="B6" s="17"/>
      <c r="C6" s="17"/>
      <c r="D6" s="17"/>
      <c r="E6" s="17"/>
      <c r="F6" s="17"/>
      <c r="G6" s="17">
        <v>10750</v>
      </c>
      <c r="H6" s="17">
        <v>10724</v>
      </c>
      <c r="I6" s="17">
        <v>9618</v>
      </c>
      <c r="J6" s="17">
        <v>9826</v>
      </c>
      <c r="K6" s="16">
        <v>10463</v>
      </c>
      <c r="L6" s="16">
        <v>9950</v>
      </c>
      <c r="M6" s="16">
        <v>10622</v>
      </c>
      <c r="N6" s="16">
        <v>9588</v>
      </c>
      <c r="O6" s="16">
        <v>9539</v>
      </c>
      <c r="P6" s="17">
        <v>9524</v>
      </c>
      <c r="Q6" s="17">
        <v>9873</v>
      </c>
      <c r="R6" s="17">
        <v>9465</v>
      </c>
      <c r="S6" s="17">
        <v>9117</v>
      </c>
      <c r="T6" s="17">
        <v>9171</v>
      </c>
      <c r="U6" s="17">
        <v>9891</v>
      </c>
      <c r="V6" s="17">
        <v>9193</v>
      </c>
      <c r="W6" s="17">
        <v>9988</v>
      </c>
      <c r="X6" s="17">
        <v>9610</v>
      </c>
      <c r="Y6" s="17">
        <v>9737</v>
      </c>
      <c r="Z6" s="17">
        <v>9151</v>
      </c>
      <c r="AA6" s="17">
        <v>10201</v>
      </c>
      <c r="AB6" s="17">
        <v>9029</v>
      </c>
      <c r="AC6" s="17">
        <v>10264</v>
      </c>
      <c r="AD6" s="17">
        <v>9709</v>
      </c>
      <c r="AE6" s="17">
        <v>9298</v>
      </c>
      <c r="AF6" s="17">
        <v>9339</v>
      </c>
      <c r="AG6" s="17">
        <v>10461</v>
      </c>
      <c r="AH6" s="17">
        <v>9858</v>
      </c>
      <c r="AI6" s="17">
        <v>9007</v>
      </c>
      <c r="AJ6" s="17">
        <v>10897</v>
      </c>
      <c r="AK6" s="17">
        <v>10343</v>
      </c>
      <c r="AL6" s="17">
        <v>9475</v>
      </c>
      <c r="AM6" s="17">
        <v>10066</v>
      </c>
      <c r="AN6" s="17">
        <v>9705</v>
      </c>
      <c r="AO6" s="17">
        <v>9216</v>
      </c>
      <c r="AP6" s="17">
        <v>9860</v>
      </c>
      <c r="AQ6" s="17">
        <v>9575</v>
      </c>
      <c r="AR6" s="17">
        <v>9270</v>
      </c>
      <c r="AS6" s="17">
        <v>9393</v>
      </c>
      <c r="AT6" s="17">
        <v>9055</v>
      </c>
      <c r="AU6" s="17">
        <v>9828</v>
      </c>
      <c r="AV6" s="17">
        <v>10074</v>
      </c>
      <c r="AW6" s="17">
        <v>10485</v>
      </c>
      <c r="AX6" s="17">
        <v>9590</v>
      </c>
      <c r="AY6" s="17">
        <v>9247</v>
      </c>
      <c r="AZ6" s="17">
        <v>9032</v>
      </c>
      <c r="BA6" s="17">
        <v>9213</v>
      </c>
      <c r="BC6" s="2"/>
    </row>
    <row r="7" spans="1:55" x14ac:dyDescent="0.2">
      <c r="A7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17">
        <v>10425</v>
      </c>
      <c r="L7" s="17">
        <v>10389</v>
      </c>
      <c r="M7" s="17">
        <v>9083</v>
      </c>
      <c r="N7" s="17">
        <v>10776</v>
      </c>
      <c r="O7" s="17">
        <v>10692</v>
      </c>
      <c r="P7" s="16">
        <v>9388</v>
      </c>
      <c r="Q7" s="16">
        <v>10020</v>
      </c>
      <c r="R7" s="16">
        <v>10083</v>
      </c>
      <c r="S7" s="16">
        <v>9797</v>
      </c>
      <c r="T7" s="17">
        <v>10829</v>
      </c>
      <c r="U7" s="17">
        <v>9297</v>
      </c>
      <c r="V7" s="17">
        <v>10371</v>
      </c>
      <c r="W7" s="17">
        <v>9671</v>
      </c>
      <c r="X7" s="17">
        <v>10526</v>
      </c>
      <c r="Y7" s="17">
        <v>9790</v>
      </c>
      <c r="Z7" s="17">
        <v>9937</v>
      </c>
      <c r="AA7" s="17">
        <v>10445</v>
      </c>
      <c r="AB7" s="17">
        <v>9457</v>
      </c>
      <c r="AC7" s="17">
        <v>9763</v>
      </c>
      <c r="AD7" s="17">
        <v>9234</v>
      </c>
      <c r="AE7" s="17">
        <v>10888</v>
      </c>
      <c r="AF7" s="17">
        <v>10531</v>
      </c>
      <c r="AG7" s="17">
        <v>10821</v>
      </c>
      <c r="AH7" s="17">
        <v>10738</v>
      </c>
      <c r="AI7" s="17">
        <v>10272</v>
      </c>
      <c r="AJ7" s="17">
        <v>10727</v>
      </c>
      <c r="AK7" s="17">
        <v>9223</v>
      </c>
      <c r="AL7" s="17">
        <v>9782</v>
      </c>
      <c r="AM7" s="17">
        <v>10656</v>
      </c>
      <c r="AN7" s="17">
        <v>10059</v>
      </c>
      <c r="AO7" s="17">
        <v>9458</v>
      </c>
      <c r="AP7" s="17">
        <v>9683</v>
      </c>
      <c r="AQ7" s="17">
        <v>9963</v>
      </c>
      <c r="AR7" s="17">
        <v>10860</v>
      </c>
      <c r="AS7" s="17">
        <v>10354</v>
      </c>
      <c r="AT7" s="17">
        <v>10407</v>
      </c>
      <c r="AU7" s="17">
        <v>9214</v>
      </c>
      <c r="AV7" s="17">
        <v>9841</v>
      </c>
      <c r="AW7" s="17">
        <v>10777</v>
      </c>
      <c r="AX7" s="17">
        <v>10343</v>
      </c>
      <c r="AY7" s="17">
        <v>9092</v>
      </c>
      <c r="AZ7" s="17">
        <v>10587</v>
      </c>
      <c r="BA7" s="17">
        <v>10502</v>
      </c>
      <c r="BC7" s="2"/>
    </row>
    <row r="8" spans="1:55" x14ac:dyDescent="0.2">
      <c r="A8" t="s">
        <v>11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9122</v>
      </c>
      <c r="Q8" s="17">
        <v>9766</v>
      </c>
      <c r="R8" s="17">
        <v>9392</v>
      </c>
      <c r="S8" s="17">
        <v>9893</v>
      </c>
      <c r="T8" s="16">
        <v>10671</v>
      </c>
      <c r="U8" s="16">
        <v>10921</v>
      </c>
      <c r="V8" s="16">
        <v>10419</v>
      </c>
      <c r="W8" s="16">
        <v>10912</v>
      </c>
      <c r="X8" s="17">
        <v>9906</v>
      </c>
      <c r="Y8" s="17">
        <v>10366</v>
      </c>
      <c r="Z8" s="17">
        <v>10720</v>
      </c>
      <c r="AA8" s="17">
        <v>9983</v>
      </c>
      <c r="AB8" s="17">
        <v>10800</v>
      </c>
      <c r="AC8" s="17">
        <v>9261</v>
      </c>
      <c r="AD8" s="17">
        <v>10985</v>
      </c>
      <c r="AE8" s="17">
        <v>10891</v>
      </c>
      <c r="AF8" s="17">
        <v>9510</v>
      </c>
      <c r="AG8" s="17">
        <v>10033</v>
      </c>
      <c r="AH8" s="17">
        <v>10345</v>
      </c>
      <c r="AI8" s="17">
        <v>10473</v>
      </c>
      <c r="AJ8" s="17">
        <v>10260</v>
      </c>
      <c r="AK8" s="17">
        <v>10284</v>
      </c>
      <c r="AL8" s="17">
        <v>10108</v>
      </c>
      <c r="AM8" s="17">
        <v>9741</v>
      </c>
      <c r="AN8" s="17">
        <v>9646</v>
      </c>
      <c r="AO8" s="17">
        <v>9154</v>
      </c>
      <c r="AP8" s="17">
        <v>10327</v>
      </c>
      <c r="AQ8" s="17">
        <v>9523</v>
      </c>
      <c r="AR8" s="17">
        <v>9321</v>
      </c>
      <c r="AS8" s="17">
        <v>10118</v>
      </c>
      <c r="AT8" s="17">
        <v>9851</v>
      </c>
      <c r="AU8" s="17">
        <v>9011</v>
      </c>
      <c r="AV8" s="17">
        <v>10060</v>
      </c>
      <c r="AW8" s="17">
        <v>10398</v>
      </c>
      <c r="AX8" s="17">
        <v>10799</v>
      </c>
      <c r="AY8" s="17">
        <v>9491</v>
      </c>
      <c r="AZ8" s="17">
        <v>9660</v>
      </c>
      <c r="BA8" s="17">
        <v>9543</v>
      </c>
      <c r="BC8" s="2"/>
    </row>
    <row r="9" spans="1:55" x14ac:dyDescent="0.2">
      <c r="A9" t="s">
        <v>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>
        <v>9728</v>
      </c>
      <c r="U9" s="17">
        <v>10219</v>
      </c>
      <c r="V9" s="17">
        <v>10805</v>
      </c>
      <c r="W9" s="17">
        <v>9056</v>
      </c>
      <c r="X9" s="16">
        <v>10417</v>
      </c>
      <c r="Y9" s="16">
        <v>9594</v>
      </c>
      <c r="Z9" s="16">
        <v>9320</v>
      </c>
      <c r="AA9" s="16">
        <v>9602</v>
      </c>
      <c r="AB9" s="16">
        <v>10482</v>
      </c>
      <c r="AC9" s="17">
        <v>9587</v>
      </c>
      <c r="AD9" s="17">
        <v>10080</v>
      </c>
      <c r="AE9" s="17">
        <v>9685</v>
      </c>
      <c r="AF9" s="17">
        <v>9105</v>
      </c>
      <c r="AG9" s="17">
        <v>10998</v>
      </c>
      <c r="AH9" s="17">
        <v>9438</v>
      </c>
      <c r="AI9" s="17">
        <v>10665</v>
      </c>
      <c r="AJ9" s="17">
        <v>9844</v>
      </c>
      <c r="AK9" s="17">
        <v>10540</v>
      </c>
      <c r="AL9" s="17">
        <v>10098</v>
      </c>
      <c r="AM9" s="17">
        <v>9548</v>
      </c>
      <c r="AN9" s="17">
        <v>9909</v>
      </c>
      <c r="AO9" s="17">
        <v>10772</v>
      </c>
      <c r="AP9" s="17">
        <v>9621</v>
      </c>
      <c r="AQ9" s="17">
        <v>10355</v>
      </c>
      <c r="AR9" s="17">
        <v>10808</v>
      </c>
      <c r="AS9" s="17">
        <v>10836</v>
      </c>
      <c r="AT9" s="17">
        <v>10218</v>
      </c>
      <c r="AU9" s="17">
        <v>10491</v>
      </c>
      <c r="AV9" s="17">
        <v>9866</v>
      </c>
      <c r="AW9" s="17">
        <v>10333</v>
      </c>
      <c r="AX9" s="17">
        <v>9324</v>
      </c>
      <c r="AY9" s="17">
        <v>10664</v>
      </c>
      <c r="AZ9" s="17">
        <v>10846</v>
      </c>
      <c r="BA9" s="17">
        <v>9692</v>
      </c>
      <c r="BC9" s="2"/>
    </row>
    <row r="10" spans="1:55" x14ac:dyDescent="0.2">
      <c r="A10" t="s">
        <v>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>
        <v>10339</v>
      </c>
      <c r="Y10" s="17">
        <v>10877</v>
      </c>
      <c r="Z10" s="17">
        <v>10795</v>
      </c>
      <c r="AA10" s="17">
        <v>9975</v>
      </c>
      <c r="AB10" s="17">
        <v>9872</v>
      </c>
      <c r="AC10" s="16">
        <v>10579</v>
      </c>
      <c r="AD10" s="16">
        <v>10966</v>
      </c>
      <c r="AE10" s="16">
        <v>9215</v>
      </c>
      <c r="AF10" s="16">
        <v>10758</v>
      </c>
      <c r="AG10" s="17">
        <v>10813</v>
      </c>
      <c r="AH10" s="17">
        <v>9811</v>
      </c>
      <c r="AI10" s="17">
        <v>9964</v>
      </c>
      <c r="AJ10" s="17">
        <v>10858</v>
      </c>
      <c r="AK10" s="17">
        <v>10745</v>
      </c>
      <c r="AL10" s="17">
        <v>10051</v>
      </c>
      <c r="AM10" s="17">
        <v>9611</v>
      </c>
      <c r="AN10" s="17">
        <v>10188</v>
      </c>
      <c r="AO10" s="17">
        <v>10657</v>
      </c>
      <c r="AP10" s="17">
        <v>10355</v>
      </c>
      <c r="AQ10" s="17">
        <v>9885</v>
      </c>
      <c r="AR10" s="17">
        <v>10510</v>
      </c>
      <c r="AS10" s="17">
        <v>9569</v>
      </c>
      <c r="AT10" s="17">
        <v>9398</v>
      </c>
      <c r="AU10" s="17">
        <v>9548</v>
      </c>
      <c r="AV10" s="17">
        <v>9470</v>
      </c>
      <c r="AW10" s="17">
        <v>10519</v>
      </c>
      <c r="AX10" s="17">
        <v>9728</v>
      </c>
      <c r="AY10" s="17">
        <v>9046</v>
      </c>
      <c r="AZ10" s="17">
        <v>9631</v>
      </c>
      <c r="BA10" s="17">
        <v>9348</v>
      </c>
      <c r="BC10" s="2"/>
    </row>
    <row r="11" spans="1:55" x14ac:dyDescent="0.2">
      <c r="A11" t="s">
        <v>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>
        <v>10908</v>
      </c>
      <c r="AD11" s="17">
        <v>9700</v>
      </c>
      <c r="AE11" s="17">
        <v>9865</v>
      </c>
      <c r="AF11" s="17">
        <v>10696</v>
      </c>
      <c r="AG11" s="16">
        <v>10167</v>
      </c>
      <c r="AH11" s="16">
        <v>10687</v>
      </c>
      <c r="AI11" s="16">
        <v>9451</v>
      </c>
      <c r="AJ11" s="16">
        <v>9772</v>
      </c>
      <c r="AK11" s="17">
        <v>10660</v>
      </c>
      <c r="AL11" s="17">
        <v>10278</v>
      </c>
      <c r="AM11" s="17">
        <v>10543</v>
      </c>
      <c r="AN11" s="17">
        <v>9645</v>
      </c>
      <c r="AO11" s="17">
        <v>10368</v>
      </c>
      <c r="AP11" s="17">
        <v>10316</v>
      </c>
      <c r="AQ11" s="17">
        <v>10172</v>
      </c>
      <c r="AR11" s="17">
        <v>9677</v>
      </c>
      <c r="AS11" s="17">
        <v>9262</v>
      </c>
      <c r="AT11" s="17">
        <v>10602</v>
      </c>
      <c r="AU11" s="17">
        <v>10422</v>
      </c>
      <c r="AV11" s="17">
        <v>9505</v>
      </c>
      <c r="AW11" s="17">
        <v>9413</v>
      </c>
      <c r="AX11" s="17">
        <v>10980</v>
      </c>
      <c r="AY11" s="17">
        <v>10054</v>
      </c>
      <c r="AZ11" s="17">
        <v>9016</v>
      </c>
      <c r="BA11" s="17">
        <v>9793</v>
      </c>
      <c r="BC11" s="2"/>
    </row>
    <row r="12" spans="1:55" x14ac:dyDescent="0.2">
      <c r="A12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>
        <v>10626</v>
      </c>
      <c r="AH12" s="17">
        <v>9967</v>
      </c>
      <c r="AI12" s="17">
        <v>9979</v>
      </c>
      <c r="AJ12" s="17">
        <v>10933</v>
      </c>
      <c r="AK12" s="16">
        <v>9639</v>
      </c>
      <c r="AL12" s="16">
        <v>10555</v>
      </c>
      <c r="AM12" s="16">
        <v>9441</v>
      </c>
      <c r="AN12" s="16">
        <v>10087</v>
      </c>
      <c r="AO12" s="16">
        <v>10009</v>
      </c>
      <c r="AP12" s="17">
        <v>9755</v>
      </c>
      <c r="AQ12" s="17">
        <v>9136</v>
      </c>
      <c r="AR12" s="17">
        <v>10367</v>
      </c>
      <c r="AS12" s="17">
        <v>10663</v>
      </c>
      <c r="AT12" s="17">
        <v>9512</v>
      </c>
      <c r="AU12" s="17">
        <v>9201</v>
      </c>
      <c r="AV12" s="17">
        <v>9548</v>
      </c>
      <c r="AW12" s="17">
        <v>10791</v>
      </c>
      <c r="AX12" s="17">
        <v>9343</v>
      </c>
      <c r="AY12" s="17">
        <v>10924</v>
      </c>
      <c r="AZ12" s="17">
        <v>9827</v>
      </c>
      <c r="BA12" s="17">
        <v>9931</v>
      </c>
      <c r="BC12" s="2"/>
    </row>
    <row r="13" spans="1:55" x14ac:dyDescent="0.2">
      <c r="A13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>
        <v>10624</v>
      </c>
      <c r="AL13" s="17">
        <v>10921</v>
      </c>
      <c r="AM13" s="17">
        <v>9476</v>
      </c>
      <c r="AN13" s="17">
        <v>9609</v>
      </c>
      <c r="AO13" s="17">
        <v>10326</v>
      </c>
      <c r="AP13" s="16">
        <v>9587</v>
      </c>
      <c r="AQ13" s="16">
        <v>10694</v>
      </c>
      <c r="AR13" s="16">
        <v>9872</v>
      </c>
      <c r="AS13" s="16">
        <v>10813</v>
      </c>
      <c r="AT13" s="17">
        <v>9255</v>
      </c>
      <c r="AU13" s="17">
        <v>9546</v>
      </c>
      <c r="AV13" s="17">
        <v>9376</v>
      </c>
      <c r="AW13" s="17">
        <v>10337</v>
      </c>
      <c r="AX13" s="17">
        <v>10340</v>
      </c>
      <c r="AY13" s="17">
        <v>10259</v>
      </c>
      <c r="AZ13" s="17">
        <v>9044</v>
      </c>
      <c r="BA13" s="17">
        <v>10219</v>
      </c>
      <c r="BC13" s="2"/>
    </row>
    <row r="14" spans="1:55" x14ac:dyDescent="0.2">
      <c r="A14" t="s">
        <v>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>
        <v>9758</v>
      </c>
      <c r="AQ14" s="17">
        <v>9280</v>
      </c>
      <c r="AR14" s="17">
        <v>10413</v>
      </c>
      <c r="AS14" s="17">
        <v>9391</v>
      </c>
      <c r="AT14" s="16">
        <v>10059</v>
      </c>
      <c r="AU14" s="16">
        <v>10928</v>
      </c>
      <c r="AV14" s="16">
        <v>9697</v>
      </c>
      <c r="AW14" s="16">
        <v>10268</v>
      </c>
      <c r="AX14" s="17">
        <v>10776</v>
      </c>
      <c r="AY14" s="17">
        <v>9072</v>
      </c>
      <c r="AZ14" s="17">
        <v>9644</v>
      </c>
      <c r="BA14" s="17">
        <v>9998</v>
      </c>
      <c r="BC14" s="2"/>
    </row>
    <row r="15" spans="1:55" x14ac:dyDescent="0.2">
      <c r="A15" t="s">
        <v>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>
        <v>9981</v>
      </c>
      <c r="AU15" s="17">
        <v>9760</v>
      </c>
      <c r="AV15" s="17">
        <v>9300</v>
      </c>
      <c r="AW15" s="17">
        <v>10359</v>
      </c>
      <c r="AX15" s="16">
        <v>9501</v>
      </c>
      <c r="AY15" s="16">
        <v>10114</v>
      </c>
      <c r="AZ15" s="16">
        <v>10869</v>
      </c>
      <c r="BA15" s="16">
        <v>9733</v>
      </c>
      <c r="BC15" s="2"/>
    </row>
    <row r="16" spans="1:55" x14ac:dyDescent="0.2">
      <c r="AX16" s="2"/>
      <c r="AY16" s="2"/>
      <c r="AZ16" s="2"/>
      <c r="BA16" s="2"/>
      <c r="BC16" s="3"/>
    </row>
    <row r="17" spans="1:56" x14ac:dyDescent="0.2">
      <c r="B17" s="1">
        <v>42278</v>
      </c>
      <c r="C17" s="1">
        <v>42285</v>
      </c>
      <c r="D17" s="1">
        <v>42292</v>
      </c>
      <c r="E17" s="1">
        <v>42299</v>
      </c>
      <c r="F17" s="1">
        <v>42306</v>
      </c>
      <c r="G17" s="1">
        <v>42313</v>
      </c>
      <c r="H17" s="1">
        <v>42320</v>
      </c>
      <c r="I17" s="1">
        <v>42327</v>
      </c>
      <c r="J17" s="1">
        <v>42334</v>
      </c>
      <c r="K17" s="1">
        <v>42341</v>
      </c>
      <c r="L17" s="1">
        <v>42348</v>
      </c>
      <c r="M17" s="1">
        <v>42355</v>
      </c>
      <c r="N17" s="1">
        <v>42362</v>
      </c>
      <c r="O17" s="1">
        <v>42369</v>
      </c>
      <c r="P17" s="1">
        <v>42376</v>
      </c>
      <c r="Q17" s="1">
        <v>42383</v>
      </c>
      <c r="R17" s="1">
        <v>42390</v>
      </c>
      <c r="S17" s="1">
        <v>42397</v>
      </c>
      <c r="T17" s="1">
        <v>42404</v>
      </c>
      <c r="U17" s="1">
        <v>42411</v>
      </c>
      <c r="V17" s="1">
        <v>42418</v>
      </c>
      <c r="W17" s="1">
        <v>42425</v>
      </c>
      <c r="X17" s="1">
        <v>42432</v>
      </c>
      <c r="Y17" s="1">
        <v>42439</v>
      </c>
      <c r="Z17" s="1">
        <v>42446</v>
      </c>
      <c r="AA17" s="1">
        <v>42453</v>
      </c>
      <c r="AB17" s="1">
        <v>42460</v>
      </c>
      <c r="AC17" s="1">
        <v>42467</v>
      </c>
      <c r="AD17" s="1">
        <v>42474</v>
      </c>
      <c r="AE17" s="1">
        <v>42481</v>
      </c>
      <c r="AF17" s="1">
        <v>42488</v>
      </c>
      <c r="AG17" s="1">
        <v>42495</v>
      </c>
      <c r="AH17" s="1">
        <v>42502</v>
      </c>
      <c r="AI17" s="1">
        <v>42509</v>
      </c>
      <c r="AJ17" s="1">
        <v>42516</v>
      </c>
      <c r="AK17" s="1">
        <v>42523</v>
      </c>
      <c r="AL17" s="1">
        <v>42530</v>
      </c>
      <c r="AM17" s="1">
        <v>42537</v>
      </c>
      <c r="AN17" s="1">
        <v>42544</v>
      </c>
      <c r="AO17" s="1">
        <v>42551</v>
      </c>
      <c r="AP17" s="1">
        <v>42558</v>
      </c>
      <c r="AQ17" s="1">
        <v>42565</v>
      </c>
      <c r="AR17" s="1">
        <v>42572</v>
      </c>
      <c r="AS17" s="1">
        <v>42579</v>
      </c>
      <c r="AT17" s="1">
        <v>42586</v>
      </c>
      <c r="AU17" s="1">
        <v>42593</v>
      </c>
      <c r="AV17" s="1">
        <v>42600</v>
      </c>
      <c r="AW17" s="1">
        <v>42607</v>
      </c>
      <c r="AX17" s="1">
        <v>42614</v>
      </c>
      <c r="AY17" s="1">
        <v>42621</v>
      </c>
      <c r="AZ17" s="1">
        <v>42628</v>
      </c>
      <c r="BA17" s="1">
        <v>42635</v>
      </c>
      <c r="BC17" s="4" t="s">
        <v>18</v>
      </c>
      <c r="BD17" s="4" t="s">
        <v>19</v>
      </c>
    </row>
    <row r="18" spans="1:56" x14ac:dyDescent="0.2">
      <c r="A18" t="s">
        <v>12</v>
      </c>
      <c r="B18" s="17">
        <v>7039</v>
      </c>
      <c r="C18" s="17">
        <v>2085</v>
      </c>
      <c r="D18" s="17">
        <v>4767</v>
      </c>
      <c r="E18" s="17">
        <v>15795</v>
      </c>
      <c r="F18" s="17">
        <v>12104</v>
      </c>
      <c r="G18" s="17">
        <v>2339</v>
      </c>
      <c r="H18" s="17">
        <v>11789</v>
      </c>
      <c r="I18" s="17">
        <v>2225</v>
      </c>
      <c r="J18" s="17">
        <v>9624</v>
      </c>
      <c r="K18" s="17">
        <v>11854</v>
      </c>
      <c r="L18" s="17">
        <v>10103</v>
      </c>
      <c r="M18" s="17">
        <v>16778</v>
      </c>
      <c r="N18" s="17">
        <v>19045</v>
      </c>
      <c r="O18" s="17">
        <v>4210</v>
      </c>
      <c r="P18" s="17">
        <v>7704</v>
      </c>
      <c r="Q18" s="17">
        <v>17683</v>
      </c>
      <c r="R18" s="17">
        <v>16147</v>
      </c>
      <c r="S18" s="17">
        <v>280</v>
      </c>
      <c r="T18" s="17">
        <v>994</v>
      </c>
      <c r="U18" s="17">
        <v>5090</v>
      </c>
      <c r="V18" s="17">
        <v>9234</v>
      </c>
      <c r="W18" s="17">
        <v>5843</v>
      </c>
      <c r="X18" s="17">
        <v>19098</v>
      </c>
      <c r="Y18" s="17">
        <v>3614</v>
      </c>
      <c r="Z18" s="17">
        <v>15817</v>
      </c>
      <c r="AA18" s="17">
        <v>1778</v>
      </c>
      <c r="AB18" s="17">
        <v>9496</v>
      </c>
      <c r="AC18" s="17">
        <v>3144</v>
      </c>
      <c r="AD18" s="17">
        <v>16949</v>
      </c>
      <c r="AE18" s="17">
        <v>7473</v>
      </c>
      <c r="AF18" s="17">
        <v>19804</v>
      </c>
      <c r="AG18" s="17">
        <v>13740</v>
      </c>
      <c r="AH18" s="17">
        <v>16607</v>
      </c>
      <c r="AI18" s="17">
        <v>9331</v>
      </c>
      <c r="AJ18" s="17">
        <v>8286</v>
      </c>
      <c r="AK18" s="17">
        <v>2691</v>
      </c>
      <c r="AL18" s="17">
        <v>4284</v>
      </c>
      <c r="AM18" s="17">
        <v>12721</v>
      </c>
      <c r="AN18" s="17">
        <v>12443</v>
      </c>
      <c r="AO18" s="17">
        <v>19827</v>
      </c>
      <c r="AP18" s="17">
        <v>10639</v>
      </c>
      <c r="AQ18" s="17">
        <v>3500</v>
      </c>
      <c r="AR18" s="17">
        <v>11574</v>
      </c>
      <c r="AS18" s="17">
        <v>13939</v>
      </c>
      <c r="AT18" s="17">
        <v>13030</v>
      </c>
      <c r="AU18" s="17">
        <v>13145</v>
      </c>
      <c r="AV18" s="17">
        <v>18919</v>
      </c>
      <c r="AW18" s="17">
        <v>13472</v>
      </c>
      <c r="AX18" s="17">
        <v>6077</v>
      </c>
      <c r="AY18" s="17">
        <v>12625</v>
      </c>
      <c r="AZ18" s="17">
        <v>4309</v>
      </c>
      <c r="BA18" s="17">
        <v>525</v>
      </c>
      <c r="BB18" s="18" t="s">
        <v>12</v>
      </c>
      <c r="BC18" s="17">
        <f>AVERAGE(B18:BA18)</f>
        <v>9838.25</v>
      </c>
      <c r="BD18" s="17">
        <f>STDEV(B18:BA18)</f>
        <v>5837.9769356327879</v>
      </c>
    </row>
    <row r="19" spans="1:56" x14ac:dyDescent="0.2">
      <c r="A19" t="s">
        <v>37</v>
      </c>
      <c r="B19" s="17">
        <f>B4</f>
        <v>10843</v>
      </c>
      <c r="C19" s="17">
        <f>C4</f>
        <v>10318</v>
      </c>
      <c r="D19" s="17">
        <f>D4</f>
        <v>9392</v>
      </c>
      <c r="E19" s="17">
        <f>E4</f>
        <v>10980</v>
      </c>
      <c r="F19" s="17">
        <f>F4</f>
        <v>9226</v>
      </c>
      <c r="G19" s="17">
        <f>G5</f>
        <v>9282</v>
      </c>
      <c r="H19" s="17">
        <f>H5</f>
        <v>10390</v>
      </c>
      <c r="I19" s="17">
        <f>I5</f>
        <v>9274</v>
      </c>
      <c r="J19" s="17">
        <f>J5</f>
        <v>10494</v>
      </c>
      <c r="K19" s="17">
        <f>K6</f>
        <v>10463</v>
      </c>
      <c r="L19" s="17">
        <f>L6</f>
        <v>9950</v>
      </c>
      <c r="M19" s="17">
        <f>M6</f>
        <v>10622</v>
      </c>
      <c r="N19" s="17">
        <f>N6</f>
        <v>9588</v>
      </c>
      <c r="O19" s="17">
        <f>O6</f>
        <v>9539</v>
      </c>
      <c r="P19" s="17">
        <f>P7</f>
        <v>9388</v>
      </c>
      <c r="Q19" s="17">
        <f>Q7</f>
        <v>10020</v>
      </c>
      <c r="R19" s="17">
        <f>R7</f>
        <v>10083</v>
      </c>
      <c r="S19" s="17">
        <f>S7</f>
        <v>9797</v>
      </c>
      <c r="T19" s="17">
        <f>T8</f>
        <v>10671</v>
      </c>
      <c r="U19" s="17">
        <f>U8</f>
        <v>10921</v>
      </c>
      <c r="V19" s="17">
        <f>V8</f>
        <v>10419</v>
      </c>
      <c r="W19" s="17">
        <f>W8</f>
        <v>10912</v>
      </c>
      <c r="X19" s="17">
        <f>X9</f>
        <v>10417</v>
      </c>
      <c r="Y19" s="17">
        <f>Y9</f>
        <v>9594</v>
      </c>
      <c r="Z19" s="17">
        <f>Z9</f>
        <v>9320</v>
      </c>
      <c r="AA19" s="17">
        <f>AA9</f>
        <v>9602</v>
      </c>
      <c r="AB19" s="17">
        <f>AB9</f>
        <v>10482</v>
      </c>
      <c r="AC19" s="17">
        <f>AC10</f>
        <v>10579</v>
      </c>
      <c r="AD19" s="17">
        <f>AD10</f>
        <v>10966</v>
      </c>
      <c r="AE19" s="17">
        <f>AE10</f>
        <v>9215</v>
      </c>
      <c r="AF19" s="17">
        <f>AF10</f>
        <v>10758</v>
      </c>
      <c r="AG19" s="17">
        <f>AG11</f>
        <v>10167</v>
      </c>
      <c r="AH19" s="17">
        <f>AH11</f>
        <v>10687</v>
      </c>
      <c r="AI19" s="17">
        <f>AI11</f>
        <v>9451</v>
      </c>
      <c r="AJ19" s="17">
        <f>AJ11</f>
        <v>9772</v>
      </c>
      <c r="AK19" s="17">
        <f>AK12</f>
        <v>9639</v>
      </c>
      <c r="AL19" s="17">
        <f>AL12</f>
        <v>10555</v>
      </c>
      <c r="AM19" s="17">
        <f>AM12</f>
        <v>9441</v>
      </c>
      <c r="AN19" s="17">
        <f>AN12</f>
        <v>10087</v>
      </c>
      <c r="AO19" s="17">
        <f>AO12</f>
        <v>10009</v>
      </c>
      <c r="AP19" s="17">
        <f>AP13</f>
        <v>9587</v>
      </c>
      <c r="AQ19" s="17">
        <f>AQ13</f>
        <v>10694</v>
      </c>
      <c r="AR19" s="17">
        <f>AR13</f>
        <v>9872</v>
      </c>
      <c r="AS19" s="17">
        <f>AS13</f>
        <v>10813</v>
      </c>
      <c r="AT19" s="17">
        <f t="shared" ref="AT19:AW19" si="0">AT14</f>
        <v>10059</v>
      </c>
      <c r="AU19" s="17">
        <f t="shared" si="0"/>
        <v>10928</v>
      </c>
      <c r="AV19" s="17">
        <f t="shared" si="0"/>
        <v>9697</v>
      </c>
      <c r="AW19" s="17">
        <f t="shared" si="0"/>
        <v>10268</v>
      </c>
      <c r="AX19" s="17">
        <f>AX15</f>
        <v>9501</v>
      </c>
      <c r="AY19" s="17">
        <f t="shared" ref="AY19:BA19" si="1">AY15</f>
        <v>10114</v>
      </c>
      <c r="AZ19" s="17">
        <f t="shared" si="1"/>
        <v>10869</v>
      </c>
      <c r="BA19" s="17">
        <f t="shared" si="1"/>
        <v>9733</v>
      </c>
      <c r="BB19" s="18" t="s">
        <v>37</v>
      </c>
      <c r="BC19" s="17">
        <f>AVERAGE(B19:BA19)</f>
        <v>10104.76923076923</v>
      </c>
      <c r="BD19" s="17">
        <f>STDEV(B19:BA19)</f>
        <v>560.68542140828743</v>
      </c>
    </row>
    <row r="20" spans="1:56" x14ac:dyDescent="0.2">
      <c r="A20" t="s">
        <v>17</v>
      </c>
      <c r="B20" s="17">
        <f>B19-B18</f>
        <v>3804</v>
      </c>
      <c r="C20" s="17">
        <f t="shared" ref="C20:BA20" si="2">C19-C18</f>
        <v>8233</v>
      </c>
      <c r="D20" s="17">
        <f t="shared" si="2"/>
        <v>4625</v>
      </c>
      <c r="E20" s="17">
        <f t="shared" si="2"/>
        <v>-4815</v>
      </c>
      <c r="F20" s="17">
        <f t="shared" si="2"/>
        <v>-2878</v>
      </c>
      <c r="G20" s="17">
        <f t="shared" si="2"/>
        <v>6943</v>
      </c>
      <c r="H20" s="17">
        <f t="shared" si="2"/>
        <v>-1399</v>
      </c>
      <c r="I20" s="17">
        <f t="shared" si="2"/>
        <v>7049</v>
      </c>
      <c r="J20" s="17">
        <f t="shared" si="2"/>
        <v>870</v>
      </c>
      <c r="K20" s="17">
        <f t="shared" si="2"/>
        <v>-1391</v>
      </c>
      <c r="L20" s="17">
        <f t="shared" si="2"/>
        <v>-153</v>
      </c>
      <c r="M20" s="17">
        <f t="shared" si="2"/>
        <v>-6156</v>
      </c>
      <c r="N20" s="17">
        <f t="shared" si="2"/>
        <v>-9457</v>
      </c>
      <c r="O20" s="17">
        <f t="shared" si="2"/>
        <v>5329</v>
      </c>
      <c r="P20" s="17">
        <f t="shared" si="2"/>
        <v>1684</v>
      </c>
      <c r="Q20" s="17">
        <f t="shared" si="2"/>
        <v>-7663</v>
      </c>
      <c r="R20" s="17">
        <f t="shared" si="2"/>
        <v>-6064</v>
      </c>
      <c r="S20" s="17">
        <f t="shared" si="2"/>
        <v>9517</v>
      </c>
      <c r="T20" s="17">
        <f t="shared" si="2"/>
        <v>9677</v>
      </c>
      <c r="U20" s="17">
        <f t="shared" si="2"/>
        <v>5831</v>
      </c>
      <c r="V20" s="17">
        <f t="shared" si="2"/>
        <v>1185</v>
      </c>
      <c r="W20" s="17">
        <f t="shared" si="2"/>
        <v>5069</v>
      </c>
      <c r="X20" s="17">
        <f t="shared" si="2"/>
        <v>-8681</v>
      </c>
      <c r="Y20" s="17">
        <f t="shared" si="2"/>
        <v>5980</v>
      </c>
      <c r="Z20" s="17">
        <f t="shared" si="2"/>
        <v>-6497</v>
      </c>
      <c r="AA20" s="17">
        <f t="shared" si="2"/>
        <v>7824</v>
      </c>
      <c r="AB20" s="17">
        <f t="shared" si="2"/>
        <v>986</v>
      </c>
      <c r="AC20" s="17">
        <f t="shared" si="2"/>
        <v>7435</v>
      </c>
      <c r="AD20" s="17">
        <f t="shared" si="2"/>
        <v>-5983</v>
      </c>
      <c r="AE20" s="17">
        <f t="shared" si="2"/>
        <v>1742</v>
      </c>
      <c r="AF20" s="17">
        <f t="shared" si="2"/>
        <v>-9046</v>
      </c>
      <c r="AG20" s="17">
        <f t="shared" si="2"/>
        <v>-3573</v>
      </c>
      <c r="AH20" s="17">
        <f t="shared" si="2"/>
        <v>-5920</v>
      </c>
      <c r="AI20" s="17">
        <f t="shared" si="2"/>
        <v>120</v>
      </c>
      <c r="AJ20" s="17">
        <f t="shared" si="2"/>
        <v>1486</v>
      </c>
      <c r="AK20" s="17">
        <f t="shared" si="2"/>
        <v>6948</v>
      </c>
      <c r="AL20" s="17">
        <f t="shared" si="2"/>
        <v>6271</v>
      </c>
      <c r="AM20" s="17">
        <f t="shared" si="2"/>
        <v>-3280</v>
      </c>
      <c r="AN20" s="17">
        <f t="shared" si="2"/>
        <v>-2356</v>
      </c>
      <c r="AO20" s="17">
        <f t="shared" si="2"/>
        <v>-9818</v>
      </c>
      <c r="AP20" s="17">
        <f t="shared" si="2"/>
        <v>-1052</v>
      </c>
      <c r="AQ20" s="17">
        <f t="shared" si="2"/>
        <v>7194</v>
      </c>
      <c r="AR20" s="17">
        <f t="shared" si="2"/>
        <v>-1702</v>
      </c>
      <c r="AS20" s="17">
        <f t="shared" si="2"/>
        <v>-3126</v>
      </c>
      <c r="AT20" s="17">
        <f t="shared" si="2"/>
        <v>-2971</v>
      </c>
      <c r="AU20" s="17">
        <f t="shared" si="2"/>
        <v>-2217</v>
      </c>
      <c r="AV20" s="17">
        <f t="shared" si="2"/>
        <v>-9222</v>
      </c>
      <c r="AW20" s="17">
        <f t="shared" si="2"/>
        <v>-3204</v>
      </c>
      <c r="AX20" s="17">
        <f t="shared" si="2"/>
        <v>3424</v>
      </c>
      <c r="AY20" s="17">
        <f t="shared" si="2"/>
        <v>-2511</v>
      </c>
      <c r="AZ20" s="17">
        <f t="shared" si="2"/>
        <v>6560</v>
      </c>
      <c r="BA20" s="17">
        <f t="shared" si="2"/>
        <v>9208</v>
      </c>
      <c r="BB20" s="18" t="s">
        <v>17</v>
      </c>
      <c r="BC20" s="17">
        <f>AVERAGE(B20:BA20)</f>
        <v>266.51923076923077</v>
      </c>
      <c r="BD20" s="17">
        <f>STDEV(B20:BA20)</f>
        <v>5766.0037797297891</v>
      </c>
    </row>
    <row r="21" spans="1:56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C21" s="2"/>
    </row>
  </sheetData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0"/>
  <sheetViews>
    <sheetView zoomScale="150" zoomScaleNormal="150" zoomScalePageLayoutView="150" workbookViewId="0"/>
  </sheetViews>
  <sheetFormatPr baseColWidth="10" defaultColWidth="8.83203125" defaultRowHeight="15" x14ac:dyDescent="0.2"/>
  <cols>
    <col min="2" max="2" width="10.33203125" bestFit="1" customWidth="1"/>
    <col min="3" max="3" width="9.33203125" bestFit="1" customWidth="1"/>
    <col min="4" max="5" width="10.33203125" bestFit="1" customWidth="1"/>
    <col min="6" max="6" width="10.1640625" bestFit="1" customWidth="1"/>
    <col min="7" max="19" width="10.33203125" bestFit="1" customWidth="1"/>
    <col min="20" max="20" width="10.1640625" bestFit="1" customWidth="1"/>
    <col min="21" max="21" width="10.33203125" bestFit="1" customWidth="1"/>
    <col min="22" max="22" width="10.1640625" bestFit="1" customWidth="1"/>
    <col min="23" max="28" width="10.33203125" bestFit="1" customWidth="1"/>
    <col min="29" max="29" width="10.1640625" bestFit="1" customWidth="1"/>
    <col min="30" max="30" width="10.33203125" bestFit="1" customWidth="1"/>
    <col min="31" max="31" width="10.1640625" bestFit="1" customWidth="1"/>
    <col min="32" max="35" width="10.33203125" bestFit="1" customWidth="1"/>
    <col min="36" max="38" width="10.1640625" bestFit="1" customWidth="1"/>
    <col min="39" max="39" width="10.33203125" bestFit="1" customWidth="1"/>
    <col min="40" max="40" width="10.1640625" bestFit="1" customWidth="1"/>
    <col min="41" max="41" width="10.33203125" bestFit="1" customWidth="1"/>
    <col min="42" max="42" width="10.1640625" bestFit="1" customWidth="1"/>
    <col min="43" max="50" width="10.33203125" bestFit="1" customWidth="1"/>
    <col min="51" max="51" width="10.1640625" bestFit="1" customWidth="1"/>
    <col min="52" max="53" width="10.33203125" bestFit="1" customWidth="1"/>
    <col min="55" max="55" width="10.1640625" bestFit="1" customWidth="1"/>
    <col min="56" max="56" width="9.1640625" bestFit="1" customWidth="1"/>
  </cols>
  <sheetData>
    <row r="1" spans="1:55" x14ac:dyDescent="0.2">
      <c r="A1" t="s">
        <v>39</v>
      </c>
    </row>
    <row r="2" spans="1:55" x14ac:dyDescent="0.2">
      <c r="A2" s="7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5" x14ac:dyDescent="0.2">
      <c r="B3" s="1">
        <v>42278</v>
      </c>
      <c r="C3" s="1">
        <v>42285</v>
      </c>
      <c r="D3" s="1">
        <v>42292</v>
      </c>
      <c r="E3" s="1">
        <v>42299</v>
      </c>
      <c r="F3" s="1">
        <v>42306</v>
      </c>
      <c r="G3" s="1">
        <v>42313</v>
      </c>
      <c r="H3" s="1">
        <v>42320</v>
      </c>
      <c r="I3" s="1">
        <v>42327</v>
      </c>
      <c r="J3" s="1">
        <v>42334</v>
      </c>
      <c r="K3" s="1">
        <v>42341</v>
      </c>
      <c r="L3" s="1">
        <v>42348</v>
      </c>
      <c r="M3" s="1">
        <v>42355</v>
      </c>
      <c r="N3" s="1">
        <v>42362</v>
      </c>
      <c r="O3" s="1">
        <v>42369</v>
      </c>
      <c r="P3" s="1">
        <v>42376</v>
      </c>
      <c r="Q3" s="1">
        <v>42383</v>
      </c>
      <c r="R3" s="1">
        <v>42390</v>
      </c>
      <c r="S3" s="1">
        <v>42397</v>
      </c>
      <c r="T3" s="1">
        <v>42404</v>
      </c>
      <c r="U3" s="1">
        <v>42411</v>
      </c>
      <c r="V3" s="1">
        <v>42418</v>
      </c>
      <c r="W3" s="1">
        <v>42425</v>
      </c>
      <c r="X3" s="1">
        <v>42432</v>
      </c>
      <c r="Y3" s="1">
        <v>42439</v>
      </c>
      <c r="Z3" s="1">
        <v>42446</v>
      </c>
      <c r="AA3" s="1">
        <v>42453</v>
      </c>
      <c r="AB3" s="1">
        <v>42460</v>
      </c>
      <c r="AC3" s="1">
        <v>42467</v>
      </c>
      <c r="AD3" s="1">
        <v>42474</v>
      </c>
      <c r="AE3" s="1">
        <v>42481</v>
      </c>
      <c r="AF3" s="1">
        <v>42488</v>
      </c>
      <c r="AG3" s="1">
        <v>42495</v>
      </c>
      <c r="AH3" s="1">
        <v>42502</v>
      </c>
      <c r="AI3" s="1">
        <v>42509</v>
      </c>
      <c r="AJ3" s="1">
        <v>42516</v>
      </c>
      <c r="AK3" s="1">
        <v>42523</v>
      </c>
      <c r="AL3" s="1">
        <v>42530</v>
      </c>
      <c r="AM3" s="1">
        <v>42537</v>
      </c>
      <c r="AN3" s="1">
        <v>42544</v>
      </c>
      <c r="AO3" s="1">
        <v>42551</v>
      </c>
      <c r="AP3" s="1">
        <v>42558</v>
      </c>
      <c r="AQ3" s="1">
        <v>42565</v>
      </c>
      <c r="AR3" s="1">
        <v>42572</v>
      </c>
      <c r="AS3" s="1">
        <v>42579</v>
      </c>
      <c r="AT3" s="1">
        <v>42586</v>
      </c>
      <c r="AU3" s="1">
        <v>42593</v>
      </c>
      <c r="AV3" s="1">
        <v>42600</v>
      </c>
      <c r="AW3" s="1">
        <v>42607</v>
      </c>
      <c r="AX3" s="1">
        <v>42614</v>
      </c>
      <c r="AY3" s="1">
        <v>42621</v>
      </c>
      <c r="AZ3" s="1">
        <v>42628</v>
      </c>
      <c r="BA3" s="1">
        <v>42635</v>
      </c>
    </row>
    <row r="4" spans="1:55" x14ac:dyDescent="0.2">
      <c r="A4" t="s">
        <v>7</v>
      </c>
      <c r="B4" s="16">
        <v>10336</v>
      </c>
      <c r="C4" s="16">
        <v>9854</v>
      </c>
      <c r="D4" s="16">
        <v>10497</v>
      </c>
      <c r="E4" s="16">
        <v>9548</v>
      </c>
      <c r="F4" s="16">
        <v>9650</v>
      </c>
      <c r="G4" s="17">
        <v>10677</v>
      </c>
      <c r="H4" s="17">
        <v>10505</v>
      </c>
      <c r="I4" s="17">
        <v>9182</v>
      </c>
      <c r="J4" s="17">
        <v>10747</v>
      </c>
      <c r="K4" s="17">
        <v>9246</v>
      </c>
      <c r="L4" s="17">
        <v>9689</v>
      </c>
      <c r="M4" s="17">
        <v>10540</v>
      </c>
      <c r="N4" s="17">
        <v>9758</v>
      </c>
      <c r="O4" s="17">
        <v>10347</v>
      </c>
      <c r="P4" s="17">
        <v>9166</v>
      </c>
      <c r="Q4" s="17">
        <v>9917</v>
      </c>
      <c r="R4" s="17">
        <v>10753</v>
      </c>
      <c r="S4" s="17">
        <v>9944</v>
      </c>
      <c r="T4" s="17">
        <v>9359</v>
      </c>
      <c r="U4" s="17">
        <v>9292</v>
      </c>
      <c r="V4" s="17">
        <v>10440</v>
      </c>
      <c r="W4" s="17">
        <v>10160</v>
      </c>
      <c r="X4" s="17">
        <v>10172</v>
      </c>
      <c r="Y4" s="17">
        <v>10193</v>
      </c>
      <c r="Z4" s="17">
        <v>9141</v>
      </c>
      <c r="AA4" s="17">
        <v>10561</v>
      </c>
      <c r="AB4" s="17">
        <v>10968</v>
      </c>
      <c r="AC4" s="17">
        <v>10175</v>
      </c>
      <c r="AD4" s="17">
        <v>9008</v>
      </c>
      <c r="AE4" s="17">
        <v>9335</v>
      </c>
      <c r="AF4" s="17">
        <v>10509</v>
      </c>
      <c r="AG4" s="17">
        <v>10142</v>
      </c>
      <c r="AH4" s="17">
        <v>10431</v>
      </c>
      <c r="AI4" s="17">
        <v>9996</v>
      </c>
      <c r="AJ4" s="17">
        <v>9926</v>
      </c>
      <c r="AK4" s="17">
        <v>10025</v>
      </c>
      <c r="AL4" s="17">
        <v>9019</v>
      </c>
      <c r="AM4" s="17">
        <v>9376</v>
      </c>
      <c r="AN4" s="17">
        <v>10516</v>
      </c>
      <c r="AO4" s="17">
        <v>9860</v>
      </c>
      <c r="AP4" s="17">
        <v>10660</v>
      </c>
      <c r="AQ4" s="17">
        <v>10167</v>
      </c>
      <c r="AR4" s="17">
        <v>10457</v>
      </c>
      <c r="AS4" s="17">
        <v>10689</v>
      </c>
      <c r="AT4" s="17">
        <v>9229</v>
      </c>
      <c r="AU4" s="17">
        <v>9309</v>
      </c>
      <c r="AV4" s="17">
        <v>10691</v>
      </c>
      <c r="AW4" s="17">
        <v>10616</v>
      </c>
      <c r="AX4" s="17">
        <v>10786</v>
      </c>
      <c r="AY4" s="17">
        <v>9762</v>
      </c>
      <c r="AZ4" s="17">
        <v>10363</v>
      </c>
      <c r="BA4" s="17">
        <v>10488</v>
      </c>
      <c r="BC4" s="2"/>
    </row>
    <row r="5" spans="1:55" x14ac:dyDescent="0.2">
      <c r="A5" t="s">
        <v>8</v>
      </c>
      <c r="B5" s="17">
        <v>10362</v>
      </c>
      <c r="C5" s="17">
        <v>9677</v>
      </c>
      <c r="D5" s="17">
        <v>9951</v>
      </c>
      <c r="E5" s="17">
        <v>10935</v>
      </c>
      <c r="F5" s="17">
        <v>10493</v>
      </c>
      <c r="G5" s="16">
        <v>10571</v>
      </c>
      <c r="H5" s="16">
        <v>9303</v>
      </c>
      <c r="I5" s="16">
        <v>10687</v>
      </c>
      <c r="J5" s="16">
        <v>10598</v>
      </c>
      <c r="K5" s="17">
        <v>10597</v>
      </c>
      <c r="L5" s="17">
        <v>9338</v>
      </c>
      <c r="M5" s="17">
        <v>9471</v>
      </c>
      <c r="N5" s="17">
        <v>10533</v>
      </c>
      <c r="O5" s="17">
        <v>10236</v>
      </c>
      <c r="P5" s="17">
        <v>10209</v>
      </c>
      <c r="Q5" s="17">
        <v>9350</v>
      </c>
      <c r="R5" s="17">
        <v>10322</v>
      </c>
      <c r="S5" s="17">
        <v>9187</v>
      </c>
      <c r="T5" s="17">
        <v>9072</v>
      </c>
      <c r="U5" s="17">
        <v>10613</v>
      </c>
      <c r="V5" s="17">
        <v>9019</v>
      </c>
      <c r="W5" s="17">
        <v>9427</v>
      </c>
      <c r="X5" s="17">
        <v>9796</v>
      </c>
      <c r="Y5" s="17">
        <v>10402</v>
      </c>
      <c r="Z5" s="17">
        <v>9267</v>
      </c>
      <c r="AA5" s="17">
        <v>10939</v>
      </c>
      <c r="AB5" s="17">
        <v>9744</v>
      </c>
      <c r="AC5" s="17">
        <v>9629</v>
      </c>
      <c r="AD5" s="17">
        <v>10995</v>
      </c>
      <c r="AE5" s="17">
        <v>10715</v>
      </c>
      <c r="AF5" s="17">
        <v>10283</v>
      </c>
      <c r="AG5" s="17">
        <v>10379</v>
      </c>
      <c r="AH5" s="17">
        <v>10961</v>
      </c>
      <c r="AI5" s="17">
        <v>10904</v>
      </c>
      <c r="AJ5" s="17">
        <v>10060</v>
      </c>
      <c r="AK5" s="17">
        <v>10720</v>
      </c>
      <c r="AL5" s="17">
        <v>9103</v>
      </c>
      <c r="AM5" s="17">
        <v>9508</v>
      </c>
      <c r="AN5" s="17">
        <v>10698</v>
      </c>
      <c r="AO5" s="17">
        <v>10458</v>
      </c>
      <c r="AP5" s="17">
        <v>9788</v>
      </c>
      <c r="AQ5" s="17">
        <v>9711</v>
      </c>
      <c r="AR5" s="17">
        <v>9833</v>
      </c>
      <c r="AS5" s="17">
        <v>9550</v>
      </c>
      <c r="AT5" s="17">
        <v>9913</v>
      </c>
      <c r="AU5" s="17">
        <v>10430</v>
      </c>
      <c r="AV5" s="17">
        <v>10077</v>
      </c>
      <c r="AW5" s="17">
        <v>9696</v>
      </c>
      <c r="AX5" s="17">
        <v>9016</v>
      </c>
      <c r="AY5" s="17">
        <v>10414</v>
      </c>
      <c r="AZ5" s="17">
        <v>10129</v>
      </c>
      <c r="BA5" s="17">
        <v>9839</v>
      </c>
      <c r="BC5" s="2"/>
    </row>
    <row r="6" spans="1:55" x14ac:dyDescent="0.2">
      <c r="A6" t="s">
        <v>9</v>
      </c>
      <c r="B6" s="17"/>
      <c r="C6" s="17"/>
      <c r="D6" s="17"/>
      <c r="E6" s="17"/>
      <c r="F6" s="17"/>
      <c r="G6" s="17">
        <v>9141</v>
      </c>
      <c r="H6" s="17">
        <v>9952</v>
      </c>
      <c r="I6" s="17">
        <v>9182</v>
      </c>
      <c r="J6" s="17">
        <v>10303</v>
      </c>
      <c r="K6" s="16">
        <v>10734</v>
      </c>
      <c r="L6" s="16">
        <v>10971</v>
      </c>
      <c r="M6" s="16">
        <v>9126</v>
      </c>
      <c r="N6" s="16">
        <v>9740</v>
      </c>
      <c r="O6" s="16">
        <v>10960</v>
      </c>
      <c r="P6" s="17">
        <v>9349</v>
      </c>
      <c r="Q6" s="17">
        <v>10300</v>
      </c>
      <c r="R6" s="17">
        <v>9139</v>
      </c>
      <c r="S6" s="17">
        <v>10744</v>
      </c>
      <c r="T6" s="17">
        <v>10507</v>
      </c>
      <c r="U6" s="17">
        <v>9868</v>
      </c>
      <c r="V6" s="17">
        <v>9526</v>
      </c>
      <c r="W6" s="17">
        <v>9587</v>
      </c>
      <c r="X6" s="17">
        <v>9079</v>
      </c>
      <c r="Y6" s="17">
        <v>9501</v>
      </c>
      <c r="Z6" s="17">
        <v>10391</v>
      </c>
      <c r="AA6" s="17">
        <v>10091</v>
      </c>
      <c r="AB6" s="17">
        <v>9759</v>
      </c>
      <c r="AC6" s="17">
        <v>10346</v>
      </c>
      <c r="AD6" s="17">
        <v>10943</v>
      </c>
      <c r="AE6" s="17">
        <v>9578</v>
      </c>
      <c r="AF6" s="17">
        <v>9107</v>
      </c>
      <c r="AG6" s="17">
        <v>9740</v>
      </c>
      <c r="AH6" s="17">
        <v>9906</v>
      </c>
      <c r="AI6" s="17">
        <v>10957</v>
      </c>
      <c r="AJ6" s="17">
        <v>10350</v>
      </c>
      <c r="AK6" s="17">
        <v>9370</v>
      </c>
      <c r="AL6" s="17">
        <v>10935</v>
      </c>
      <c r="AM6" s="17">
        <v>10072</v>
      </c>
      <c r="AN6" s="17">
        <v>9847</v>
      </c>
      <c r="AO6" s="17">
        <v>9457</v>
      </c>
      <c r="AP6" s="17">
        <v>10824</v>
      </c>
      <c r="AQ6" s="17">
        <v>10886</v>
      </c>
      <c r="AR6" s="17">
        <v>10536</v>
      </c>
      <c r="AS6" s="17">
        <v>10065</v>
      </c>
      <c r="AT6" s="17">
        <v>9185</v>
      </c>
      <c r="AU6" s="17">
        <v>9766</v>
      </c>
      <c r="AV6" s="17">
        <v>10362</v>
      </c>
      <c r="AW6" s="17">
        <v>10806</v>
      </c>
      <c r="AX6" s="17">
        <v>10169</v>
      </c>
      <c r="AY6" s="17">
        <v>10138</v>
      </c>
      <c r="AZ6" s="17">
        <v>9145</v>
      </c>
      <c r="BA6" s="17">
        <v>10314</v>
      </c>
      <c r="BC6" s="2"/>
    </row>
    <row r="7" spans="1:55" x14ac:dyDescent="0.2">
      <c r="A7" t="s">
        <v>10</v>
      </c>
      <c r="B7" s="17"/>
      <c r="C7" s="17"/>
      <c r="D7" s="17"/>
      <c r="E7" s="17"/>
      <c r="F7" s="17"/>
      <c r="G7" s="17"/>
      <c r="H7" s="17"/>
      <c r="I7" s="17"/>
      <c r="J7" s="17"/>
      <c r="K7" s="17">
        <v>10474</v>
      </c>
      <c r="L7" s="17">
        <v>9397</v>
      </c>
      <c r="M7" s="17">
        <v>9983</v>
      </c>
      <c r="N7" s="17">
        <v>10101</v>
      </c>
      <c r="O7" s="17">
        <v>10962</v>
      </c>
      <c r="P7" s="16">
        <v>10284</v>
      </c>
      <c r="Q7" s="16">
        <v>10821</v>
      </c>
      <c r="R7" s="16">
        <v>9796</v>
      </c>
      <c r="S7" s="16">
        <v>10228</v>
      </c>
      <c r="T7" s="17">
        <v>10362</v>
      </c>
      <c r="U7" s="17">
        <v>10270</v>
      </c>
      <c r="V7" s="17">
        <v>10601</v>
      </c>
      <c r="W7" s="17">
        <v>9234</v>
      </c>
      <c r="X7" s="17">
        <v>9592</v>
      </c>
      <c r="Y7" s="17">
        <v>9292</v>
      </c>
      <c r="Z7" s="17">
        <v>10814</v>
      </c>
      <c r="AA7" s="17">
        <v>10240</v>
      </c>
      <c r="AB7" s="17">
        <v>10017</v>
      </c>
      <c r="AC7" s="17">
        <v>9593</v>
      </c>
      <c r="AD7" s="17">
        <v>9325</v>
      </c>
      <c r="AE7" s="17">
        <v>9385</v>
      </c>
      <c r="AF7" s="17">
        <v>10018</v>
      </c>
      <c r="AG7" s="17">
        <v>10115</v>
      </c>
      <c r="AH7" s="17">
        <v>10568</v>
      </c>
      <c r="AI7" s="17">
        <v>10164</v>
      </c>
      <c r="AJ7" s="17">
        <v>9938</v>
      </c>
      <c r="AK7" s="17">
        <v>10714</v>
      </c>
      <c r="AL7" s="17">
        <v>9215</v>
      </c>
      <c r="AM7" s="17">
        <v>10332</v>
      </c>
      <c r="AN7" s="17">
        <v>9672</v>
      </c>
      <c r="AO7" s="17">
        <v>9594</v>
      </c>
      <c r="AP7" s="17">
        <v>9696</v>
      </c>
      <c r="AQ7" s="17">
        <v>10387</v>
      </c>
      <c r="AR7" s="17">
        <v>9287</v>
      </c>
      <c r="AS7" s="17">
        <v>10217</v>
      </c>
      <c r="AT7" s="17">
        <v>10630</v>
      </c>
      <c r="AU7" s="17">
        <v>10784</v>
      </c>
      <c r="AV7" s="17">
        <v>10978</v>
      </c>
      <c r="AW7" s="17">
        <v>9862</v>
      </c>
      <c r="AX7" s="17">
        <v>9993</v>
      </c>
      <c r="AY7" s="17">
        <v>10158</v>
      </c>
      <c r="AZ7" s="17">
        <v>10839</v>
      </c>
      <c r="BA7" s="17">
        <v>10914</v>
      </c>
      <c r="BC7" s="2"/>
    </row>
    <row r="8" spans="1:55" x14ac:dyDescent="0.2">
      <c r="A8" t="s">
        <v>11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10988</v>
      </c>
      <c r="Q8" s="17">
        <v>10630</v>
      </c>
      <c r="R8" s="17">
        <v>10756</v>
      </c>
      <c r="S8" s="17">
        <v>10740</v>
      </c>
      <c r="T8" s="16">
        <v>9482</v>
      </c>
      <c r="U8" s="16">
        <v>10024</v>
      </c>
      <c r="V8" s="16">
        <v>9515</v>
      </c>
      <c r="W8" s="16">
        <v>10569</v>
      </c>
      <c r="X8" s="17">
        <v>9668</v>
      </c>
      <c r="Y8" s="17">
        <v>9293</v>
      </c>
      <c r="Z8" s="17">
        <v>9974</v>
      </c>
      <c r="AA8" s="17">
        <v>9188</v>
      </c>
      <c r="AB8" s="17">
        <v>9200</v>
      </c>
      <c r="AC8" s="17">
        <v>9448</v>
      </c>
      <c r="AD8" s="17">
        <v>9750</v>
      </c>
      <c r="AE8" s="17">
        <v>10583</v>
      </c>
      <c r="AF8" s="17">
        <v>10902</v>
      </c>
      <c r="AG8" s="17">
        <v>10861</v>
      </c>
      <c r="AH8" s="17">
        <v>10834</v>
      </c>
      <c r="AI8" s="17">
        <v>9953</v>
      </c>
      <c r="AJ8" s="17">
        <v>9314</v>
      </c>
      <c r="AK8" s="17">
        <v>9914</v>
      </c>
      <c r="AL8" s="17">
        <v>10121</v>
      </c>
      <c r="AM8" s="17">
        <v>9921</v>
      </c>
      <c r="AN8" s="17">
        <v>10584</v>
      </c>
      <c r="AO8" s="17">
        <v>9454</v>
      </c>
      <c r="AP8" s="17">
        <v>10199</v>
      </c>
      <c r="AQ8" s="17">
        <v>10634</v>
      </c>
      <c r="AR8" s="17">
        <v>10726</v>
      </c>
      <c r="AS8" s="17">
        <v>9521</v>
      </c>
      <c r="AT8" s="17">
        <v>10039</v>
      </c>
      <c r="AU8" s="17">
        <v>9284</v>
      </c>
      <c r="AV8" s="17">
        <v>10221</v>
      </c>
      <c r="AW8" s="17">
        <v>10226</v>
      </c>
      <c r="AX8" s="17">
        <v>9361</v>
      </c>
      <c r="AY8" s="17">
        <v>10026</v>
      </c>
      <c r="AZ8" s="17">
        <v>9432</v>
      </c>
      <c r="BA8" s="17">
        <v>9292</v>
      </c>
      <c r="BC8" s="2"/>
    </row>
    <row r="9" spans="1:55" x14ac:dyDescent="0.2">
      <c r="A9" t="s">
        <v>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>
        <v>10201</v>
      </c>
      <c r="U9" s="17">
        <v>9007</v>
      </c>
      <c r="V9" s="17">
        <v>9455</v>
      </c>
      <c r="W9" s="17">
        <v>9777</v>
      </c>
      <c r="X9" s="16">
        <v>9203</v>
      </c>
      <c r="Y9" s="16">
        <v>10598</v>
      </c>
      <c r="Z9" s="16">
        <v>10029</v>
      </c>
      <c r="AA9" s="16">
        <v>10408</v>
      </c>
      <c r="AB9" s="16">
        <v>10152</v>
      </c>
      <c r="AC9" s="17">
        <v>9503</v>
      </c>
      <c r="AD9" s="17">
        <v>10994</v>
      </c>
      <c r="AE9" s="17">
        <v>10129</v>
      </c>
      <c r="AF9" s="17">
        <v>9412</v>
      </c>
      <c r="AG9" s="17">
        <v>10294</v>
      </c>
      <c r="AH9" s="17">
        <v>10139</v>
      </c>
      <c r="AI9" s="17">
        <v>10393</v>
      </c>
      <c r="AJ9" s="17">
        <v>9268</v>
      </c>
      <c r="AK9" s="17">
        <v>10273</v>
      </c>
      <c r="AL9" s="17">
        <v>10808</v>
      </c>
      <c r="AM9" s="17">
        <v>9451</v>
      </c>
      <c r="AN9" s="17">
        <v>10639</v>
      </c>
      <c r="AO9" s="17">
        <v>10231</v>
      </c>
      <c r="AP9" s="17">
        <v>9617</v>
      </c>
      <c r="AQ9" s="17">
        <v>10680</v>
      </c>
      <c r="AR9" s="17">
        <v>10229</v>
      </c>
      <c r="AS9" s="17">
        <v>10001</v>
      </c>
      <c r="AT9" s="17">
        <v>10832</v>
      </c>
      <c r="AU9" s="17">
        <v>10061</v>
      </c>
      <c r="AV9" s="17">
        <v>10143</v>
      </c>
      <c r="AW9" s="17">
        <v>9689</v>
      </c>
      <c r="AX9" s="17">
        <v>10579</v>
      </c>
      <c r="AY9" s="17">
        <v>9657</v>
      </c>
      <c r="AZ9" s="17">
        <v>9008</v>
      </c>
      <c r="BA9" s="17">
        <v>10484</v>
      </c>
      <c r="BC9" s="2"/>
    </row>
    <row r="10" spans="1:55" x14ac:dyDescent="0.2">
      <c r="A10" t="s">
        <v>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>
        <v>9631</v>
      </c>
      <c r="Y10" s="17">
        <v>10646</v>
      </c>
      <c r="Z10" s="17">
        <v>9797</v>
      </c>
      <c r="AA10" s="17">
        <v>10776</v>
      </c>
      <c r="AB10" s="17">
        <v>9719</v>
      </c>
      <c r="AC10" s="16">
        <v>9470</v>
      </c>
      <c r="AD10" s="16">
        <v>10744</v>
      </c>
      <c r="AE10" s="16">
        <v>9314</v>
      </c>
      <c r="AF10" s="16">
        <v>10250</v>
      </c>
      <c r="AG10" s="17">
        <v>10360</v>
      </c>
      <c r="AH10" s="17">
        <v>10994</v>
      </c>
      <c r="AI10" s="17">
        <v>9346</v>
      </c>
      <c r="AJ10" s="17">
        <v>9993</v>
      </c>
      <c r="AK10" s="17">
        <v>10961</v>
      </c>
      <c r="AL10" s="17">
        <v>10244</v>
      </c>
      <c r="AM10" s="17">
        <v>9395</v>
      </c>
      <c r="AN10" s="17">
        <v>10535</v>
      </c>
      <c r="AO10" s="17">
        <v>9277</v>
      </c>
      <c r="AP10" s="17">
        <v>10859</v>
      </c>
      <c r="AQ10" s="17">
        <v>10940</v>
      </c>
      <c r="AR10" s="17">
        <v>9217</v>
      </c>
      <c r="AS10" s="17">
        <v>9904</v>
      </c>
      <c r="AT10" s="17">
        <v>10408</v>
      </c>
      <c r="AU10" s="17">
        <v>10603</v>
      </c>
      <c r="AV10" s="17">
        <v>9040</v>
      </c>
      <c r="AW10" s="17">
        <v>10073</v>
      </c>
      <c r="AX10" s="17">
        <v>9997</v>
      </c>
      <c r="AY10" s="17">
        <v>9689</v>
      </c>
      <c r="AZ10" s="17">
        <v>9847</v>
      </c>
      <c r="BA10" s="17">
        <v>9223</v>
      </c>
      <c r="BC10" s="2"/>
    </row>
    <row r="11" spans="1:55" x14ac:dyDescent="0.2">
      <c r="A11" t="s">
        <v>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>
        <v>10363</v>
      </c>
      <c r="AD11" s="17">
        <v>9087</v>
      </c>
      <c r="AE11" s="17">
        <v>9505</v>
      </c>
      <c r="AF11" s="17">
        <v>9360</v>
      </c>
      <c r="AG11" s="16">
        <v>9434</v>
      </c>
      <c r="AH11" s="16">
        <v>10977</v>
      </c>
      <c r="AI11" s="16">
        <v>10488</v>
      </c>
      <c r="AJ11" s="16">
        <v>9874</v>
      </c>
      <c r="AK11" s="17">
        <v>10444</v>
      </c>
      <c r="AL11" s="17">
        <v>9966</v>
      </c>
      <c r="AM11" s="17">
        <v>10102</v>
      </c>
      <c r="AN11" s="17">
        <v>9580</v>
      </c>
      <c r="AO11" s="17">
        <v>9468</v>
      </c>
      <c r="AP11" s="17">
        <v>10679</v>
      </c>
      <c r="AQ11" s="17">
        <v>9066</v>
      </c>
      <c r="AR11" s="17">
        <v>10754</v>
      </c>
      <c r="AS11" s="17">
        <v>9136</v>
      </c>
      <c r="AT11" s="17">
        <v>9038</v>
      </c>
      <c r="AU11" s="17">
        <v>10672</v>
      </c>
      <c r="AV11" s="17">
        <v>10686</v>
      </c>
      <c r="AW11" s="17">
        <v>10499</v>
      </c>
      <c r="AX11" s="17">
        <v>9618</v>
      </c>
      <c r="AY11" s="17">
        <v>10993</v>
      </c>
      <c r="AZ11" s="17">
        <v>10240</v>
      </c>
      <c r="BA11" s="17">
        <v>10359</v>
      </c>
      <c r="BC11" s="2"/>
    </row>
    <row r="12" spans="1:55" x14ac:dyDescent="0.2">
      <c r="A12" t="s">
        <v>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>
        <v>10664</v>
      </c>
      <c r="AH12" s="17">
        <v>10081</v>
      </c>
      <c r="AI12" s="17">
        <v>10337</v>
      </c>
      <c r="AJ12" s="17">
        <v>9869</v>
      </c>
      <c r="AK12" s="16">
        <v>9589</v>
      </c>
      <c r="AL12" s="16">
        <v>9858</v>
      </c>
      <c r="AM12" s="16">
        <v>10170</v>
      </c>
      <c r="AN12" s="16">
        <v>9302</v>
      </c>
      <c r="AO12" s="16">
        <v>10441</v>
      </c>
      <c r="AP12" s="17">
        <v>9147</v>
      </c>
      <c r="AQ12" s="17">
        <v>9013</v>
      </c>
      <c r="AR12" s="17">
        <v>10815</v>
      </c>
      <c r="AS12" s="17">
        <v>9541</v>
      </c>
      <c r="AT12" s="17">
        <v>10979</v>
      </c>
      <c r="AU12" s="17">
        <v>9419</v>
      </c>
      <c r="AV12" s="17">
        <v>10166</v>
      </c>
      <c r="AW12" s="17">
        <v>10911</v>
      </c>
      <c r="AX12" s="17">
        <v>10720</v>
      </c>
      <c r="AY12" s="17">
        <v>9261</v>
      </c>
      <c r="AZ12" s="17">
        <v>9313</v>
      </c>
      <c r="BA12" s="17">
        <v>9579</v>
      </c>
      <c r="BC12" s="2"/>
    </row>
    <row r="13" spans="1:55" x14ac:dyDescent="0.2">
      <c r="A13" t="s">
        <v>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>
        <v>10117</v>
      </c>
      <c r="AL13" s="17">
        <v>9911</v>
      </c>
      <c r="AM13" s="17">
        <v>10727</v>
      </c>
      <c r="AN13" s="17">
        <v>9960</v>
      </c>
      <c r="AO13" s="17">
        <v>10941</v>
      </c>
      <c r="AP13" s="16">
        <v>9434</v>
      </c>
      <c r="AQ13" s="16">
        <v>10550</v>
      </c>
      <c r="AR13" s="16">
        <v>10825</v>
      </c>
      <c r="AS13" s="16">
        <v>9484</v>
      </c>
      <c r="AT13" s="17">
        <v>10124</v>
      </c>
      <c r="AU13" s="17">
        <v>9136</v>
      </c>
      <c r="AV13" s="17">
        <v>10378</v>
      </c>
      <c r="AW13" s="17">
        <v>10427</v>
      </c>
      <c r="AX13" s="17">
        <v>9891</v>
      </c>
      <c r="AY13" s="17">
        <v>9531</v>
      </c>
      <c r="AZ13" s="17">
        <v>9500</v>
      </c>
      <c r="BA13" s="17">
        <v>10523</v>
      </c>
      <c r="BC13" s="2"/>
    </row>
    <row r="14" spans="1:55" x14ac:dyDescent="0.2">
      <c r="A14" t="s">
        <v>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>
        <v>9775</v>
      </c>
      <c r="AQ14" s="17">
        <v>10846</v>
      </c>
      <c r="AR14" s="17">
        <v>9299</v>
      </c>
      <c r="AS14" s="17">
        <v>9299</v>
      </c>
      <c r="AT14" s="16">
        <v>10331</v>
      </c>
      <c r="AU14" s="16">
        <v>10503</v>
      </c>
      <c r="AV14" s="16">
        <v>10107</v>
      </c>
      <c r="AW14" s="16">
        <v>10843</v>
      </c>
      <c r="AX14" s="17">
        <v>10709</v>
      </c>
      <c r="AY14" s="17">
        <v>10373</v>
      </c>
      <c r="AZ14" s="17">
        <v>10099</v>
      </c>
      <c r="BA14" s="17">
        <v>9946</v>
      </c>
      <c r="BC14" s="2"/>
    </row>
    <row r="15" spans="1:55" x14ac:dyDescent="0.2">
      <c r="A15" t="s">
        <v>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>
        <v>9450</v>
      </c>
      <c r="AU15" s="17">
        <v>10644</v>
      </c>
      <c r="AV15" s="17">
        <v>10664</v>
      </c>
      <c r="AW15" s="17">
        <v>9089</v>
      </c>
      <c r="AX15" s="16">
        <v>10284</v>
      </c>
      <c r="AY15" s="16">
        <v>9042</v>
      </c>
      <c r="AZ15" s="16">
        <v>10674</v>
      </c>
      <c r="BA15" s="16">
        <v>10353</v>
      </c>
      <c r="BC15" s="2"/>
    </row>
    <row r="16" spans="1:55" x14ac:dyDescent="0.2">
      <c r="AX16" s="2"/>
      <c r="AY16" s="2"/>
      <c r="AZ16" s="2"/>
      <c r="BA16" s="2"/>
      <c r="BC16" s="3"/>
    </row>
    <row r="17" spans="1:57" x14ac:dyDescent="0.2">
      <c r="B17" s="1">
        <v>42278</v>
      </c>
      <c r="C17" s="1">
        <v>42285</v>
      </c>
      <c r="D17" s="1">
        <v>42292</v>
      </c>
      <c r="E17" s="1">
        <v>42299</v>
      </c>
      <c r="F17" s="1">
        <v>42306</v>
      </c>
      <c r="G17" s="1">
        <v>42313</v>
      </c>
      <c r="H17" s="1">
        <v>42320</v>
      </c>
      <c r="I17" s="1">
        <v>42327</v>
      </c>
      <c r="J17" s="1">
        <v>42334</v>
      </c>
      <c r="K17" s="1">
        <v>42341</v>
      </c>
      <c r="L17" s="1">
        <v>42348</v>
      </c>
      <c r="M17" s="1">
        <v>42355</v>
      </c>
      <c r="N17" s="1">
        <v>42362</v>
      </c>
      <c r="O17" s="1">
        <v>42369</v>
      </c>
      <c r="P17" s="1">
        <v>42376</v>
      </c>
      <c r="Q17" s="1">
        <v>42383</v>
      </c>
      <c r="R17" s="1">
        <v>42390</v>
      </c>
      <c r="S17" s="1">
        <v>42397</v>
      </c>
      <c r="T17" s="1">
        <v>42404</v>
      </c>
      <c r="U17" s="1">
        <v>42411</v>
      </c>
      <c r="V17" s="1">
        <v>42418</v>
      </c>
      <c r="W17" s="1">
        <v>42425</v>
      </c>
      <c r="X17" s="1">
        <v>42432</v>
      </c>
      <c r="Y17" s="1">
        <v>42439</v>
      </c>
      <c r="Z17" s="1">
        <v>42446</v>
      </c>
      <c r="AA17" s="1">
        <v>42453</v>
      </c>
      <c r="AB17" s="1">
        <v>42460</v>
      </c>
      <c r="AC17" s="1">
        <v>42467</v>
      </c>
      <c r="AD17" s="1">
        <v>42474</v>
      </c>
      <c r="AE17" s="1">
        <v>42481</v>
      </c>
      <c r="AF17" s="1">
        <v>42488</v>
      </c>
      <c r="AG17" s="1">
        <v>42495</v>
      </c>
      <c r="AH17" s="1">
        <v>42502</v>
      </c>
      <c r="AI17" s="1">
        <v>42509</v>
      </c>
      <c r="AJ17" s="1">
        <v>42516</v>
      </c>
      <c r="AK17" s="1">
        <v>42523</v>
      </c>
      <c r="AL17" s="1">
        <v>42530</v>
      </c>
      <c r="AM17" s="1">
        <v>42537</v>
      </c>
      <c r="AN17" s="1">
        <v>42544</v>
      </c>
      <c r="AO17" s="1">
        <v>42551</v>
      </c>
      <c r="AP17" s="1">
        <v>42558</v>
      </c>
      <c r="AQ17" s="1">
        <v>42565</v>
      </c>
      <c r="AR17" s="1">
        <v>42572</v>
      </c>
      <c r="AS17" s="1">
        <v>42579</v>
      </c>
      <c r="AT17" s="1">
        <v>42586</v>
      </c>
      <c r="AU17" s="1">
        <v>42593</v>
      </c>
      <c r="AV17" s="1">
        <v>42600</v>
      </c>
      <c r="AW17" s="1">
        <v>42607</v>
      </c>
      <c r="AX17" s="1">
        <v>42614</v>
      </c>
      <c r="AY17" s="1">
        <v>42621</v>
      </c>
      <c r="AZ17" s="1">
        <v>42628</v>
      </c>
      <c r="BA17" s="1">
        <v>42635</v>
      </c>
      <c r="BC17" s="4" t="s">
        <v>18</v>
      </c>
      <c r="BD17" s="4" t="s">
        <v>19</v>
      </c>
    </row>
    <row r="18" spans="1:57" x14ac:dyDescent="0.2">
      <c r="A18" t="s">
        <v>12</v>
      </c>
      <c r="B18" s="17">
        <v>3844</v>
      </c>
      <c r="C18" s="17">
        <v>1186</v>
      </c>
      <c r="D18" s="17">
        <v>1541</v>
      </c>
      <c r="E18" s="17">
        <v>13492</v>
      </c>
      <c r="F18" s="17">
        <v>9904</v>
      </c>
      <c r="G18" s="17">
        <v>1652</v>
      </c>
      <c r="H18" s="17">
        <v>10749</v>
      </c>
      <c r="I18" s="17">
        <v>209</v>
      </c>
      <c r="J18" s="17">
        <v>8663</v>
      </c>
      <c r="K18" s="17">
        <v>8917</v>
      </c>
      <c r="L18" s="17">
        <v>6119</v>
      </c>
      <c r="M18" s="17">
        <v>14367</v>
      </c>
      <c r="N18" s="17">
        <v>18711</v>
      </c>
      <c r="O18" s="17">
        <v>3794</v>
      </c>
      <c r="P18" s="17">
        <v>4180</v>
      </c>
      <c r="Q18" s="17">
        <v>15772</v>
      </c>
      <c r="R18" s="17">
        <v>12381</v>
      </c>
      <c r="S18" s="17">
        <v>579</v>
      </c>
      <c r="T18" s="17">
        <v>1214</v>
      </c>
      <c r="U18" s="17">
        <v>2764</v>
      </c>
      <c r="V18" s="17">
        <v>5753</v>
      </c>
      <c r="W18" s="17">
        <v>3698</v>
      </c>
      <c r="X18" s="17">
        <v>17370</v>
      </c>
      <c r="Y18" s="17">
        <v>1844</v>
      </c>
      <c r="Z18" s="17">
        <v>11954</v>
      </c>
      <c r="AA18" s="17">
        <v>628</v>
      </c>
      <c r="AB18" s="17">
        <v>5645</v>
      </c>
      <c r="AC18" s="17">
        <v>1341</v>
      </c>
      <c r="AD18" s="17">
        <v>16668</v>
      </c>
      <c r="AE18" s="17">
        <v>3794</v>
      </c>
      <c r="AF18" s="17">
        <v>17697</v>
      </c>
      <c r="AG18" s="17">
        <v>13016</v>
      </c>
      <c r="AH18" s="17">
        <v>15158</v>
      </c>
      <c r="AI18" s="17">
        <v>6489</v>
      </c>
      <c r="AJ18" s="17">
        <v>6752</v>
      </c>
      <c r="AK18" s="17">
        <v>138</v>
      </c>
      <c r="AL18" s="17">
        <v>1334</v>
      </c>
      <c r="AM18" s="17">
        <v>11939</v>
      </c>
      <c r="AN18" s="17">
        <v>8636</v>
      </c>
      <c r="AO18" s="17">
        <v>18066</v>
      </c>
      <c r="AP18" s="17">
        <v>9385</v>
      </c>
      <c r="AQ18" s="17">
        <v>2724</v>
      </c>
      <c r="AR18" s="17">
        <v>10487</v>
      </c>
      <c r="AS18" s="17">
        <v>13077</v>
      </c>
      <c r="AT18" s="17">
        <v>10781</v>
      </c>
      <c r="AU18" s="17">
        <v>12294</v>
      </c>
      <c r="AV18" s="17">
        <v>15219</v>
      </c>
      <c r="AW18" s="17">
        <v>9780</v>
      </c>
      <c r="AX18" s="17">
        <v>5408</v>
      </c>
      <c r="AY18" s="17">
        <v>9906</v>
      </c>
      <c r="AZ18" s="17">
        <v>3347</v>
      </c>
      <c r="BA18" s="17">
        <v>1760</v>
      </c>
      <c r="BB18" s="18" t="s">
        <v>12</v>
      </c>
      <c r="BC18" s="17">
        <f>AVERAGE(B18:BA18)</f>
        <v>7925.5</v>
      </c>
      <c r="BD18" s="17">
        <f>STDEV(B18:BA18)</f>
        <v>5639.1261265011826</v>
      </c>
    </row>
    <row r="19" spans="1:57" x14ac:dyDescent="0.2">
      <c r="A19" t="s">
        <v>37</v>
      </c>
      <c r="B19" s="17">
        <f>B4</f>
        <v>10336</v>
      </c>
      <c r="C19" s="17">
        <f>C4</f>
        <v>9854</v>
      </c>
      <c r="D19" s="17">
        <f>D4</f>
        <v>10497</v>
      </c>
      <c r="E19" s="17">
        <f>E4</f>
        <v>9548</v>
      </c>
      <c r="F19" s="17">
        <f>F4</f>
        <v>9650</v>
      </c>
      <c r="G19" s="17">
        <f>G5</f>
        <v>10571</v>
      </c>
      <c r="H19" s="17">
        <f>H5</f>
        <v>9303</v>
      </c>
      <c r="I19" s="17">
        <f>I5</f>
        <v>10687</v>
      </c>
      <c r="J19" s="17">
        <f>J5</f>
        <v>10598</v>
      </c>
      <c r="K19" s="17">
        <f>K6</f>
        <v>10734</v>
      </c>
      <c r="L19" s="17">
        <f>L6</f>
        <v>10971</v>
      </c>
      <c r="M19" s="17">
        <f>M6</f>
        <v>9126</v>
      </c>
      <c r="N19" s="17">
        <f>N6</f>
        <v>9740</v>
      </c>
      <c r="O19" s="17">
        <f>O6</f>
        <v>10960</v>
      </c>
      <c r="P19" s="17">
        <f>P7</f>
        <v>10284</v>
      </c>
      <c r="Q19" s="17">
        <f>Q7</f>
        <v>10821</v>
      </c>
      <c r="R19" s="17">
        <f>R7</f>
        <v>9796</v>
      </c>
      <c r="S19" s="17">
        <f>S7</f>
        <v>10228</v>
      </c>
      <c r="T19" s="17">
        <f>T8</f>
        <v>9482</v>
      </c>
      <c r="U19" s="17">
        <f>U8</f>
        <v>10024</v>
      </c>
      <c r="V19" s="17">
        <f>V8</f>
        <v>9515</v>
      </c>
      <c r="W19" s="17">
        <f>W8</f>
        <v>10569</v>
      </c>
      <c r="X19" s="17">
        <f>X9</f>
        <v>9203</v>
      </c>
      <c r="Y19" s="17">
        <f>Y9</f>
        <v>10598</v>
      </c>
      <c r="Z19" s="17">
        <f>Z9</f>
        <v>10029</v>
      </c>
      <c r="AA19" s="17">
        <f>AA9</f>
        <v>10408</v>
      </c>
      <c r="AB19" s="17">
        <f>AB9</f>
        <v>10152</v>
      </c>
      <c r="AC19" s="17">
        <f>AC10</f>
        <v>9470</v>
      </c>
      <c r="AD19" s="17">
        <f>AD10</f>
        <v>10744</v>
      </c>
      <c r="AE19" s="17">
        <f>AE10</f>
        <v>9314</v>
      </c>
      <c r="AF19" s="17">
        <f>AF10</f>
        <v>10250</v>
      </c>
      <c r="AG19" s="17">
        <f>AG11</f>
        <v>9434</v>
      </c>
      <c r="AH19" s="17">
        <f>AH11</f>
        <v>10977</v>
      </c>
      <c r="AI19" s="17">
        <f>AI11</f>
        <v>10488</v>
      </c>
      <c r="AJ19" s="17">
        <f>AJ11</f>
        <v>9874</v>
      </c>
      <c r="AK19" s="17">
        <f>AK12</f>
        <v>9589</v>
      </c>
      <c r="AL19" s="17">
        <f>AL12</f>
        <v>9858</v>
      </c>
      <c r="AM19" s="17">
        <f>AM12</f>
        <v>10170</v>
      </c>
      <c r="AN19" s="17">
        <f>AN12</f>
        <v>9302</v>
      </c>
      <c r="AO19" s="17">
        <f>AO12</f>
        <v>10441</v>
      </c>
      <c r="AP19" s="17">
        <f>AP13</f>
        <v>9434</v>
      </c>
      <c r="AQ19" s="17">
        <f>AQ13</f>
        <v>10550</v>
      </c>
      <c r="AR19" s="17">
        <f>AR13</f>
        <v>10825</v>
      </c>
      <c r="AS19" s="17">
        <f>AS13</f>
        <v>9484</v>
      </c>
      <c r="AT19" s="17">
        <f t="shared" ref="AT19:AW19" si="0">AT14</f>
        <v>10331</v>
      </c>
      <c r="AU19" s="17">
        <f t="shared" si="0"/>
        <v>10503</v>
      </c>
      <c r="AV19" s="17">
        <f t="shared" si="0"/>
        <v>10107</v>
      </c>
      <c r="AW19" s="17">
        <f t="shared" si="0"/>
        <v>10843</v>
      </c>
      <c r="AX19" s="17">
        <f>AX15</f>
        <v>10284</v>
      </c>
      <c r="AY19" s="17">
        <f t="shared" ref="AY19:BA19" si="1">AY15</f>
        <v>9042</v>
      </c>
      <c r="AZ19" s="17">
        <f t="shared" si="1"/>
        <v>10674</v>
      </c>
      <c r="BA19" s="17">
        <f t="shared" si="1"/>
        <v>10353</v>
      </c>
      <c r="BB19" s="18" t="s">
        <v>37</v>
      </c>
      <c r="BC19" s="17">
        <f>AVERAGE(B19:BA19)</f>
        <v>10115.865384615385</v>
      </c>
      <c r="BD19" s="17">
        <f>STDEV(B19:BA19)</f>
        <v>556.12902399290408</v>
      </c>
      <c r="BE19" s="2"/>
    </row>
    <row r="20" spans="1:57" x14ac:dyDescent="0.2">
      <c r="A20" t="s">
        <v>17</v>
      </c>
      <c r="B20" s="17">
        <f>B19-B18</f>
        <v>6492</v>
      </c>
      <c r="C20" s="17">
        <f t="shared" ref="C20:BA20" si="2">C19-C18</f>
        <v>8668</v>
      </c>
      <c r="D20" s="17">
        <f t="shared" si="2"/>
        <v>8956</v>
      </c>
      <c r="E20" s="17">
        <f t="shared" si="2"/>
        <v>-3944</v>
      </c>
      <c r="F20" s="17">
        <f t="shared" si="2"/>
        <v>-254</v>
      </c>
      <c r="G20" s="17">
        <f t="shared" si="2"/>
        <v>8919</v>
      </c>
      <c r="H20" s="17">
        <f t="shared" si="2"/>
        <v>-1446</v>
      </c>
      <c r="I20" s="17">
        <f t="shared" si="2"/>
        <v>10478</v>
      </c>
      <c r="J20" s="17">
        <f t="shared" si="2"/>
        <v>1935</v>
      </c>
      <c r="K20" s="17">
        <f t="shared" si="2"/>
        <v>1817</v>
      </c>
      <c r="L20" s="17">
        <f t="shared" si="2"/>
        <v>4852</v>
      </c>
      <c r="M20" s="17">
        <f t="shared" si="2"/>
        <v>-5241</v>
      </c>
      <c r="N20" s="17">
        <f t="shared" si="2"/>
        <v>-8971</v>
      </c>
      <c r="O20" s="17">
        <f t="shared" si="2"/>
        <v>7166</v>
      </c>
      <c r="P20" s="17">
        <f t="shared" si="2"/>
        <v>6104</v>
      </c>
      <c r="Q20" s="17">
        <f t="shared" si="2"/>
        <v>-4951</v>
      </c>
      <c r="R20" s="17">
        <f t="shared" si="2"/>
        <v>-2585</v>
      </c>
      <c r="S20" s="17">
        <f t="shared" si="2"/>
        <v>9649</v>
      </c>
      <c r="T20" s="17">
        <f t="shared" si="2"/>
        <v>8268</v>
      </c>
      <c r="U20" s="17">
        <f t="shared" si="2"/>
        <v>7260</v>
      </c>
      <c r="V20" s="17">
        <f t="shared" si="2"/>
        <v>3762</v>
      </c>
      <c r="W20" s="17">
        <f t="shared" si="2"/>
        <v>6871</v>
      </c>
      <c r="X20" s="17">
        <f t="shared" si="2"/>
        <v>-8167</v>
      </c>
      <c r="Y20" s="17">
        <f t="shared" si="2"/>
        <v>8754</v>
      </c>
      <c r="Z20" s="17">
        <f t="shared" si="2"/>
        <v>-1925</v>
      </c>
      <c r="AA20" s="17">
        <f t="shared" si="2"/>
        <v>9780</v>
      </c>
      <c r="AB20" s="17">
        <f t="shared" si="2"/>
        <v>4507</v>
      </c>
      <c r="AC20" s="17">
        <f t="shared" si="2"/>
        <v>8129</v>
      </c>
      <c r="AD20" s="17">
        <f t="shared" si="2"/>
        <v>-5924</v>
      </c>
      <c r="AE20" s="17">
        <f t="shared" si="2"/>
        <v>5520</v>
      </c>
      <c r="AF20" s="17">
        <f t="shared" si="2"/>
        <v>-7447</v>
      </c>
      <c r="AG20" s="17">
        <f t="shared" si="2"/>
        <v>-3582</v>
      </c>
      <c r="AH20" s="17">
        <f t="shared" si="2"/>
        <v>-4181</v>
      </c>
      <c r="AI20" s="17">
        <f t="shared" si="2"/>
        <v>3999</v>
      </c>
      <c r="AJ20" s="17">
        <f t="shared" si="2"/>
        <v>3122</v>
      </c>
      <c r="AK20" s="17">
        <f t="shared" si="2"/>
        <v>9451</v>
      </c>
      <c r="AL20" s="17">
        <f t="shared" si="2"/>
        <v>8524</v>
      </c>
      <c r="AM20" s="17">
        <f t="shared" si="2"/>
        <v>-1769</v>
      </c>
      <c r="AN20" s="17">
        <f t="shared" si="2"/>
        <v>666</v>
      </c>
      <c r="AO20" s="17">
        <f t="shared" si="2"/>
        <v>-7625</v>
      </c>
      <c r="AP20" s="17">
        <f t="shared" si="2"/>
        <v>49</v>
      </c>
      <c r="AQ20" s="17">
        <f t="shared" si="2"/>
        <v>7826</v>
      </c>
      <c r="AR20" s="17">
        <f t="shared" si="2"/>
        <v>338</v>
      </c>
      <c r="AS20" s="17">
        <f t="shared" si="2"/>
        <v>-3593</v>
      </c>
      <c r="AT20" s="17">
        <f t="shared" si="2"/>
        <v>-450</v>
      </c>
      <c r="AU20" s="17">
        <f t="shared" si="2"/>
        <v>-1791</v>
      </c>
      <c r="AV20" s="17">
        <f t="shared" si="2"/>
        <v>-5112</v>
      </c>
      <c r="AW20" s="17">
        <f t="shared" si="2"/>
        <v>1063</v>
      </c>
      <c r="AX20" s="17">
        <f t="shared" si="2"/>
        <v>4876</v>
      </c>
      <c r="AY20" s="17">
        <f t="shared" si="2"/>
        <v>-864</v>
      </c>
      <c r="AZ20" s="17">
        <f t="shared" si="2"/>
        <v>7327</v>
      </c>
      <c r="BA20" s="17">
        <f t="shared" si="2"/>
        <v>8593</v>
      </c>
      <c r="BB20" s="18" t="s">
        <v>17</v>
      </c>
      <c r="BC20" s="17">
        <f>AVERAGE(B20:BA20)</f>
        <v>2190.3653846153848</v>
      </c>
      <c r="BD20" s="17">
        <f>STDEV(B20:BA20)</f>
        <v>5732.2078798314542</v>
      </c>
      <c r="BE20" s="2"/>
    </row>
  </sheetData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Ex2</vt:lpstr>
      <vt:lpstr>Ex5</vt:lpstr>
      <vt:lpstr>Ex6</vt:lpstr>
      <vt:lpstr>Ex7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 R Crane</dc:creator>
  <cp:lastModifiedBy>Microsoft Office User</cp:lastModifiedBy>
  <dcterms:created xsi:type="dcterms:W3CDTF">2014-11-30T06:47:49Z</dcterms:created>
  <dcterms:modified xsi:type="dcterms:W3CDTF">2023-03-11T20:04:41Z</dcterms:modified>
</cp:coreProperties>
</file>