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09 - Gillette Postponement Center/___GroupExercise/"/>
    </mc:Choice>
  </mc:AlternateContent>
  <xr:revisionPtr revIDLastSave="0" documentId="13_ncr:1_{CDFE6F7A-1E2B-9A49-A063-D4C3EA0B4FCA}" xr6:coauthVersionLast="47" xr6:coauthVersionMax="47" xr10:uidLastSave="{00000000-0000-0000-0000-000000000000}"/>
  <bookViews>
    <workbookView xWindow="0" yWindow="760" windowWidth="31140" windowHeight="20220" xr2:uid="{ED7DF8FB-BBA5-2849-8E2A-50A32F904D61}"/>
  </bookViews>
  <sheets>
    <sheet name="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F22" i="1"/>
  <c r="H22" i="1" s="1"/>
  <c r="F23" i="1"/>
  <c r="H23" i="1" s="1"/>
  <c r="F19" i="1"/>
  <c r="H19" i="1" s="1"/>
  <c r="I19" i="1" s="1"/>
  <c r="F18" i="1"/>
  <c r="H18" i="1" s="1"/>
  <c r="I18" i="1" s="1"/>
  <c r="H17" i="1"/>
  <c r="I17" i="1" s="1"/>
  <c r="E17" i="1"/>
  <c r="E18" i="1" s="1"/>
  <c r="F15" i="1"/>
  <c r="H15" i="1" s="1"/>
  <c r="I15" i="1" s="1"/>
  <c r="F14" i="1"/>
  <c r="H14" i="1" s="1"/>
  <c r="I14" i="1" s="1"/>
  <c r="H13" i="1"/>
  <c r="I13" i="1" s="1"/>
  <c r="E13" i="1"/>
  <c r="E14" i="1" s="1"/>
  <c r="F11" i="1"/>
  <c r="H11" i="1" s="1"/>
  <c r="I11" i="1" s="1"/>
  <c r="F10" i="1"/>
  <c r="H10" i="1" s="1"/>
  <c r="I10" i="1" s="1"/>
  <c r="H9" i="1"/>
  <c r="I9" i="1" s="1"/>
  <c r="E9" i="1"/>
  <c r="H5" i="1"/>
  <c r="I5" i="1" s="1"/>
  <c r="F7" i="1"/>
  <c r="H7" i="1" s="1"/>
  <c r="I7" i="1" s="1"/>
  <c r="F6" i="1"/>
  <c r="H6" i="1" s="1"/>
  <c r="I6" i="1" s="1"/>
  <c r="E5" i="1"/>
  <c r="E6" i="1" s="1"/>
  <c r="E7" i="1" s="1"/>
  <c r="D23" i="1" l="1"/>
  <c r="I23" i="1" s="1"/>
  <c r="D24" i="1"/>
  <c r="I24" i="1" s="1"/>
  <c r="F24" i="1"/>
  <c r="H24" i="1" s="1"/>
  <c r="H25" i="1"/>
  <c r="I25" i="1"/>
  <c r="J17" i="1"/>
  <c r="E19" i="1"/>
  <c r="J19" i="1" s="1"/>
  <c r="J18" i="1"/>
  <c r="J9" i="1"/>
  <c r="E15" i="1"/>
  <c r="J15" i="1" s="1"/>
  <c r="J14" i="1"/>
  <c r="J13" i="1"/>
  <c r="E10" i="1"/>
  <c r="J7" i="1"/>
  <c r="J5" i="1"/>
  <c r="J6" i="1"/>
  <c r="K19" i="1" l="1"/>
  <c r="K7" i="1"/>
  <c r="K15" i="1"/>
  <c r="J10" i="1"/>
  <c r="E11" i="1"/>
  <c r="J11" i="1" s="1"/>
  <c r="K11" i="1" l="1"/>
</calcChain>
</file>

<file path=xl/sharedStrings.xml><?xml version="1.0" encoding="utf-8"?>
<sst xmlns="http://schemas.openxmlformats.org/spreadsheetml/2006/main" count="21" uniqueCount="17">
  <si>
    <t>Stage</t>
  </si>
  <si>
    <t>Stage time</t>
  </si>
  <si>
    <t>Review period</t>
  </si>
  <si>
    <t>Cost added</t>
  </si>
  <si>
    <t>cumulative cost</t>
  </si>
  <si>
    <t>Incoming service time</t>
  </si>
  <si>
    <t>Outgoing service time</t>
  </si>
  <si>
    <t>Net replen time</t>
  </si>
  <si>
    <t>Mean</t>
  </si>
  <si>
    <t>Sigma</t>
  </si>
  <si>
    <t>hc rate</t>
  </si>
  <si>
    <t>z-score</t>
  </si>
  <si>
    <t>E[SS] (units)</t>
  </si>
  <si>
    <t>E[SS] cost (dollars)</t>
  </si>
  <si>
    <t>Incoming cost added</t>
  </si>
  <si>
    <t>Expected cycle stock cost</t>
  </si>
  <si>
    <t>Expected pipeline stock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</si>
</sst>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C850-21B7-404A-925D-AFCA6E39CA4E}">
  <dimension ref="A1:K25"/>
  <sheetViews>
    <sheetView showGridLines="0" tabSelected="1" zoomScale="190" zoomScaleNormal="190" workbookViewId="0">
      <selection activeCell="B4" sqref="B4"/>
    </sheetView>
  </sheetViews>
  <sheetFormatPr baseColWidth="10" defaultRowHeight="16" x14ac:dyDescent="0.2"/>
  <cols>
    <col min="2" max="7" width="8.6640625" customWidth="1"/>
    <col min="8" max="8" width="8.5" customWidth="1"/>
    <col min="9" max="11" width="8.6640625" customWidth="1"/>
  </cols>
  <sheetData>
    <row r="1" spans="1:11" x14ac:dyDescent="0.2">
      <c r="A1" s="8" t="s">
        <v>8</v>
      </c>
      <c r="B1" s="4">
        <v>100</v>
      </c>
      <c r="C1" s="8" t="s">
        <v>11</v>
      </c>
      <c r="D1" s="4">
        <v>2</v>
      </c>
    </row>
    <row r="2" spans="1:11" x14ac:dyDescent="0.2">
      <c r="A2" s="8" t="s">
        <v>9</v>
      </c>
      <c r="B2" s="4">
        <v>30</v>
      </c>
      <c r="C2" s="8" t="s">
        <v>10</v>
      </c>
      <c r="D2" s="7">
        <v>0.15</v>
      </c>
    </row>
    <row r="4" spans="1:11" ht="51" x14ac:dyDescent="0.2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12</v>
      </c>
      <c r="J4" s="3" t="s">
        <v>13</v>
      </c>
      <c r="K4" s="1"/>
    </row>
    <row r="5" spans="1:11" x14ac:dyDescent="0.2">
      <c r="A5" s="2">
        <v>1</v>
      </c>
      <c r="B5" s="4">
        <v>59</v>
      </c>
      <c r="C5" s="4">
        <v>1</v>
      </c>
      <c r="D5" s="4">
        <v>60</v>
      </c>
      <c r="E5" s="4">
        <f>D5</f>
        <v>60</v>
      </c>
      <c r="F5" s="4">
        <v>0</v>
      </c>
      <c r="G5" s="4">
        <v>0</v>
      </c>
      <c r="H5" s="4">
        <f>F5+B5+C5-G5</f>
        <v>60</v>
      </c>
      <c r="I5" s="5">
        <f>$D$1*$B$2*SQRT(H5)</f>
        <v>464.75800154489002</v>
      </c>
      <c r="J5" s="6">
        <f>$D$2*E5*I5</f>
        <v>4182.8220139040104</v>
      </c>
    </row>
    <row r="6" spans="1:11" x14ac:dyDescent="0.2">
      <c r="A6" s="2">
        <v>2</v>
      </c>
      <c r="B6" s="4">
        <v>19</v>
      </c>
      <c r="C6" s="4">
        <v>1</v>
      </c>
      <c r="D6" s="4">
        <v>10</v>
      </c>
      <c r="E6" s="4">
        <f>D6+E5</f>
        <v>70</v>
      </c>
      <c r="F6" s="4">
        <f>G5</f>
        <v>0</v>
      </c>
      <c r="G6" s="4">
        <v>0</v>
      </c>
      <c r="H6" s="4">
        <f t="shared" ref="H6:H7" si="0">F6+B6+C6-G6</f>
        <v>20</v>
      </c>
      <c r="I6" s="5">
        <f>$D$1*$B$2*SQRT(H6)</f>
        <v>268.32815729997481</v>
      </c>
      <c r="J6" s="6">
        <f>$D$2*E6*I6</f>
        <v>2817.4456516497353</v>
      </c>
    </row>
    <row r="7" spans="1:11" x14ac:dyDescent="0.2">
      <c r="A7" s="2">
        <v>3</v>
      </c>
      <c r="B7" s="4">
        <v>9</v>
      </c>
      <c r="C7" s="4">
        <v>1</v>
      </c>
      <c r="D7" s="4">
        <v>30</v>
      </c>
      <c r="E7" s="4">
        <f>D7+E6</f>
        <v>100</v>
      </c>
      <c r="F7" s="4">
        <f>G6</f>
        <v>0</v>
      </c>
      <c r="G7" s="4">
        <v>0</v>
      </c>
      <c r="H7" s="4">
        <f t="shared" si="0"/>
        <v>10</v>
      </c>
      <c r="I7" s="5">
        <f>$D$1*$B$2*SQRT(H7)</f>
        <v>189.73665961010278</v>
      </c>
      <c r="J7" s="6">
        <f>$D$2*E7*I7</f>
        <v>2846.0498941515416</v>
      </c>
      <c r="K7" s="9">
        <f>SUM(J5:J7)</f>
        <v>9846.3175597052868</v>
      </c>
    </row>
    <row r="9" spans="1:11" x14ac:dyDescent="0.2">
      <c r="A9" s="2">
        <v>1</v>
      </c>
      <c r="B9" s="4">
        <v>59</v>
      </c>
      <c r="C9" s="4">
        <v>1</v>
      </c>
      <c r="D9" s="4">
        <v>60</v>
      </c>
      <c r="E9" s="4">
        <f>D9</f>
        <v>60</v>
      </c>
      <c r="F9" s="4">
        <v>0</v>
      </c>
      <c r="G9" s="4">
        <v>60</v>
      </c>
      <c r="H9" s="4">
        <f>F9+B9+C9-G9</f>
        <v>0</v>
      </c>
      <c r="I9" s="5">
        <f>$D$1*$B$2*SQRT(H9)</f>
        <v>0</v>
      </c>
      <c r="J9" s="6">
        <f>$D$2*E9*I9</f>
        <v>0</v>
      </c>
    </row>
    <row r="10" spans="1:11" x14ac:dyDescent="0.2">
      <c r="A10" s="2">
        <v>2</v>
      </c>
      <c r="B10" s="4">
        <v>19</v>
      </c>
      <c r="C10" s="4">
        <v>1</v>
      </c>
      <c r="D10" s="4">
        <v>10</v>
      </c>
      <c r="E10" s="4">
        <f>D10+E9</f>
        <v>70</v>
      </c>
      <c r="F10" s="4">
        <f>G9</f>
        <v>60</v>
      </c>
      <c r="G10" s="4">
        <v>0</v>
      </c>
      <c r="H10" s="4">
        <f t="shared" ref="H10:H11" si="1">F10+B10+C10-G10</f>
        <v>80</v>
      </c>
      <c r="I10" s="5">
        <f>$D$1*$B$2*SQRT(H10)</f>
        <v>536.65631459994961</v>
      </c>
      <c r="J10" s="6">
        <f>$D$2*E10*I10</f>
        <v>5634.8913032994706</v>
      </c>
    </row>
    <row r="11" spans="1:11" x14ac:dyDescent="0.2">
      <c r="A11" s="2">
        <v>3</v>
      </c>
      <c r="B11" s="4">
        <v>9</v>
      </c>
      <c r="C11" s="4">
        <v>1</v>
      </c>
      <c r="D11" s="4">
        <v>30</v>
      </c>
      <c r="E11" s="4">
        <f>D11+E10</f>
        <v>100</v>
      </c>
      <c r="F11" s="4">
        <f>G10</f>
        <v>0</v>
      </c>
      <c r="G11" s="4">
        <v>0</v>
      </c>
      <c r="H11" s="4">
        <f t="shared" si="1"/>
        <v>10</v>
      </c>
      <c r="I11" s="5">
        <f>$D$1*$B$2*SQRT(H11)</f>
        <v>189.73665961010278</v>
      </c>
      <c r="J11" s="6">
        <f>$D$2*E11*I11</f>
        <v>2846.0498941515416</v>
      </c>
      <c r="K11" s="9">
        <f>SUM(J9:J11)</f>
        <v>8480.9411974510112</v>
      </c>
    </row>
    <row r="13" spans="1:11" x14ac:dyDescent="0.2">
      <c r="A13" s="2">
        <v>1</v>
      </c>
      <c r="B13" s="4">
        <v>59</v>
      </c>
      <c r="C13" s="4">
        <v>1</v>
      </c>
      <c r="D13" s="4">
        <v>60</v>
      </c>
      <c r="E13" s="4">
        <f>D13</f>
        <v>60</v>
      </c>
      <c r="F13" s="4">
        <v>0</v>
      </c>
      <c r="G13" s="4">
        <v>0</v>
      </c>
      <c r="H13" s="4">
        <f>F13+B13+C13-G13</f>
        <v>60</v>
      </c>
      <c r="I13" s="5">
        <f>$D$1*$B$2*SQRT(H13)</f>
        <v>464.75800154489002</v>
      </c>
      <c r="J13" s="6">
        <f>$D$2*E13*I13</f>
        <v>4182.8220139040104</v>
      </c>
    </row>
    <row r="14" spans="1:11" x14ac:dyDescent="0.2">
      <c r="A14" s="2">
        <v>2</v>
      </c>
      <c r="B14" s="4">
        <v>19</v>
      </c>
      <c r="C14" s="4">
        <v>1</v>
      </c>
      <c r="D14" s="4">
        <v>10</v>
      </c>
      <c r="E14" s="4">
        <f>D14+E13</f>
        <v>70</v>
      </c>
      <c r="F14" s="4">
        <f>G13</f>
        <v>0</v>
      </c>
      <c r="G14" s="4">
        <v>20</v>
      </c>
      <c r="H14" s="4">
        <f t="shared" ref="H14:H15" si="2">F14+B14+C14-G14</f>
        <v>0</v>
      </c>
      <c r="I14" s="5">
        <f>$D$1*$B$2*SQRT(H14)</f>
        <v>0</v>
      </c>
      <c r="J14" s="6">
        <f>$D$2*E14*I14</f>
        <v>0</v>
      </c>
    </row>
    <row r="15" spans="1:11" x14ac:dyDescent="0.2">
      <c r="A15" s="2">
        <v>3</v>
      </c>
      <c r="B15" s="4">
        <v>9</v>
      </c>
      <c r="C15" s="4">
        <v>1</v>
      </c>
      <c r="D15" s="4">
        <v>30</v>
      </c>
      <c r="E15" s="4">
        <f>D15+E14</f>
        <v>100</v>
      </c>
      <c r="F15" s="4">
        <f>G14</f>
        <v>20</v>
      </c>
      <c r="G15" s="4">
        <v>0</v>
      </c>
      <c r="H15" s="4">
        <f t="shared" si="2"/>
        <v>30</v>
      </c>
      <c r="I15" s="5">
        <f>$D$1*$B$2*SQRT(H15)</f>
        <v>328.63353450309967</v>
      </c>
      <c r="J15" s="6">
        <f>$D$2*E15*I15</f>
        <v>4929.5030175464954</v>
      </c>
      <c r="K15" s="9">
        <f>SUM(J13:J15)</f>
        <v>9112.3250314505058</v>
      </c>
    </row>
    <row r="17" spans="1:11" x14ac:dyDescent="0.2">
      <c r="A17" s="2">
        <v>1</v>
      </c>
      <c r="B17" s="4">
        <v>59</v>
      </c>
      <c r="C17" s="4">
        <v>1</v>
      </c>
      <c r="D17" s="4">
        <v>60</v>
      </c>
      <c r="E17" s="4">
        <f>D17</f>
        <v>60</v>
      </c>
      <c r="F17" s="4">
        <v>0</v>
      </c>
      <c r="G17" s="4">
        <v>60</v>
      </c>
      <c r="H17" s="4">
        <f>F17+B17+C17-G17</f>
        <v>0</v>
      </c>
      <c r="I17" s="5">
        <f>$D$1*$B$2*SQRT(H17)</f>
        <v>0</v>
      </c>
      <c r="J17" s="6">
        <f>$D$2*E17*I17</f>
        <v>0</v>
      </c>
    </row>
    <row r="18" spans="1:11" x14ac:dyDescent="0.2">
      <c r="A18" s="2">
        <v>2</v>
      </c>
      <c r="B18" s="4">
        <v>19</v>
      </c>
      <c r="C18" s="4">
        <v>1</v>
      </c>
      <c r="D18" s="4">
        <v>10</v>
      </c>
      <c r="E18" s="4">
        <f>D18+E17</f>
        <v>70</v>
      </c>
      <c r="F18" s="4">
        <f>G17</f>
        <v>60</v>
      </c>
      <c r="G18" s="4">
        <v>80</v>
      </c>
      <c r="H18" s="4">
        <f t="shared" ref="H18:H19" si="3">F18+B18+C18-G18</f>
        <v>0</v>
      </c>
      <c r="I18" s="5">
        <f>$D$1*$B$2*SQRT(H18)</f>
        <v>0</v>
      </c>
      <c r="J18" s="6">
        <f>$D$2*E18*I18</f>
        <v>0</v>
      </c>
    </row>
    <row r="19" spans="1:11" x14ac:dyDescent="0.2">
      <c r="A19" s="2">
        <v>3</v>
      </c>
      <c r="B19" s="4">
        <v>9</v>
      </c>
      <c r="C19" s="4">
        <v>1</v>
      </c>
      <c r="D19" s="4">
        <v>30</v>
      </c>
      <c r="E19" s="4">
        <f>D19+E18</f>
        <v>100</v>
      </c>
      <c r="F19" s="4">
        <f>G18</f>
        <v>80</v>
      </c>
      <c r="G19" s="4">
        <v>0</v>
      </c>
      <c r="H19" s="4">
        <f t="shared" si="3"/>
        <v>90</v>
      </c>
      <c r="I19" s="5">
        <f>$D$1*$B$2*SQRT(H19)</f>
        <v>569.20997883030827</v>
      </c>
      <c r="J19" s="6">
        <f>$D$2*E19*I19</f>
        <v>8538.1496824546248</v>
      </c>
      <c r="K19" s="9">
        <f>SUM(J17:J19)</f>
        <v>8538.1496824546248</v>
      </c>
    </row>
    <row r="21" spans="1:11" ht="68" x14ac:dyDescent="0.2">
      <c r="B21" s="3" t="s">
        <v>1</v>
      </c>
      <c r="C21" s="3" t="s">
        <v>2</v>
      </c>
      <c r="D21" s="3" t="s">
        <v>14</v>
      </c>
      <c r="E21" s="3" t="s">
        <v>3</v>
      </c>
      <c r="F21" s="3" t="s">
        <v>4</v>
      </c>
      <c r="H21" s="3" t="s">
        <v>15</v>
      </c>
      <c r="I21" s="3" t="s">
        <v>16</v>
      </c>
    </row>
    <row r="22" spans="1:11" x14ac:dyDescent="0.2">
      <c r="A22" s="2">
        <v>1</v>
      </c>
      <c r="B22" s="4">
        <v>59</v>
      </c>
      <c r="C22" s="4">
        <v>1</v>
      </c>
      <c r="D22" s="4">
        <v>0</v>
      </c>
      <c r="E22" s="4">
        <v>60</v>
      </c>
      <c r="F22" s="4">
        <f>D22+E22</f>
        <v>60</v>
      </c>
      <c r="H22" s="10">
        <f>$D$2*F22*C22*$B$1/2</f>
        <v>450</v>
      </c>
      <c r="I22" s="10">
        <f>$D$2*(D22+E22)/2*B22*$B$1</f>
        <v>26550</v>
      </c>
    </row>
    <row r="23" spans="1:11" x14ac:dyDescent="0.2">
      <c r="A23" s="2">
        <v>2</v>
      </c>
      <c r="B23" s="4">
        <v>19</v>
      </c>
      <c r="C23" s="4">
        <v>1</v>
      </c>
      <c r="D23" s="4">
        <f>F22</f>
        <v>60</v>
      </c>
      <c r="E23" s="4">
        <v>10</v>
      </c>
      <c r="F23" s="4">
        <f>E23+F22</f>
        <v>70</v>
      </c>
      <c r="H23" s="10">
        <f>$D$2*F23*C23*$B$1/2</f>
        <v>525</v>
      </c>
      <c r="I23" s="10">
        <f>$D$2*(D23+E23)/2*B23*$B$1</f>
        <v>9975</v>
      </c>
    </row>
    <row r="24" spans="1:11" x14ac:dyDescent="0.2">
      <c r="A24" s="2">
        <v>3</v>
      </c>
      <c r="B24" s="4">
        <v>9</v>
      </c>
      <c r="C24" s="4">
        <v>1</v>
      </c>
      <c r="D24" s="4">
        <f>F23</f>
        <v>70</v>
      </c>
      <c r="E24" s="4">
        <v>30</v>
      </c>
      <c r="F24" s="4">
        <f>E24+F23</f>
        <v>100</v>
      </c>
      <c r="H24" s="10">
        <f>$D$2*F24*C24*$B$1/2</f>
        <v>750</v>
      </c>
      <c r="I24" s="10">
        <f>$D$2*(D24+E24)/2*B24*$B$1</f>
        <v>6750</v>
      </c>
    </row>
    <row r="25" spans="1:11" x14ac:dyDescent="0.2">
      <c r="H25" s="9">
        <f>SUM(H22:H24)</f>
        <v>1725</v>
      </c>
      <c r="I25" s="9">
        <f>SUM(I22:I24)</f>
        <v>43275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2021-03-15T06:30:53Z</dcterms:created>
  <dcterms:modified xsi:type="dcterms:W3CDTF">2023-03-06T13:18:40Z</dcterms:modified>
</cp:coreProperties>
</file>