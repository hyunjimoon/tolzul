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p/Dropbox (MIT)/_Teaching/Courses/15.762/Spring 2023/Class 09 - Gillette Postponement Center/____InClass/"/>
    </mc:Choice>
  </mc:AlternateContent>
  <xr:revisionPtr revIDLastSave="0" documentId="13_ncr:1_{597D0D3B-9606-EC4F-B4E6-0790AF73A5E4}" xr6:coauthVersionLast="47" xr6:coauthVersionMax="47" xr10:uidLastSave="{00000000-0000-0000-0000-000000000000}"/>
  <bookViews>
    <workbookView xWindow="0" yWindow="760" windowWidth="34560" windowHeight="20220" xr2:uid="{EB8E594C-BCC2-D747-A8E3-F5DF6E0848D0}"/>
  </bookViews>
  <sheets>
    <sheet name="EUR sw analysis" sheetId="13" r:id="rId1"/>
    <sheet name="NA sw analysis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7" i="13" l="1"/>
  <c r="D41" i="13"/>
  <c r="E41" i="13"/>
  <c r="E45" i="13" s="1"/>
  <c r="E5" i="13"/>
  <c r="H47" i="13"/>
  <c r="H46" i="13"/>
  <c r="H45" i="13"/>
  <c r="H44" i="13"/>
  <c r="H43" i="13"/>
  <c r="H42" i="13"/>
  <c r="G41" i="13"/>
  <c r="G40" i="13" s="1"/>
  <c r="F41" i="13"/>
  <c r="F40" i="13" s="1"/>
  <c r="D40" i="13"/>
  <c r="H23" i="13"/>
  <c r="H22" i="13"/>
  <c r="H21" i="13"/>
  <c r="H20" i="13"/>
  <c r="H19" i="13"/>
  <c r="H18" i="13"/>
  <c r="G17" i="13"/>
  <c r="G16" i="13" s="1"/>
  <c r="F17" i="13"/>
  <c r="F16" i="13" s="1"/>
  <c r="E17" i="13"/>
  <c r="E23" i="13" s="1"/>
  <c r="D16" i="13"/>
  <c r="H36" i="13"/>
  <c r="H35" i="13"/>
  <c r="H34" i="13"/>
  <c r="H33" i="13"/>
  <c r="H32" i="13"/>
  <c r="H31" i="13"/>
  <c r="G30" i="13"/>
  <c r="G29" i="13" s="1"/>
  <c r="F30" i="13"/>
  <c r="F29" i="13" s="1"/>
  <c r="F28" i="13" s="1"/>
  <c r="E28" i="13"/>
  <c r="E29" i="13" s="1"/>
  <c r="E30" i="13" s="1"/>
  <c r="H12" i="13"/>
  <c r="H11" i="13"/>
  <c r="H10" i="13"/>
  <c r="H9" i="13"/>
  <c r="H8" i="13"/>
  <c r="H7" i="13"/>
  <c r="G6" i="13"/>
  <c r="G5" i="13" s="1"/>
  <c r="F6" i="13"/>
  <c r="F5" i="13" s="1"/>
  <c r="F4" i="13" s="1"/>
  <c r="E4" i="13"/>
  <c r="E6" i="13" s="1"/>
  <c r="H39" i="12"/>
  <c r="H38" i="12"/>
  <c r="H37" i="12"/>
  <c r="H36" i="12"/>
  <c r="G35" i="12"/>
  <c r="F35" i="12"/>
  <c r="D35" i="12"/>
  <c r="F34" i="12"/>
  <c r="E34" i="12"/>
  <c r="H30" i="12"/>
  <c r="H29" i="12"/>
  <c r="H28" i="12"/>
  <c r="H27" i="12"/>
  <c r="G26" i="12"/>
  <c r="G25" i="12" s="1"/>
  <c r="F26" i="12"/>
  <c r="F25" i="12" s="1"/>
  <c r="F24" i="12" s="1"/>
  <c r="E24" i="12"/>
  <c r="E25" i="12" s="1"/>
  <c r="E26" i="12" s="1"/>
  <c r="H19" i="12"/>
  <c r="H18" i="12"/>
  <c r="H17" i="12"/>
  <c r="H16" i="12"/>
  <c r="G15" i="12"/>
  <c r="F15" i="12"/>
  <c r="D15" i="12"/>
  <c r="F14" i="12"/>
  <c r="E14" i="12"/>
  <c r="H10" i="12"/>
  <c r="H9" i="12"/>
  <c r="H8" i="12"/>
  <c r="H7" i="12"/>
  <c r="E4" i="12"/>
  <c r="E5" i="12" s="1"/>
  <c r="E6" i="12" s="1"/>
  <c r="G6" i="12"/>
  <c r="H6" i="12" s="1"/>
  <c r="F6" i="12"/>
  <c r="F5" i="12"/>
  <c r="F4" i="12"/>
  <c r="H35" i="12" l="1"/>
  <c r="E15" i="12"/>
  <c r="G5" i="12"/>
  <c r="H15" i="12"/>
  <c r="E35" i="12"/>
  <c r="H40" i="13"/>
  <c r="E43" i="13"/>
  <c r="E42" i="13"/>
  <c r="E46" i="13"/>
  <c r="H41" i="13"/>
  <c r="E44" i="13"/>
  <c r="E47" i="13"/>
  <c r="H16" i="13"/>
  <c r="E20" i="13"/>
  <c r="E21" i="13"/>
  <c r="E18" i="13"/>
  <c r="E22" i="13"/>
  <c r="H17" i="13"/>
  <c r="E19" i="13"/>
  <c r="E36" i="13"/>
  <c r="E33" i="13"/>
  <c r="E35" i="13"/>
  <c r="E34" i="13"/>
  <c r="E32" i="13"/>
  <c r="E31" i="13"/>
  <c r="H29" i="13"/>
  <c r="G28" i="13"/>
  <c r="H28" i="13" s="1"/>
  <c r="H30" i="13"/>
  <c r="E10" i="13"/>
  <c r="E12" i="13"/>
  <c r="E7" i="13"/>
  <c r="E9" i="13"/>
  <c r="E8" i="13"/>
  <c r="E11" i="13"/>
  <c r="H5" i="13"/>
  <c r="G4" i="13"/>
  <c r="H4" i="13" s="1"/>
  <c r="H6" i="13"/>
  <c r="E39" i="12"/>
  <c r="E38" i="12"/>
  <c r="E37" i="12"/>
  <c r="E36" i="12"/>
  <c r="G34" i="12"/>
  <c r="H34" i="12" s="1"/>
  <c r="E27" i="12"/>
  <c r="E30" i="12"/>
  <c r="E29" i="12"/>
  <c r="E28" i="12"/>
  <c r="G24" i="12"/>
  <c r="H24" i="12" s="1"/>
  <c r="H25" i="12"/>
  <c r="H26" i="12"/>
  <c r="E19" i="12"/>
  <c r="E17" i="12"/>
  <c r="E18" i="12"/>
  <c r="E16" i="12"/>
  <c r="G14" i="12"/>
  <c r="H14" i="12" s="1"/>
  <c r="E10" i="12"/>
  <c r="E8" i="12"/>
  <c r="E9" i="12"/>
  <c r="E7" i="12"/>
  <c r="H5" i="12" l="1"/>
  <c r="G4" i="12"/>
  <c r="H4" i="12" s="1"/>
  <c r="U28" i="13" l="1"/>
  <c r="U39" i="13" s="1"/>
  <c r="U4" i="13"/>
  <c r="U15" i="13" s="1"/>
  <c r="B41" i="13"/>
  <c r="L41" i="13" s="1"/>
  <c r="B35" i="12"/>
  <c r="O35" i="12" s="1"/>
  <c r="R35" i="12" s="1"/>
  <c r="X36" i="12" s="1"/>
  <c r="B17" i="13"/>
  <c r="L17" i="13" s="1"/>
  <c r="B15" i="12"/>
  <c r="O15" i="12" s="1"/>
  <c r="R15" i="12" s="1"/>
  <c r="U24" i="12"/>
  <c r="U33" i="12" s="1"/>
  <c r="U4" i="12"/>
  <c r="U13" i="12" s="1"/>
  <c r="B54" i="12"/>
  <c r="B53" i="12"/>
  <c r="B52" i="12"/>
  <c r="B51" i="12"/>
  <c r="O47" i="13"/>
  <c r="R47" i="13" s="1"/>
  <c r="N47" i="13"/>
  <c r="O46" i="13"/>
  <c r="N46" i="13"/>
  <c r="O45" i="13"/>
  <c r="N45" i="13"/>
  <c r="O44" i="13"/>
  <c r="N44" i="13"/>
  <c r="O43" i="13"/>
  <c r="N43" i="13"/>
  <c r="O42" i="13"/>
  <c r="R42" i="13" s="1"/>
  <c r="N42" i="13"/>
  <c r="Q42" i="13" s="1"/>
  <c r="K41" i="13"/>
  <c r="N41" i="13"/>
  <c r="Q41" i="13" s="1"/>
  <c r="X41" i="13" s="1"/>
  <c r="N40" i="13"/>
  <c r="Q40" i="13" s="1"/>
  <c r="O40" i="13"/>
  <c r="R40" i="13" s="1"/>
  <c r="O36" i="13"/>
  <c r="R36" i="13" s="1"/>
  <c r="N36" i="13"/>
  <c r="K36" i="13"/>
  <c r="M36" i="13"/>
  <c r="P36" i="13"/>
  <c r="O35" i="13"/>
  <c r="N35" i="13"/>
  <c r="K35" i="13"/>
  <c r="M35" i="13"/>
  <c r="P35" i="13"/>
  <c r="S35" i="13" s="1"/>
  <c r="O34" i="13"/>
  <c r="R34" i="13" s="1"/>
  <c r="N34" i="13"/>
  <c r="Q34" i="13" s="1"/>
  <c r="K34" i="13"/>
  <c r="M34" i="13"/>
  <c r="P34" i="13"/>
  <c r="S34" i="13" s="1"/>
  <c r="O33" i="13"/>
  <c r="R33" i="13" s="1"/>
  <c r="N33" i="13"/>
  <c r="Q33" i="13" s="1"/>
  <c r="K33" i="13"/>
  <c r="M33" i="13"/>
  <c r="O32" i="13"/>
  <c r="N32" i="13"/>
  <c r="K32" i="13"/>
  <c r="M32" i="13" s="1"/>
  <c r="P32" i="13" s="1"/>
  <c r="S32" i="13" s="1"/>
  <c r="O31" i="13"/>
  <c r="R31" i="13" s="1"/>
  <c r="N31" i="13"/>
  <c r="Q31" i="13" s="1"/>
  <c r="K31" i="13"/>
  <c r="M31" i="13"/>
  <c r="P31" i="13"/>
  <c r="S31" i="13" s="1"/>
  <c r="L29" i="13"/>
  <c r="K30" i="13"/>
  <c r="M30" i="13" s="1"/>
  <c r="P30" i="13" s="1"/>
  <c r="S30" i="13" s="1"/>
  <c r="K29" i="13"/>
  <c r="M28" i="13"/>
  <c r="P28" i="13" s="1"/>
  <c r="S28" i="13" s="1"/>
  <c r="O23" i="13"/>
  <c r="N23" i="13"/>
  <c r="O22" i="13"/>
  <c r="N22" i="13"/>
  <c r="O21" i="13"/>
  <c r="N21" i="13"/>
  <c r="Q21" i="13" s="1"/>
  <c r="O20" i="13"/>
  <c r="R20" i="13" s="1"/>
  <c r="N20" i="13"/>
  <c r="Q20" i="13" s="1"/>
  <c r="O19" i="13"/>
  <c r="N19" i="13"/>
  <c r="Q19" i="13" s="1"/>
  <c r="O18" i="13"/>
  <c r="R18" i="13" s="1"/>
  <c r="N18" i="13"/>
  <c r="Q18" i="13" s="1"/>
  <c r="K17" i="13"/>
  <c r="N17" i="13"/>
  <c r="Q17" i="13" s="1"/>
  <c r="X17" i="13" s="1"/>
  <c r="M16" i="13"/>
  <c r="B57" i="13"/>
  <c r="O12" i="13"/>
  <c r="N12" i="13"/>
  <c r="K12" i="13"/>
  <c r="M12" i="13" s="1"/>
  <c r="P12" i="13" s="1"/>
  <c r="S12" i="13" s="1"/>
  <c r="C57" i="13"/>
  <c r="D57" i="13" s="1"/>
  <c r="C56" i="13"/>
  <c r="B56" i="13"/>
  <c r="O11" i="13"/>
  <c r="R11" i="13" s="1"/>
  <c r="N11" i="13"/>
  <c r="Q11" i="13" s="1"/>
  <c r="K11" i="13"/>
  <c r="M11" i="13"/>
  <c r="P11" i="13" s="1"/>
  <c r="S11" i="13" s="1"/>
  <c r="B55" i="13"/>
  <c r="D55" i="13" s="1"/>
  <c r="O10" i="13"/>
  <c r="R10" i="13" s="1"/>
  <c r="N10" i="13"/>
  <c r="K10" i="13"/>
  <c r="M10" i="13"/>
  <c r="C55" i="13"/>
  <c r="B54" i="13"/>
  <c r="O9" i="13"/>
  <c r="R9" i="13" s="1"/>
  <c r="N9" i="13"/>
  <c r="Q9" i="13" s="1"/>
  <c r="K9" i="13"/>
  <c r="M9" i="13" s="1"/>
  <c r="P9" i="13" s="1"/>
  <c r="S9" i="13" s="1"/>
  <c r="B53" i="13"/>
  <c r="O8" i="13"/>
  <c r="N8" i="13"/>
  <c r="Q8" i="13" s="1"/>
  <c r="K8" i="13"/>
  <c r="M8" i="13"/>
  <c r="P8" i="13" s="1"/>
  <c r="S8" i="13" s="1"/>
  <c r="C53" i="13"/>
  <c r="D53" i="13" s="1"/>
  <c r="B52" i="13"/>
  <c r="O7" i="13"/>
  <c r="R7" i="13" s="1"/>
  <c r="N7" i="13"/>
  <c r="K7" i="13"/>
  <c r="M7" i="13"/>
  <c r="P7" i="13"/>
  <c r="C52" i="13"/>
  <c r="O6" i="13"/>
  <c r="L5" i="13"/>
  <c r="M5" i="13" s="1"/>
  <c r="P5" i="13" s="1"/>
  <c r="S5" i="13" s="1"/>
  <c r="K5" i="13"/>
  <c r="M4" i="13"/>
  <c r="O39" i="12"/>
  <c r="N39" i="12"/>
  <c r="O38" i="12"/>
  <c r="R38" i="12" s="1"/>
  <c r="N38" i="12"/>
  <c r="Q38" i="12" s="1"/>
  <c r="O37" i="12"/>
  <c r="R37" i="12" s="1"/>
  <c r="N37" i="12"/>
  <c r="Q37" i="12" s="1"/>
  <c r="O36" i="12"/>
  <c r="R36" i="12" s="1"/>
  <c r="N36" i="12"/>
  <c r="Q36" i="12" s="1"/>
  <c r="K35" i="12"/>
  <c r="M34" i="12"/>
  <c r="P34" i="12" s="1"/>
  <c r="S34" i="12" s="1"/>
  <c r="O30" i="12"/>
  <c r="R30" i="12" s="1"/>
  <c r="N30" i="12"/>
  <c r="Q30" i="12" s="1"/>
  <c r="K30" i="12"/>
  <c r="M30" i="12" s="1"/>
  <c r="P30" i="12" s="1"/>
  <c r="S30" i="12" s="1"/>
  <c r="O29" i="12"/>
  <c r="R29" i="12" s="1"/>
  <c r="N29" i="12"/>
  <c r="Q29" i="12" s="1"/>
  <c r="K29" i="12"/>
  <c r="M29" i="12"/>
  <c r="O28" i="12"/>
  <c r="R28" i="12" s="1"/>
  <c r="N28" i="12"/>
  <c r="K28" i="12"/>
  <c r="M28" i="12" s="1"/>
  <c r="P28" i="12" s="1"/>
  <c r="S28" i="12" s="1"/>
  <c r="O27" i="12"/>
  <c r="R27" i="12" s="1"/>
  <c r="N27" i="12"/>
  <c r="Q27" i="12" s="1"/>
  <c r="K27" i="12"/>
  <c r="M27" i="12" s="1"/>
  <c r="P27" i="12" s="1"/>
  <c r="S27" i="12" s="1"/>
  <c r="O26" i="12"/>
  <c r="R26" i="12" s="1"/>
  <c r="L25" i="12"/>
  <c r="K26" i="12" s="1"/>
  <c r="M26" i="12" s="1"/>
  <c r="P26" i="12" s="1"/>
  <c r="S26" i="12" s="1"/>
  <c r="K25" i="12"/>
  <c r="M24" i="12"/>
  <c r="P24" i="12" s="1"/>
  <c r="S24" i="12" s="1"/>
  <c r="O19" i="12"/>
  <c r="R19" i="12" s="1"/>
  <c r="N19" i="12"/>
  <c r="O18" i="12"/>
  <c r="N18" i="12"/>
  <c r="O17" i="12"/>
  <c r="R17" i="12" s="1"/>
  <c r="N17" i="12"/>
  <c r="Q17" i="12" s="1"/>
  <c r="O16" i="12"/>
  <c r="R16" i="12" s="1"/>
  <c r="N16" i="12"/>
  <c r="Q16" i="12" s="1"/>
  <c r="K15" i="12"/>
  <c r="N15" i="12"/>
  <c r="Q15" i="12" s="1"/>
  <c r="X15" i="12" s="1"/>
  <c r="M14" i="12"/>
  <c r="P14" i="12" s="1"/>
  <c r="S14" i="12" s="1"/>
  <c r="O10" i="12"/>
  <c r="R10" i="12" s="1"/>
  <c r="N10" i="12"/>
  <c r="Q10" i="12" s="1"/>
  <c r="K10" i="12"/>
  <c r="M10" i="12" s="1"/>
  <c r="P10" i="12" s="1"/>
  <c r="S10" i="12" s="1"/>
  <c r="O9" i="12"/>
  <c r="N9" i="12"/>
  <c r="K9" i="12"/>
  <c r="M9" i="12"/>
  <c r="P9" i="12" s="1"/>
  <c r="S9" i="12" s="1"/>
  <c r="O8" i="12"/>
  <c r="N8" i="12"/>
  <c r="Q8" i="12" s="1"/>
  <c r="K8" i="12"/>
  <c r="M8" i="12"/>
  <c r="O7" i="12"/>
  <c r="R7" i="12" s="1"/>
  <c r="N7" i="12"/>
  <c r="Q7" i="12" s="1"/>
  <c r="K7" i="12"/>
  <c r="M7" i="12"/>
  <c r="P7" i="12" s="1"/>
  <c r="S7" i="12" s="1"/>
  <c r="C51" i="12"/>
  <c r="L5" i="12"/>
  <c r="K6" i="12" s="1"/>
  <c r="M6" i="12" s="1"/>
  <c r="P6" i="12" s="1"/>
  <c r="S6" i="12" s="1"/>
  <c r="K5" i="12"/>
  <c r="M4" i="12"/>
  <c r="P4" i="12" s="1"/>
  <c r="S4" i="12" s="1"/>
  <c r="R19" i="13"/>
  <c r="N6" i="13"/>
  <c r="Q6" i="13" s="1"/>
  <c r="O30" i="13"/>
  <c r="R30" i="13" s="1"/>
  <c r="N30" i="13"/>
  <c r="Q30" i="13" s="1"/>
  <c r="D52" i="13"/>
  <c r="P33" i="13"/>
  <c r="S33" i="13" s="1"/>
  <c r="N5" i="13"/>
  <c r="Q5" i="13"/>
  <c r="O5" i="13"/>
  <c r="R5" i="13"/>
  <c r="O16" i="13"/>
  <c r="P8" i="12"/>
  <c r="S8" i="12" s="1"/>
  <c r="P29" i="12"/>
  <c r="S29" i="12" s="1"/>
  <c r="C52" i="12"/>
  <c r="O14" i="12"/>
  <c r="R14" i="12" s="1"/>
  <c r="C53" i="12"/>
  <c r="O34" i="12"/>
  <c r="R34" i="12" s="1"/>
  <c r="C54" i="12"/>
  <c r="O4" i="13"/>
  <c r="R4" i="13"/>
  <c r="N4" i="13"/>
  <c r="Q4" i="13"/>
  <c r="N29" i="13"/>
  <c r="Q29" i="13" s="1"/>
  <c r="O29" i="13"/>
  <c r="R29" i="13" s="1"/>
  <c r="P10" i="13"/>
  <c r="S10" i="13" s="1"/>
  <c r="R16" i="13"/>
  <c r="M40" i="13"/>
  <c r="P40" i="13" s="1"/>
  <c r="S40" i="13" s="1"/>
  <c r="C54" i="13"/>
  <c r="D54" i="13"/>
  <c r="O24" i="12"/>
  <c r="R24" i="12" s="1"/>
  <c r="N24" i="12"/>
  <c r="Q24" i="12" s="1"/>
  <c r="O5" i="12"/>
  <c r="R5" i="12" s="1"/>
  <c r="N5" i="12"/>
  <c r="Q5" i="12" s="1"/>
  <c r="N25" i="12"/>
  <c r="Q25" i="12" s="1"/>
  <c r="N26" i="12"/>
  <c r="Q26" i="12" s="1"/>
  <c r="N6" i="12"/>
  <c r="Q6" i="12" s="1"/>
  <c r="O6" i="12"/>
  <c r="R6" i="12" s="1"/>
  <c r="O25" i="12"/>
  <c r="R25" i="12" s="1"/>
  <c r="N35" i="12"/>
  <c r="Q35" i="12" s="1"/>
  <c r="X35" i="12" s="1"/>
  <c r="N16" i="13"/>
  <c r="Q16" i="13"/>
  <c r="N14" i="12"/>
  <c r="Q14" i="12"/>
  <c r="N34" i="12"/>
  <c r="Q34" i="12" s="1"/>
  <c r="R6" i="13"/>
  <c r="Q23" i="13"/>
  <c r="R23" i="13"/>
  <c r="O28" i="13"/>
  <c r="R28" i="13" s="1"/>
  <c r="N28" i="13"/>
  <c r="Q28" i="13" s="1"/>
  <c r="R21" i="13"/>
  <c r="P16" i="13"/>
  <c r="S16" i="13" s="1"/>
  <c r="O4" i="12"/>
  <c r="R4" i="12" s="1"/>
  <c r="N4" i="12"/>
  <c r="Q4" i="12" s="1"/>
  <c r="Q19" i="12"/>
  <c r="R18" i="12"/>
  <c r="Q18" i="12"/>
  <c r="R8" i="13"/>
  <c r="Q22" i="13"/>
  <c r="R22" i="13"/>
  <c r="Q10" i="13"/>
  <c r="P4" i="13"/>
  <c r="S4" i="13" s="1"/>
  <c r="S7" i="13"/>
  <c r="Q7" i="13"/>
  <c r="R8" i="12"/>
  <c r="R39" i="12"/>
  <c r="Q39" i="12"/>
  <c r="Q9" i="12"/>
  <c r="R9" i="12"/>
  <c r="R45" i="13"/>
  <c r="Q45" i="13"/>
  <c r="Q43" i="13"/>
  <c r="R43" i="13"/>
  <c r="Q12" i="13"/>
  <c r="R12" i="13"/>
  <c r="R44" i="13"/>
  <c r="Q44" i="13"/>
  <c r="R46" i="13"/>
  <c r="Q46" i="13"/>
  <c r="Q47" i="13"/>
  <c r="Q32" i="13"/>
  <c r="R32" i="13"/>
  <c r="Q28" i="12"/>
  <c r="R35" i="13"/>
  <c r="Q35" i="13"/>
  <c r="S36" i="13"/>
  <c r="Q36" i="13"/>
  <c r="M29" i="13" l="1"/>
  <c r="P29" i="13" s="1"/>
  <c r="S29" i="13" s="1"/>
  <c r="D51" i="12"/>
  <c r="W15" i="12"/>
  <c r="D54" i="12"/>
  <c r="D53" i="12"/>
  <c r="D52" i="12"/>
  <c r="X30" i="13"/>
  <c r="X6" i="13"/>
  <c r="D56" i="13"/>
  <c r="W17" i="13"/>
  <c r="O17" i="13"/>
  <c r="R17" i="13" s="1"/>
  <c r="X18" i="13" s="1"/>
  <c r="K6" i="13"/>
  <c r="M6" i="13" s="1"/>
  <c r="P6" i="13" s="1"/>
  <c r="S6" i="13" s="1"/>
  <c r="W8" i="13" s="1"/>
  <c r="W41" i="13"/>
  <c r="W30" i="13"/>
  <c r="W43" i="13"/>
  <c r="W18" i="13"/>
  <c r="W6" i="13"/>
  <c r="W7" i="13"/>
  <c r="L35" i="12"/>
  <c r="M25" i="12"/>
  <c r="P25" i="12" s="1"/>
  <c r="S25" i="12" s="1"/>
  <c r="W28" i="12" s="1"/>
  <c r="M35" i="12"/>
  <c r="P35" i="12" s="1"/>
  <c r="S35" i="12" s="1"/>
  <c r="X27" i="12"/>
  <c r="X26" i="12"/>
  <c r="W36" i="12"/>
  <c r="W35" i="12"/>
  <c r="W37" i="12"/>
  <c r="X40" i="12"/>
  <c r="W26" i="12"/>
  <c r="W27" i="12"/>
  <c r="L15" i="12"/>
  <c r="K19" i="12" s="1"/>
  <c r="M19" i="12" s="1"/>
  <c r="P19" i="12" s="1"/>
  <c r="S19" i="12" s="1"/>
  <c r="X6" i="12"/>
  <c r="M5" i="12"/>
  <c r="P5" i="12" s="1"/>
  <c r="S5" i="12" s="1"/>
  <c r="W16" i="12"/>
  <c r="X16" i="12"/>
  <c r="X7" i="12"/>
  <c r="W6" i="12"/>
  <c r="X20" i="12"/>
  <c r="W17" i="12"/>
  <c r="W18" i="12" s="1"/>
  <c r="W8" i="12"/>
  <c r="W7" i="12"/>
  <c r="K42" i="13"/>
  <c r="M42" i="13" s="1"/>
  <c r="P42" i="13" s="1"/>
  <c r="S42" i="13" s="1"/>
  <c r="K47" i="13"/>
  <c r="M47" i="13" s="1"/>
  <c r="P47" i="13" s="1"/>
  <c r="S47" i="13" s="1"/>
  <c r="K43" i="13"/>
  <c r="M43" i="13" s="1"/>
  <c r="P43" i="13" s="1"/>
  <c r="S43" i="13" s="1"/>
  <c r="K45" i="13"/>
  <c r="M45" i="13" s="1"/>
  <c r="P45" i="13" s="1"/>
  <c r="S45" i="13" s="1"/>
  <c r="K46" i="13"/>
  <c r="M46" i="13" s="1"/>
  <c r="P46" i="13" s="1"/>
  <c r="S46" i="13" s="1"/>
  <c r="K44" i="13"/>
  <c r="M44" i="13" s="1"/>
  <c r="P44" i="13" s="1"/>
  <c r="S44" i="13" s="1"/>
  <c r="X46" i="13"/>
  <c r="W32" i="13"/>
  <c r="W42" i="13"/>
  <c r="W31" i="13"/>
  <c r="M41" i="13"/>
  <c r="P41" i="13" s="1"/>
  <c r="S41" i="13" s="1"/>
  <c r="O41" i="13"/>
  <c r="R41" i="13" s="1"/>
  <c r="X22" i="13"/>
  <c r="K22" i="13"/>
  <c r="M22" i="13" s="1"/>
  <c r="P22" i="13" s="1"/>
  <c r="S22" i="13" s="1"/>
  <c r="M17" i="13"/>
  <c r="P17" i="13" s="1"/>
  <c r="S17" i="13" s="1"/>
  <c r="K20" i="13"/>
  <c r="M20" i="13" s="1"/>
  <c r="P20" i="13" s="1"/>
  <c r="S20" i="13" s="1"/>
  <c r="K23" i="13"/>
  <c r="M23" i="13" s="1"/>
  <c r="P23" i="13" s="1"/>
  <c r="S23" i="13" s="1"/>
  <c r="K21" i="13"/>
  <c r="M21" i="13" s="1"/>
  <c r="P21" i="13" s="1"/>
  <c r="S21" i="13" s="1"/>
  <c r="K19" i="13"/>
  <c r="M19" i="13" s="1"/>
  <c r="P19" i="13" s="1"/>
  <c r="S19" i="13" s="1"/>
  <c r="K18" i="13"/>
  <c r="M18" i="13" s="1"/>
  <c r="P18" i="13" s="1"/>
  <c r="S18" i="13" s="1"/>
  <c r="W19" i="13" l="1"/>
  <c r="X7" i="13"/>
  <c r="M15" i="12"/>
  <c r="P15" i="12" s="1"/>
  <c r="S15" i="12" s="1"/>
  <c r="K18" i="12"/>
  <c r="M18" i="12" s="1"/>
  <c r="P18" i="12" s="1"/>
  <c r="S18" i="12" s="1"/>
  <c r="K16" i="12"/>
  <c r="M16" i="12" s="1"/>
  <c r="P16" i="12" s="1"/>
  <c r="S16" i="12" s="1"/>
  <c r="K17" i="12"/>
  <c r="M17" i="12" s="1"/>
  <c r="P17" i="12" s="1"/>
  <c r="S17" i="12" s="1"/>
  <c r="W20" i="13"/>
  <c r="X32" i="13"/>
  <c r="W9" i="13"/>
  <c r="J51" i="13" s="1"/>
  <c r="W33" i="13"/>
  <c r="W44" i="13"/>
  <c r="K38" i="12"/>
  <c r="M38" i="12" s="1"/>
  <c r="P38" i="12" s="1"/>
  <c r="S38" i="12" s="1"/>
  <c r="K36" i="12"/>
  <c r="M36" i="12" s="1"/>
  <c r="P36" i="12" s="1"/>
  <c r="S36" i="12" s="1"/>
  <c r="K37" i="12"/>
  <c r="M37" i="12" s="1"/>
  <c r="P37" i="12" s="1"/>
  <c r="S37" i="12" s="1"/>
  <c r="K39" i="12"/>
  <c r="M39" i="12" s="1"/>
  <c r="P39" i="12" s="1"/>
  <c r="S39" i="12" s="1"/>
  <c r="W38" i="12"/>
  <c r="W29" i="12"/>
  <c r="W9" i="12"/>
  <c r="X31" i="13"/>
  <c r="X42" i="13"/>
  <c r="X43" i="13"/>
  <c r="X19" i="13"/>
  <c r="X20" i="13" s="1"/>
  <c r="X8" i="13"/>
  <c r="W21" i="13" l="1"/>
  <c r="X9" i="13"/>
  <c r="K51" i="13" s="1"/>
  <c r="X8" i="12"/>
  <c r="X9" i="12" s="1"/>
  <c r="I43" i="12" s="1"/>
  <c r="X17" i="12"/>
  <c r="X18" i="12" s="1"/>
  <c r="W19" i="12" s="1"/>
  <c r="X33" i="13"/>
  <c r="W34" i="13" s="1"/>
  <c r="X28" i="12"/>
  <c r="X29" i="12" s="1"/>
  <c r="W30" i="12" s="1"/>
  <c r="X37" i="12"/>
  <c r="X38" i="12" s="1"/>
  <c r="W39" i="12" s="1"/>
  <c r="H43" i="12"/>
  <c r="W10" i="12"/>
  <c r="J43" i="12" s="1"/>
  <c r="X44" i="13"/>
  <c r="W45" i="13" s="1"/>
  <c r="W10" i="13" l="1"/>
  <c r="L51" i="13" s="1"/>
</calcChain>
</file>

<file path=xl/sharedStrings.xml><?xml version="1.0" encoding="utf-8"?>
<sst xmlns="http://schemas.openxmlformats.org/spreadsheetml/2006/main" count="304" uniqueCount="61">
  <si>
    <t>DC 1</t>
  </si>
  <si>
    <t>DC 2</t>
  </si>
  <si>
    <t>DC 3</t>
  </si>
  <si>
    <t>DC 4</t>
  </si>
  <si>
    <t>CV</t>
  </si>
  <si>
    <t>DC 5</t>
  </si>
  <si>
    <t>DC 6</t>
  </si>
  <si>
    <t>Average</t>
  </si>
  <si>
    <t>Std. Dev</t>
  </si>
  <si>
    <t>E[cycle stock cost]</t>
  </si>
  <si>
    <t>E[pipeline stock cost]</t>
  </si>
  <si>
    <t>E[safety stock cost]</t>
  </si>
  <si>
    <t>E[total inventory cost]</t>
  </si>
  <si>
    <t>With SW</t>
  </si>
  <si>
    <t>Without SW</t>
  </si>
  <si>
    <t>Percent difference</t>
  </si>
  <si>
    <t>Stage time</t>
  </si>
  <si>
    <t>Review period</t>
  </si>
  <si>
    <t>Stage cost added</t>
  </si>
  <si>
    <t>Cumulative cost</t>
  </si>
  <si>
    <t>Average demand</t>
  </si>
  <si>
    <t>Std dev of demand</t>
  </si>
  <si>
    <t>Service level</t>
  </si>
  <si>
    <t>Holding cost rate</t>
  </si>
  <si>
    <t>Incoming service time</t>
  </si>
  <si>
    <t>Outgoing service time</t>
  </si>
  <si>
    <t>net replen time</t>
  </si>
  <si>
    <t>E[ pipeline stock ]</t>
  </si>
  <si>
    <t>E[ safety stock ]</t>
  </si>
  <si>
    <t>E[ cycle stock ]</t>
  </si>
  <si>
    <t>E[ cycle stock cost]</t>
  </si>
  <si>
    <t>E[ pipeline stock cost]</t>
  </si>
  <si>
    <t>E[ safety stock cost]</t>
  </si>
  <si>
    <t>The table below employs a supply warehouse to pool distribution center demand; note by design the supply warehouse holds a decoupling safety stock so its outgoing service time is zero</t>
  </si>
  <si>
    <t>Factory</t>
  </si>
  <si>
    <t>Customer facing DC 1</t>
  </si>
  <si>
    <t>Supply warehouse</t>
  </si>
  <si>
    <t>Pack center</t>
  </si>
  <si>
    <t>Customer facing DC 2</t>
  </si>
  <si>
    <t>Customer facing DC 3</t>
  </si>
  <si>
    <t>Customer facing DC 4</t>
  </si>
  <si>
    <t>Customer facing DC 5</t>
  </si>
  <si>
    <t>Customer facing DC 6</t>
  </si>
  <si>
    <t>Pack center stage time</t>
  </si>
  <si>
    <t>With supply warehouse</t>
  </si>
  <si>
    <t>Without supply warehouse</t>
  </si>
  <si>
    <t>input cell</t>
  </si>
  <si>
    <t>Fixed E[Inventory costs]</t>
  </si>
  <si>
    <t>constant across supply chain configurations</t>
  </si>
  <si>
    <t>The table below has the pack center directly fulfill distribution center demand</t>
  </si>
  <si>
    <t>European and AMEE markets supply warehouse analysis - comparing a supply warehouse supplying DCs versus pack center directly shipping to DCs; note in both scenarios the pack center holds no safety stock, immediately shipping product to its downstream-adjacent stage</t>
  </si>
  <si>
    <t>North America market supply warehouse analysis - comparing a supply warehouse supplying DCs versus pack center directly shipping to DCs; note in both scenarios the pack center holds no safety stock, immediately shipping product to its downstream-adjacent stage</t>
  </si>
  <si>
    <t>Monthly demand (20 days per month)</t>
  </si>
  <si>
    <t>Customer facing DC 7</t>
  </si>
  <si>
    <t>Customer facing DC 8</t>
  </si>
  <si>
    <t>Customer facing DC 9</t>
  </si>
  <si>
    <t>Customer facing DC 10</t>
  </si>
  <si>
    <t>DC 7</t>
  </si>
  <si>
    <t>DC 8</t>
  </si>
  <si>
    <t>DC 9</t>
  </si>
  <si>
    <t>DC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</si>
</sst>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0.0%"/>
    <numFmt numFmtId="165" formatCode="0.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6" fontId="0" fillId="0" borderId="0" xfId="0" applyNumberFormat="1"/>
    <xf numFmtId="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6" fontId="0" fillId="0" borderId="1" xfId="0" applyNumberFormat="1" applyBorder="1"/>
    <xf numFmtId="6" fontId="0" fillId="0" borderId="1" xfId="0" applyNumberForma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 wrapText="1"/>
    </xf>
    <xf numFmtId="8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8" fontId="0" fillId="2" borderId="1" xfId="0" applyNumberFormat="1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wrapText="1"/>
    </xf>
    <xf numFmtId="164" fontId="0" fillId="0" borderId="1" xfId="0" applyNumberFormat="1" applyBorder="1"/>
    <xf numFmtId="3" fontId="0" fillId="0" borderId="0" xfId="0" applyNumberFormat="1"/>
    <xf numFmtId="0" fontId="0" fillId="3" borderId="1" xfId="0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8" fontId="0" fillId="0" borderId="0" xfId="0" applyNumberFormat="1"/>
    <xf numFmtId="164" fontId="0" fillId="0" borderId="0" xfId="1" applyNumberFormat="1" applyFont="1" applyFill="1" applyAlignment="1">
      <alignment horizontal="center"/>
    </xf>
    <xf numFmtId="165" fontId="0" fillId="0" borderId="1" xfId="0" applyNumberFormat="1" applyBorder="1" applyAlignment="1">
      <alignment horizontal="center"/>
    </xf>
    <xf numFmtId="6" fontId="0" fillId="2" borderId="1" xfId="0" applyNumberFormat="1" applyFill="1" applyBorder="1" applyAlignment="1">
      <alignment horizontal="center"/>
    </xf>
    <xf numFmtId="8" fontId="2" fillId="0" borderId="1" xfId="0" applyNumberFormat="1" applyFont="1" applyBorder="1" applyAlignment="1">
      <alignment horizontal="center"/>
    </xf>
    <xf numFmtId="164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Expected Total Inventory Cost As</a:t>
            </a:r>
            <a:r>
              <a:rPr lang="en-US" baseline="0"/>
              <a:t> Function of </a:t>
            </a:r>
            <a:br>
              <a:rPr lang="en-US" baseline="0"/>
            </a:br>
            <a:r>
              <a:rPr lang="en-US" baseline="0"/>
              <a:t>EUR Pack Center Stage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With supply warehouse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'EUR sw analysis'!$I$52:$I$72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'EUR sw analysis'!$J$52:$J$72</c:f>
              <c:numCache>
                <c:formatCode>"$"#,##0_);[Red]\("$"#,##0\)</c:formatCode>
                <c:ptCount val="21"/>
                <c:pt idx="0">
                  <c:v>86547.77794787506</c:v>
                </c:pt>
                <c:pt idx="1">
                  <c:v>88203.962057900353</c:v>
                </c:pt>
                <c:pt idx="2">
                  <c:v>89835.560521499108</c:v>
                </c:pt>
                <c:pt idx="3">
                  <c:v>91446.182901779204</c:v>
                </c:pt>
                <c:pt idx="4">
                  <c:v>93038.633470221801</c:v>
                </c:pt>
                <c:pt idx="5">
                  <c:v>94615.142316723519</c:v>
                </c:pt>
                <c:pt idx="6">
                  <c:v>96177.517589599476</c:v>
                </c:pt>
                <c:pt idx="7">
                  <c:v>97727.249462315202</c:v>
                </c:pt>
                <c:pt idx="8">
                  <c:v>99265.583313160867</c:v>
                </c:pt>
                <c:pt idx="9">
                  <c:v>100793.57257757265</c:v>
                </c:pt>
                <c:pt idx="10">
                  <c:v>102312.1177757532</c:v>
                </c:pt>
                <c:pt idx="11">
                  <c:v>103821.9958941114</c:v>
                </c:pt>
                <c:pt idx="12">
                  <c:v>105323.8828837294</c:v>
                </c:pt>
                <c:pt idx="13">
                  <c:v>106818.37114965021</c:v>
                </c:pt>
                <c:pt idx="14">
                  <c:v>108305.98333019091</c:v>
                </c:pt>
                <c:pt idx="15">
                  <c:v>109787.18328508965</c:v>
                </c:pt>
                <c:pt idx="16">
                  <c:v>111262.38495389893</c:v>
                </c:pt>
                <c:pt idx="17">
                  <c:v>112731.95956842141</c:v>
                </c:pt>
                <c:pt idx="18">
                  <c:v>114196.24157823055</c:v>
                </c:pt>
                <c:pt idx="19">
                  <c:v>115655.53355927332</c:v>
                </c:pt>
                <c:pt idx="20">
                  <c:v>117110.11031105582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E6-5A40-A9B3-200FB1BE09DD}"/>
            </c:ext>
          </c:extLst>
        </c:ser>
        <c:ser>
          <c:idx val="0"/>
          <c:order val="1"/>
          <c:tx>
            <c:v>Without supply warehouse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'EUR sw analysis'!$I$52:$I$72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'EUR sw analysis'!$K$52:$K$72</c:f>
              <c:numCache>
                <c:formatCode>"$"#,##0_);[Red]\("$"#,##0\)</c:formatCode>
                <c:ptCount val="21"/>
                <c:pt idx="0">
                  <c:v>81917.303132027839</c:v>
                </c:pt>
                <c:pt idx="1">
                  <c:v>84326.940302958974</c:v>
                </c:pt>
                <c:pt idx="2">
                  <c:v>86704.331403698423</c:v>
                </c:pt>
                <c:pt idx="3">
                  <c:v>89052.093638982798</c:v>
                </c:pt>
                <c:pt idx="4">
                  <c:v>91372.506206600636</c:v>
                </c:pt>
                <c:pt idx="5">
                  <c:v>93667.568751274259</c:v>
                </c:pt>
                <c:pt idx="6">
                  <c:v>95939.04736653791</c:v>
                </c:pt>
                <c:pt idx="7">
                  <c:v>98188.511255402278</c:v>
                </c:pt>
                <c:pt idx="8">
                  <c:v>100417.36227808686</c:v>
                </c:pt>
                <c:pt idx="9">
                  <c:v>102626.85901053113</c:v>
                </c:pt>
                <c:pt idx="10">
                  <c:v>104818.13651519929</c:v>
                </c:pt>
                <c:pt idx="11">
                  <c:v>106992.22272572065</c:v>
                </c:pt>
                <c:pt idx="12">
                  <c:v>109150.05213042654</c:v>
                </c:pt>
                <c:pt idx="13">
                  <c:v>111292.47728138026</c:v>
                </c:pt>
                <c:pt idx="14">
                  <c:v>113420.27853798962</c:v>
                </c:pt>
                <c:pt idx="15">
                  <c:v>115534.17236611285</c:v>
                </c:pt>
                <c:pt idx="16">
                  <c:v>117634.81844666952</c:v>
                </c:pt>
                <c:pt idx="17">
                  <c:v>119722.82579649685</c:v>
                </c:pt>
                <c:pt idx="18">
                  <c:v>121798.75806452721</c:v>
                </c:pt>
                <c:pt idx="19">
                  <c:v>123863.1381354084</c:v>
                </c:pt>
                <c:pt idx="20">
                  <c:v>125916.45214833366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E6-5A40-A9B3-200FB1BE0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972944"/>
        <c:axId val="1977974624"/>
      </c:lineChart>
      <c:catAx>
        <c:axId val="197797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Pack Center</a:t>
                </a:r>
                <a:r>
                  <a:rPr lang="en-US" baseline="0"/>
                  <a:t> Stage Time (days)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974624"/>
        <c:crosses val="autoZero"/>
        <c:auto val="1"/>
        <c:lblAlgn val="ctr"/>
        <c:lblOffset val="100"/>
        <c:noMultiLvlLbl val="0"/>
      </c:catAx>
      <c:valAx>
        <c:axId val="1977974624"/>
        <c:scaling>
          <c:orientation val="minMax"/>
          <c:max val="130000"/>
          <c:min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97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Expected Total Inventory Cost As</a:t>
            </a:r>
            <a:r>
              <a:rPr lang="en-US" baseline="0"/>
              <a:t> Function of </a:t>
            </a:r>
            <a:br>
              <a:rPr lang="en-US" baseline="0"/>
            </a:br>
            <a:r>
              <a:rPr lang="en-US" baseline="0"/>
              <a:t>NA Pack Center Stage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With supply warehouse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'NA sw analysis'!$G$44:$G$64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'NA sw analysis'!$H$44:$H$64</c:f>
              <c:numCache>
                <c:formatCode>"$"#,##0_);[Red]\("$"#,##0\)</c:formatCode>
                <c:ptCount val="21"/>
                <c:pt idx="0">
                  <c:v>82671.174818768341</c:v>
                </c:pt>
                <c:pt idx="1">
                  <c:v>84819.767978070813</c:v>
                </c:pt>
                <c:pt idx="2">
                  <c:v>86933.148689727896</c:v>
                </c:pt>
                <c:pt idx="3">
                  <c:v>89016.486699930247</c:v>
                </c:pt>
                <c:pt idx="4">
                  <c:v>91073.798387218485</c:v>
                </c:pt>
                <c:pt idx="5">
                  <c:v>93108.277766603045</c:v>
                </c:pt>
                <c:pt idx="6">
                  <c:v>95122.514533175825</c:v>
                </c:pt>
                <c:pt idx="7">
                  <c:v>97118.642967005304</c:v>
                </c:pt>
                <c:pt idx="8">
                  <c:v>99098.446743699547</c:v>
                </c:pt>
                <c:pt idx="9">
                  <c:v>101063.43463140322</c:v>
                </c:pt>
                <c:pt idx="10">
                  <c:v>103014.89638756018</c:v>
                </c:pt>
                <c:pt idx="11">
                  <c:v>104953.9448400688</c:v>
                </c:pt>
                <c:pt idx="12">
                  <c:v>106881.54811039631</c:v>
                </c:pt>
                <c:pt idx="13">
                  <c:v>108798.55466236587</c:v>
                </c:pt>
                <c:pt idx="14">
                  <c:v>110705.71303738488</c:v>
                </c:pt>
                <c:pt idx="15">
                  <c:v>112603.68759206453</c:v>
                </c:pt>
                <c:pt idx="16">
                  <c:v>114493.07118552955</c:v>
                </c:pt>
                <c:pt idx="17">
                  <c:v>116374.39550932826</c:v>
                </c:pt>
                <c:pt idx="18">
                  <c:v>118248.13957417657</c:v>
                </c:pt>
                <c:pt idx="19">
                  <c:v>120114.73674023541</c:v>
                </c:pt>
                <c:pt idx="20">
                  <c:v>121974.58058524734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E4-5B40-A12E-633F9B53C8EC}"/>
            </c:ext>
          </c:extLst>
        </c:ser>
        <c:ser>
          <c:idx val="2"/>
          <c:order val="1"/>
          <c:tx>
            <c:v>Without supply warehouse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'NA sw analysis'!$G$44:$G$64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'NA sw analysis'!$I$44:$I$64</c:f>
              <c:numCache>
                <c:formatCode>"$"#,##0_);[Red]\("$"#,##0\)</c:formatCode>
                <c:ptCount val="21"/>
                <c:pt idx="0">
                  <c:v>74981.636649259264</c:v>
                </c:pt>
                <c:pt idx="1">
                  <c:v>77867.382974805223</c:v>
                </c:pt>
                <c:pt idx="2">
                  <c:v>80707.440174089003</c:v>
                </c:pt>
                <c:pt idx="3">
                  <c:v>83506.3427358068</c:v>
                </c:pt>
                <c:pt idx="4">
                  <c:v>86267.920126037207</c:v>
                </c:pt>
                <c:pt idx="5">
                  <c:v>88995.441542434521</c:v>
                </c:pt>
                <c:pt idx="6">
                  <c:v>91691.7245120843</c:v>
                </c:pt>
                <c:pt idx="7">
                  <c:v>94359.21780643551</c:v>
                </c:pt>
                <c:pt idx="8">
                  <c:v>97000.065736000222</c:v>
                </c:pt>
                <c:pt idx="9">
                  <c:v>99616.158698754152</c:v>
                </c:pt>
                <c:pt idx="10">
                  <c:v>102209.17341530051</c:v>
                </c:pt>
                <c:pt idx="11">
                  <c:v>104780.60531358796</c:v>
                </c:pt>
                <c:pt idx="12">
                  <c:v>107331.79485921768</c:v>
                </c:pt>
                <c:pt idx="13">
                  <c:v>109863.94916074889</c:v>
                </c:pt>
                <c:pt idx="14">
                  <c:v>112378.1598474044</c:v>
                </c:pt>
                <c:pt idx="15">
                  <c:v>114875.41797677123</c:v>
                </c:pt>
                <c:pt idx="16">
                  <c:v>117356.62655448483</c:v>
                </c:pt>
                <c:pt idx="17">
                  <c:v>119822.61111765701</c:v>
                </c:pt>
                <c:pt idx="18">
                  <c:v>122274.12873610566</c:v>
                </c:pt>
                <c:pt idx="19">
                  <c:v>124711.87571134941</c:v>
                </c:pt>
                <c:pt idx="20">
                  <c:v>127136.49419658021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E4-5B40-A12E-633F9B53C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972944"/>
        <c:axId val="1977974624"/>
      </c:lineChart>
      <c:catAx>
        <c:axId val="197797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Pack Center</a:t>
                </a:r>
                <a:r>
                  <a:rPr lang="en-US" baseline="0"/>
                  <a:t> Stage Time (days)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974624"/>
        <c:crosses val="autoZero"/>
        <c:auto val="1"/>
        <c:lblAlgn val="ctr"/>
        <c:lblOffset val="100"/>
        <c:noMultiLvlLbl val="0"/>
      </c:catAx>
      <c:valAx>
        <c:axId val="1977974624"/>
        <c:scaling>
          <c:orientation val="minMax"/>
          <c:min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97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50</xdr:row>
      <xdr:rowOff>0</xdr:rowOff>
    </xdr:from>
    <xdr:to>
      <xdr:col>19</xdr:col>
      <xdr:colOff>508000</xdr:colOff>
      <xdr:row>71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D2799-E129-BD44-997B-57FC58C44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749300</xdr:colOff>
      <xdr:row>42</xdr:row>
      <xdr:rowOff>127000</xdr:rowOff>
    </xdr:from>
    <xdr:to>
      <xdr:col>17</xdr:col>
      <xdr:colOff>508000</xdr:colOff>
      <xdr:row>64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BCF87-7F54-4943-AAE5-013432E76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BB29-4979-9447-9741-4AC2FCF62656}">
  <dimension ref="A1:X75"/>
  <sheetViews>
    <sheetView showGridLines="0" tabSelected="1" zoomScale="150" zoomScaleNormal="150" workbookViewId="0">
      <pane ySplit="23" topLeftCell="A41" activePane="bottomLeft" state="frozen"/>
      <selection pane="bottomLeft" activeCell="F51" sqref="F51"/>
    </sheetView>
  </sheetViews>
  <sheetFormatPr baseColWidth="10" defaultRowHeight="16" x14ac:dyDescent="0.2"/>
  <cols>
    <col min="1" max="1" width="19.5" customWidth="1"/>
    <col min="19" max="19" width="11.83203125" bestFit="1" customWidth="1"/>
  </cols>
  <sheetData>
    <row r="1" spans="1:24" hidden="1" x14ac:dyDescent="0.2">
      <c r="A1" t="s">
        <v>50</v>
      </c>
      <c r="U1" s="23"/>
      <c r="V1" t="s">
        <v>46</v>
      </c>
    </row>
    <row r="2" spans="1:24" ht="5" hidden="1" x14ac:dyDescent="0.2">
      <c r="A2" t="s">
        <v>33</v>
      </c>
      <c r="U2" s="22"/>
      <c r="V2" t="s">
        <v>48</v>
      </c>
    </row>
    <row r="3" spans="1:24" ht="11" hidden="1" x14ac:dyDescent="0.2">
      <c r="B3" s="13" t="s">
        <v>16</v>
      </c>
      <c r="C3" s="13" t="s">
        <v>17</v>
      </c>
      <c r="D3" s="13" t="s">
        <v>18</v>
      </c>
      <c r="E3" s="13" t="s">
        <v>19</v>
      </c>
      <c r="F3" s="13" t="s">
        <v>20</v>
      </c>
      <c r="G3" s="13" t="s">
        <v>21</v>
      </c>
      <c r="H3" s="13" t="s">
        <v>4</v>
      </c>
      <c r="I3" s="13" t="s">
        <v>22</v>
      </c>
      <c r="J3" s="13" t="s">
        <v>23</v>
      </c>
      <c r="K3" s="13" t="s">
        <v>24</v>
      </c>
      <c r="L3" s="13" t="s">
        <v>25</v>
      </c>
      <c r="M3" s="13" t="s">
        <v>26</v>
      </c>
      <c r="N3" s="13" t="s">
        <v>29</v>
      </c>
      <c r="O3" s="13" t="s">
        <v>27</v>
      </c>
      <c r="P3" s="13" t="s">
        <v>28</v>
      </c>
      <c r="Q3" s="13" t="s">
        <v>30</v>
      </c>
      <c r="R3" s="13" t="s">
        <v>31</v>
      </c>
      <c r="S3" s="13" t="s">
        <v>32</v>
      </c>
    </row>
    <row r="4" spans="1:24" ht="5" hidden="1" x14ac:dyDescent="0.2">
      <c r="A4" s="9" t="s">
        <v>34</v>
      </c>
      <c r="B4" s="5">
        <v>20</v>
      </c>
      <c r="C4" s="5">
        <v>5</v>
      </c>
      <c r="D4" s="14">
        <v>0.95</v>
      </c>
      <c r="E4" s="14">
        <f>D4</f>
        <v>0.95</v>
      </c>
      <c r="F4" s="7">
        <f>F5</f>
        <v>3411</v>
      </c>
      <c r="G4" s="7">
        <f>G5</f>
        <v>2460.9656641245524</v>
      </c>
      <c r="H4" s="26">
        <f t="shared" ref="H4:H12" si="0">G4/F4</f>
        <v>0.72147923310599604</v>
      </c>
      <c r="I4" s="6">
        <v>0.99</v>
      </c>
      <c r="J4" s="15">
        <v>0.3</v>
      </c>
      <c r="K4" s="5">
        <v>0</v>
      </c>
      <c r="L4" s="5">
        <v>0</v>
      </c>
      <c r="M4" s="5">
        <f>K4+B4+C4-L4</f>
        <v>25</v>
      </c>
      <c r="N4" s="7">
        <f>C4*F4/2</f>
        <v>8527.5</v>
      </c>
      <c r="O4" s="7">
        <f>B4*F4</f>
        <v>68220</v>
      </c>
      <c r="P4" s="7">
        <f>NORMSINV(I4)*G4*SQRT(M4)</f>
        <v>28625.311204118294</v>
      </c>
      <c r="Q4" s="16">
        <f>J4*E4*N4</f>
        <v>2430.3374999999996</v>
      </c>
      <c r="R4" s="16">
        <f>J4*(E4-D4/2)*O4</f>
        <v>9721.3499999999985</v>
      </c>
      <c r="S4" s="16">
        <f>J4*E4*P4</f>
        <v>8158.2136931737132</v>
      </c>
      <c r="U4" t="str">
        <f>"Pack center stage time "&amp;B5&amp;" and review period "&amp;C5</f>
        <v>Pack center stage time 18 and review period 5</v>
      </c>
    </row>
    <row r="5" spans="1:24" ht="1" hidden="1" x14ac:dyDescent="0.2">
      <c r="A5" s="9" t="s">
        <v>37</v>
      </c>
      <c r="B5" s="21">
        <v>18</v>
      </c>
      <c r="C5" s="5">
        <v>5</v>
      </c>
      <c r="D5" s="14">
        <v>0.45</v>
      </c>
      <c r="E5" s="14">
        <f>E4+D5</f>
        <v>1.4</v>
      </c>
      <c r="F5" s="7">
        <f>F6</f>
        <v>3411</v>
      </c>
      <c r="G5" s="7">
        <f>G6</f>
        <v>2460.9656641245524</v>
      </c>
      <c r="H5" s="26">
        <f t="shared" si="0"/>
        <v>0.72147923310599604</v>
      </c>
      <c r="I5" s="6">
        <v>0.99</v>
      </c>
      <c r="J5" s="15">
        <v>0.3</v>
      </c>
      <c r="K5" s="5">
        <f>L4</f>
        <v>0</v>
      </c>
      <c r="L5" s="5">
        <f>B5+C5</f>
        <v>23</v>
      </c>
      <c r="M5" s="5">
        <f t="shared" ref="M5:M12" si="1">K5+B5+C5-L5</f>
        <v>0</v>
      </c>
      <c r="N5" s="7">
        <f t="shared" ref="N5:N12" si="2">C5*F5/2</f>
        <v>8527.5</v>
      </c>
      <c r="O5" s="7">
        <f t="shared" ref="O5:O12" si="3">B5*F5</f>
        <v>61398</v>
      </c>
      <c r="P5" s="7">
        <f t="shared" ref="P5:P12" si="4">NORMSINV(I5)*G5*SQRT(M5)</f>
        <v>0</v>
      </c>
      <c r="Q5" s="14">
        <f t="shared" ref="Q5:Q12" si="5">J5*E5*N5</f>
        <v>3581.5499999999997</v>
      </c>
      <c r="R5" s="14">
        <f t="shared" ref="R5:R12" si="6">J5*(E5-D5/2)*O5</f>
        <v>21642.794999999995</v>
      </c>
      <c r="S5" s="16">
        <f t="shared" ref="S5:S12" si="7">J5*E5*P5</f>
        <v>0</v>
      </c>
      <c r="W5" s="4" t="s">
        <v>13</v>
      </c>
      <c r="X5" s="4" t="s">
        <v>14</v>
      </c>
    </row>
    <row r="6" spans="1:24" ht="2" hidden="1" x14ac:dyDescent="0.2">
      <c r="A6" s="9" t="s">
        <v>36</v>
      </c>
      <c r="B6" s="5">
        <v>2</v>
      </c>
      <c r="C6" s="5">
        <v>1</v>
      </c>
      <c r="D6" s="14">
        <v>0.14000000000000001</v>
      </c>
      <c r="E6" s="28">
        <f>E5+D6</f>
        <v>1.54</v>
      </c>
      <c r="F6" s="7">
        <f>SUM(F7:F12)</f>
        <v>3411</v>
      </c>
      <c r="G6" s="7">
        <f>SQRT(SUMPRODUCT(G7:G12,G7:G12))</f>
        <v>2460.9656641245524</v>
      </c>
      <c r="H6" s="26">
        <f t="shared" si="0"/>
        <v>0.72147923310599604</v>
      </c>
      <c r="I6" s="6">
        <v>0.99</v>
      </c>
      <c r="J6" s="15">
        <v>0.3</v>
      </c>
      <c r="K6" s="5">
        <f>L5</f>
        <v>23</v>
      </c>
      <c r="L6" s="5">
        <v>0</v>
      </c>
      <c r="M6" s="5">
        <f t="shared" si="1"/>
        <v>26</v>
      </c>
      <c r="N6" s="7">
        <f t="shared" si="2"/>
        <v>1705.5</v>
      </c>
      <c r="O6" s="7">
        <f t="shared" si="3"/>
        <v>6822</v>
      </c>
      <c r="P6" s="7">
        <f t="shared" si="4"/>
        <v>29192.20408249307</v>
      </c>
      <c r="Q6" s="14">
        <f t="shared" si="5"/>
        <v>787.94099999999992</v>
      </c>
      <c r="R6" s="14">
        <f t="shared" si="6"/>
        <v>3008.502</v>
      </c>
      <c r="S6" s="14">
        <f t="shared" si="7"/>
        <v>13486.798286111798</v>
      </c>
      <c r="V6" s="9" t="s">
        <v>9</v>
      </c>
      <c r="W6" s="11">
        <f>SUM(Q4:Q12)</f>
        <v>13111.475999999997</v>
      </c>
      <c r="X6" s="11">
        <f>SUM(Q16:Q23)</f>
        <v>12681.689999999999</v>
      </c>
    </row>
    <row r="7" spans="1:24" ht="2" hidden="1" x14ac:dyDescent="0.2">
      <c r="A7" s="9" t="s">
        <v>35</v>
      </c>
      <c r="B7" s="5">
        <v>6</v>
      </c>
      <c r="C7" s="5">
        <v>5</v>
      </c>
      <c r="D7" s="14">
        <v>0.76</v>
      </c>
      <c r="E7" s="14">
        <f>E6+D7</f>
        <v>2.2999999999999998</v>
      </c>
      <c r="F7" s="7">
        <v>930</v>
      </c>
      <c r="G7" s="7">
        <v>1674</v>
      </c>
      <c r="H7" s="26">
        <f t="shared" si="0"/>
        <v>1.8</v>
      </c>
      <c r="I7" s="6">
        <v>0.99</v>
      </c>
      <c r="J7" s="15">
        <v>0.3</v>
      </c>
      <c r="K7" s="5">
        <f>L6</f>
        <v>0</v>
      </c>
      <c r="L7" s="5">
        <v>0</v>
      </c>
      <c r="M7" s="5">
        <f t="shared" si="1"/>
        <v>11</v>
      </c>
      <c r="N7" s="7">
        <f t="shared" si="2"/>
        <v>2325</v>
      </c>
      <c r="O7" s="7">
        <f t="shared" si="3"/>
        <v>5580</v>
      </c>
      <c r="P7" s="7">
        <f t="shared" si="4"/>
        <v>12915.952952277641</v>
      </c>
      <c r="Q7" s="16">
        <f t="shared" si="5"/>
        <v>1604.2499999999998</v>
      </c>
      <c r="R7" s="16">
        <f t="shared" si="6"/>
        <v>3214.08</v>
      </c>
      <c r="S7" s="14">
        <f t="shared" si="7"/>
        <v>8912.0075370715713</v>
      </c>
      <c r="V7" s="9" t="s">
        <v>10</v>
      </c>
      <c r="W7" s="11">
        <f>SUM(R4:R12)</f>
        <v>47708.603999999985</v>
      </c>
      <c r="X7" s="11">
        <f>SUM(R16:R23)</f>
        <v>45989.459999999992</v>
      </c>
    </row>
    <row r="8" spans="1:24" ht="2" hidden="1" x14ac:dyDescent="0.2">
      <c r="A8" s="9" t="s">
        <v>38</v>
      </c>
      <c r="B8" s="5">
        <v>6</v>
      </c>
      <c r="C8" s="5">
        <v>5</v>
      </c>
      <c r="D8" s="14">
        <v>0.85</v>
      </c>
      <c r="E8" s="14">
        <f>E6+D8</f>
        <v>2.39</v>
      </c>
      <c r="F8" s="7">
        <v>517</v>
      </c>
      <c r="G8" s="7">
        <v>672</v>
      </c>
      <c r="H8" s="26">
        <f t="shared" si="0"/>
        <v>1.299806576402321</v>
      </c>
      <c r="I8" s="6">
        <v>0.99</v>
      </c>
      <c r="J8" s="15">
        <v>0.3</v>
      </c>
      <c r="K8" s="5">
        <f>L6</f>
        <v>0</v>
      </c>
      <c r="L8" s="5">
        <v>0</v>
      </c>
      <c r="M8" s="5">
        <f t="shared" si="1"/>
        <v>11</v>
      </c>
      <c r="N8" s="7">
        <f t="shared" si="2"/>
        <v>1292.5</v>
      </c>
      <c r="O8" s="7">
        <f t="shared" si="3"/>
        <v>3102</v>
      </c>
      <c r="P8" s="7">
        <f t="shared" si="4"/>
        <v>5184.8986761831393</v>
      </c>
      <c r="Q8" s="16">
        <f t="shared" si="5"/>
        <v>926.72249999999997</v>
      </c>
      <c r="R8" s="16">
        <f t="shared" si="6"/>
        <v>1828.6290000000001</v>
      </c>
      <c r="S8" s="14">
        <f t="shared" si="7"/>
        <v>3717.5723508233109</v>
      </c>
      <c r="V8" s="9" t="s">
        <v>11</v>
      </c>
      <c r="W8" s="11">
        <f>SUM(S4:S12)</f>
        <v>53376.161578230567</v>
      </c>
      <c r="X8" s="11">
        <f>SUM(S16:S23)</f>
        <v>63127.608064527223</v>
      </c>
    </row>
    <row r="9" spans="1:24" ht="1" hidden="1" x14ac:dyDescent="0.2">
      <c r="A9" s="9" t="s">
        <v>39</v>
      </c>
      <c r="B9" s="5">
        <v>4</v>
      </c>
      <c r="C9" s="5">
        <v>5</v>
      </c>
      <c r="D9" s="14">
        <v>0.86</v>
      </c>
      <c r="E9" s="14">
        <f>E6+D9</f>
        <v>2.4</v>
      </c>
      <c r="F9" s="7">
        <v>586</v>
      </c>
      <c r="G9" s="7">
        <v>879</v>
      </c>
      <c r="H9" s="26">
        <f t="shared" si="0"/>
        <v>1.5</v>
      </c>
      <c r="I9" s="6">
        <v>0.99</v>
      </c>
      <c r="J9" s="15">
        <v>0.3</v>
      </c>
      <c r="K9" s="5">
        <f>L6</f>
        <v>0</v>
      </c>
      <c r="L9" s="5">
        <v>0</v>
      </c>
      <c r="M9" s="5">
        <f t="shared" si="1"/>
        <v>9</v>
      </c>
      <c r="N9" s="7">
        <f t="shared" si="2"/>
        <v>1465</v>
      </c>
      <c r="O9" s="7">
        <f t="shared" si="3"/>
        <v>2344</v>
      </c>
      <c r="P9" s="7">
        <f t="shared" si="4"/>
        <v>6134.5793438456976</v>
      </c>
      <c r="Q9" s="16">
        <f t="shared" si="5"/>
        <v>1054.8</v>
      </c>
      <c r="R9" s="16">
        <f t="shared" si="6"/>
        <v>1385.3039999999999</v>
      </c>
      <c r="S9" s="14">
        <f t="shared" si="7"/>
        <v>4416.8971275689019</v>
      </c>
      <c r="V9" s="9" t="s">
        <v>12</v>
      </c>
      <c r="W9" s="3">
        <f>SUM(W6:W8)</f>
        <v>114196.24157823055</v>
      </c>
      <c r="X9" s="3">
        <f>SUM(X6:X8)</f>
        <v>121798.75806452721</v>
      </c>
    </row>
    <row r="10" spans="1:24" ht="6" hidden="1" x14ac:dyDescent="0.2">
      <c r="A10" s="9" t="s">
        <v>40</v>
      </c>
      <c r="B10" s="5">
        <v>8</v>
      </c>
      <c r="C10" s="5">
        <v>5</v>
      </c>
      <c r="D10" s="14">
        <v>0.96</v>
      </c>
      <c r="E10" s="14">
        <f>E6+D10</f>
        <v>2.5</v>
      </c>
      <c r="F10" s="7">
        <v>173</v>
      </c>
      <c r="G10" s="7">
        <v>329</v>
      </c>
      <c r="H10" s="26">
        <f t="shared" si="0"/>
        <v>1.9017341040462428</v>
      </c>
      <c r="I10" s="6">
        <v>0.99</v>
      </c>
      <c r="J10" s="15">
        <v>0.3</v>
      </c>
      <c r="K10" s="5">
        <f>L6</f>
        <v>0</v>
      </c>
      <c r="L10" s="5">
        <v>0</v>
      </c>
      <c r="M10" s="5">
        <f t="shared" si="1"/>
        <v>13</v>
      </c>
      <c r="N10" s="7">
        <f t="shared" si="2"/>
        <v>432.5</v>
      </c>
      <c r="O10" s="7">
        <f t="shared" si="3"/>
        <v>1384</v>
      </c>
      <c r="P10" s="7">
        <f t="shared" si="4"/>
        <v>2759.5751931144737</v>
      </c>
      <c r="Q10" s="16">
        <f t="shared" si="5"/>
        <v>324.375</v>
      </c>
      <c r="R10" s="16">
        <f t="shared" si="6"/>
        <v>838.70399999999995</v>
      </c>
      <c r="S10" s="14">
        <f t="shared" si="7"/>
        <v>2069.6813948358554</v>
      </c>
      <c r="V10" s="9" t="s">
        <v>15</v>
      </c>
      <c r="W10" s="12">
        <f>(W9-X9)/W9</f>
        <v>-6.6574139229341731E-2</v>
      </c>
    </row>
    <row r="11" spans="1:24" ht="1" hidden="1" x14ac:dyDescent="0.2">
      <c r="A11" s="9" t="s">
        <v>41</v>
      </c>
      <c r="B11" s="5">
        <v>8</v>
      </c>
      <c r="C11" s="5">
        <v>5</v>
      </c>
      <c r="D11" s="14">
        <v>0.96</v>
      </c>
      <c r="E11" s="14">
        <f>E6+D11</f>
        <v>2.5</v>
      </c>
      <c r="F11" s="7">
        <v>447</v>
      </c>
      <c r="G11" s="7">
        <v>671</v>
      </c>
      <c r="H11" s="26">
        <f t="shared" si="0"/>
        <v>1.5011185682326622</v>
      </c>
      <c r="I11" s="6">
        <v>0.99</v>
      </c>
      <c r="J11" s="15">
        <v>0.3</v>
      </c>
      <c r="K11" s="5">
        <f>L6</f>
        <v>0</v>
      </c>
      <c r="L11" s="5">
        <v>0</v>
      </c>
      <c r="M11" s="5">
        <f t="shared" si="1"/>
        <v>13</v>
      </c>
      <c r="N11" s="7">
        <f t="shared" si="2"/>
        <v>1117.5</v>
      </c>
      <c r="O11" s="7">
        <f t="shared" si="3"/>
        <v>3576</v>
      </c>
      <c r="P11" s="7">
        <f t="shared" si="4"/>
        <v>5628.1913513064192</v>
      </c>
      <c r="Q11" s="16">
        <f t="shared" si="5"/>
        <v>838.125</v>
      </c>
      <c r="R11" s="16">
        <f t="shared" si="6"/>
        <v>2167.056</v>
      </c>
      <c r="S11" s="14">
        <f t="shared" si="7"/>
        <v>4221.1435134798139</v>
      </c>
    </row>
    <row r="12" spans="1:24" ht="2" hidden="1" x14ac:dyDescent="0.2">
      <c r="A12" s="9" t="s">
        <v>42</v>
      </c>
      <c r="B12" s="5">
        <v>8</v>
      </c>
      <c r="C12" s="5">
        <v>5</v>
      </c>
      <c r="D12" s="14">
        <v>1.21</v>
      </c>
      <c r="E12" s="14">
        <f>E6+D12</f>
        <v>2.75</v>
      </c>
      <c r="F12" s="7">
        <v>758</v>
      </c>
      <c r="G12" s="7">
        <v>1213</v>
      </c>
      <c r="H12" s="26">
        <f t="shared" si="0"/>
        <v>1.6002638522427441</v>
      </c>
      <c r="I12" s="6">
        <v>0.99</v>
      </c>
      <c r="J12" s="15">
        <v>0.3</v>
      </c>
      <c r="K12" s="5">
        <f>L6</f>
        <v>0</v>
      </c>
      <c r="L12" s="5">
        <v>0</v>
      </c>
      <c r="M12" s="5">
        <f t="shared" si="1"/>
        <v>13</v>
      </c>
      <c r="N12" s="7">
        <f t="shared" si="2"/>
        <v>1895</v>
      </c>
      <c r="O12" s="7">
        <f t="shared" si="3"/>
        <v>6064</v>
      </c>
      <c r="P12" s="7">
        <f t="shared" si="4"/>
        <v>10174.360818382542</v>
      </c>
      <c r="Q12" s="16">
        <f t="shared" si="5"/>
        <v>1563.375</v>
      </c>
      <c r="R12" s="16">
        <f t="shared" si="6"/>
        <v>3902.1839999999997</v>
      </c>
      <c r="S12" s="14">
        <f t="shared" si="7"/>
        <v>8393.8476751655962</v>
      </c>
    </row>
    <row r="13" spans="1:24" ht="7" hidden="1" x14ac:dyDescent="0.2">
      <c r="A13" s="9"/>
    </row>
    <row r="14" spans="1:24" ht="2" hidden="1" x14ac:dyDescent="0.2">
      <c r="A14" t="s">
        <v>49</v>
      </c>
      <c r="F14" s="20"/>
    </row>
    <row r="15" spans="1:24" ht="17" hidden="1" x14ac:dyDescent="0.2">
      <c r="A15" s="9"/>
      <c r="B15" s="13" t="s">
        <v>16</v>
      </c>
      <c r="C15" s="13" t="s">
        <v>17</v>
      </c>
      <c r="D15" s="13" t="s">
        <v>18</v>
      </c>
      <c r="E15" s="13" t="s">
        <v>19</v>
      </c>
      <c r="F15" s="13" t="s">
        <v>20</v>
      </c>
      <c r="G15" s="13" t="s">
        <v>21</v>
      </c>
      <c r="H15" s="13" t="s">
        <v>4</v>
      </c>
      <c r="I15" s="13" t="s">
        <v>22</v>
      </c>
      <c r="J15" s="13" t="s">
        <v>23</v>
      </c>
      <c r="K15" s="13" t="s">
        <v>24</v>
      </c>
      <c r="L15" s="13" t="s">
        <v>25</v>
      </c>
      <c r="M15" s="13" t="s">
        <v>26</v>
      </c>
      <c r="N15" s="13" t="s">
        <v>29</v>
      </c>
      <c r="O15" s="13" t="s">
        <v>27</v>
      </c>
      <c r="P15" s="13" t="s">
        <v>28</v>
      </c>
      <c r="Q15" s="13" t="s">
        <v>30</v>
      </c>
      <c r="R15" s="13" t="s">
        <v>31</v>
      </c>
      <c r="S15" s="13" t="s">
        <v>32</v>
      </c>
      <c r="U15" t="str">
        <f>"ONLY VARIABLE COST COMPONENTS:  "&amp;U4</f>
        <v>ONLY VARIABLE COST COMPONENTS:  Pack center stage time 18 and review period 5</v>
      </c>
    </row>
    <row r="16" spans="1:24" ht="2" hidden="1" x14ac:dyDescent="0.2">
      <c r="A16" s="9" t="s">
        <v>34</v>
      </c>
      <c r="B16" s="5">
        <v>20</v>
      </c>
      <c r="C16" s="5">
        <v>5</v>
      </c>
      <c r="D16" s="14">
        <f>D4</f>
        <v>0.95</v>
      </c>
      <c r="E16" s="14">
        <v>0.95</v>
      </c>
      <c r="F16" s="7">
        <f>F17</f>
        <v>3411</v>
      </c>
      <c r="G16" s="7">
        <f>G17</f>
        <v>2460.9656641245524</v>
      </c>
      <c r="H16" s="26">
        <f t="shared" ref="H16:H23" si="8">G16/F16</f>
        <v>0.72147923310599604</v>
      </c>
      <c r="I16" s="6">
        <v>0.99</v>
      </c>
      <c r="J16" s="15">
        <v>0.3</v>
      </c>
      <c r="K16" s="5">
        <v>0</v>
      </c>
      <c r="L16" s="5">
        <v>0</v>
      </c>
      <c r="M16" s="5">
        <f>K16+B16+C16-L16</f>
        <v>25</v>
      </c>
      <c r="N16" s="7">
        <f>C16*F16/2</f>
        <v>8527.5</v>
      </c>
      <c r="O16" s="7">
        <f>B16*F16</f>
        <v>68220</v>
      </c>
      <c r="P16" s="7">
        <f>NORMSINV(I16)*G16*SQRT(M16)</f>
        <v>28625.311204118294</v>
      </c>
      <c r="Q16" s="16">
        <f>J16*E16*N16</f>
        <v>2430.3374999999996</v>
      </c>
      <c r="R16" s="16">
        <f>J16*(E16-D16/2)*O16</f>
        <v>9721.3499999999985</v>
      </c>
      <c r="S16" s="16">
        <f>J16*E16*P16</f>
        <v>8158.2136931737132</v>
      </c>
      <c r="W16" s="4" t="s">
        <v>13</v>
      </c>
      <c r="X16" s="4" t="s">
        <v>14</v>
      </c>
    </row>
    <row r="17" spans="1:24" ht="5" hidden="1" x14ac:dyDescent="0.2">
      <c r="A17" s="9" t="s">
        <v>37</v>
      </c>
      <c r="B17" s="5">
        <f>B5</f>
        <v>18</v>
      </c>
      <c r="C17" s="5">
        <v>5</v>
      </c>
      <c r="D17" s="14">
        <f>D5+D6+D13</f>
        <v>0.59000000000000008</v>
      </c>
      <c r="E17" s="14">
        <f>E16+D17</f>
        <v>1.54</v>
      </c>
      <c r="F17" s="7">
        <f>SUM(F18:F23)</f>
        <v>3411</v>
      </c>
      <c r="G17" s="7">
        <f>SQRT(SUMPRODUCT(G18:G23,G18:G23))</f>
        <v>2460.9656641245524</v>
      </c>
      <c r="H17" s="26">
        <f t="shared" si="8"/>
        <v>0.72147923310599604</v>
      </c>
      <c r="I17" s="6">
        <v>0.99</v>
      </c>
      <c r="J17" s="15">
        <v>0.3</v>
      </c>
      <c r="K17" s="5">
        <f>L16</f>
        <v>0</v>
      </c>
      <c r="L17" s="5">
        <f>L16+B17+C17</f>
        <v>23</v>
      </c>
      <c r="M17" s="5">
        <f t="shared" ref="M17:M23" si="9">K17+B17+C17-L17</f>
        <v>0</v>
      </c>
      <c r="N17" s="7">
        <f t="shared" ref="N17:N23" si="10">C17*F17/2</f>
        <v>8527.5</v>
      </c>
      <c r="O17" s="7">
        <f t="shared" ref="O17:O23" si="11">B17*F17</f>
        <v>61398</v>
      </c>
      <c r="P17" s="7">
        <f t="shared" ref="P17:P23" si="12">NORMSINV(I17)*G17*SQRT(M17)</f>
        <v>0</v>
      </c>
      <c r="Q17" s="14">
        <f t="shared" ref="Q17:Q23" si="13">J17*E17*N17</f>
        <v>3939.7049999999999</v>
      </c>
      <c r="R17" s="14">
        <f t="shared" ref="R17:R23" si="14">J17*(E17-D17/2)*O17</f>
        <v>22932.152999999998</v>
      </c>
      <c r="S17" s="16">
        <f t="shared" ref="S17:S23" si="15">J17*E17*P17</f>
        <v>0</v>
      </c>
      <c r="V17" s="9" t="s">
        <v>9</v>
      </c>
      <c r="W17" s="11">
        <f>SUM(Q5:Q6)</f>
        <v>4369.491</v>
      </c>
      <c r="X17" s="11">
        <f>Q17</f>
        <v>3939.7049999999999</v>
      </c>
    </row>
    <row r="18" spans="1:24" ht="7" hidden="1" x14ac:dyDescent="0.2">
      <c r="A18" s="9" t="s">
        <v>35</v>
      </c>
      <c r="B18" s="5">
        <v>6</v>
      </c>
      <c r="C18" s="5">
        <v>5</v>
      </c>
      <c r="D18" s="14">
        <v>0.76</v>
      </c>
      <c r="E18" s="14">
        <f>E17+D18</f>
        <v>2.2999999999999998</v>
      </c>
      <c r="F18" s="7">
        <v>930</v>
      </c>
      <c r="G18" s="7">
        <v>1674</v>
      </c>
      <c r="H18" s="26">
        <f t="shared" si="8"/>
        <v>1.8</v>
      </c>
      <c r="I18" s="6">
        <v>0.99</v>
      </c>
      <c r="J18" s="15">
        <v>0.3</v>
      </c>
      <c r="K18" s="5">
        <f>L17</f>
        <v>23</v>
      </c>
      <c r="L18" s="5">
        <v>0</v>
      </c>
      <c r="M18" s="5">
        <f t="shared" si="9"/>
        <v>34</v>
      </c>
      <c r="N18" s="7">
        <f t="shared" si="10"/>
        <v>2325</v>
      </c>
      <c r="O18" s="7">
        <f t="shared" si="11"/>
        <v>5580</v>
      </c>
      <c r="P18" s="7">
        <f t="shared" si="12"/>
        <v>22707.51293900382</v>
      </c>
      <c r="Q18" s="16">
        <f t="shared" si="13"/>
        <v>1604.2499999999998</v>
      </c>
      <c r="R18" s="16">
        <f t="shared" si="14"/>
        <v>3214.08</v>
      </c>
      <c r="S18" s="14">
        <f t="shared" si="15"/>
        <v>15668.183927912634</v>
      </c>
      <c r="V18" s="9" t="s">
        <v>10</v>
      </c>
      <c r="W18" s="11">
        <f>SUM(R5:R6)</f>
        <v>24651.296999999995</v>
      </c>
      <c r="X18" s="11">
        <f>R17</f>
        <v>22932.152999999998</v>
      </c>
    </row>
    <row r="19" spans="1:24" ht="4" hidden="1" x14ac:dyDescent="0.2">
      <c r="A19" s="9" t="s">
        <v>38</v>
      </c>
      <c r="B19" s="5">
        <v>6</v>
      </c>
      <c r="C19" s="5">
        <v>5</v>
      </c>
      <c r="D19" s="14">
        <v>0.85</v>
      </c>
      <c r="E19" s="14">
        <f>E17+D19</f>
        <v>2.39</v>
      </c>
      <c r="F19" s="7">
        <v>517</v>
      </c>
      <c r="G19" s="7">
        <v>672</v>
      </c>
      <c r="H19" s="26">
        <f t="shared" si="8"/>
        <v>1.299806576402321</v>
      </c>
      <c r="I19" s="6">
        <v>0.99</v>
      </c>
      <c r="J19" s="15">
        <v>0.3</v>
      </c>
      <c r="K19" s="5">
        <f>L17</f>
        <v>23</v>
      </c>
      <c r="L19" s="5">
        <v>0</v>
      </c>
      <c r="M19" s="5">
        <f t="shared" si="9"/>
        <v>34</v>
      </c>
      <c r="N19" s="7">
        <f t="shared" si="10"/>
        <v>1292.5</v>
      </c>
      <c r="O19" s="7">
        <f t="shared" si="11"/>
        <v>3102</v>
      </c>
      <c r="P19" s="7">
        <f t="shared" si="12"/>
        <v>9115.5607497076253</v>
      </c>
      <c r="Q19" s="16">
        <f t="shared" si="13"/>
        <v>926.72249999999997</v>
      </c>
      <c r="R19" s="16">
        <f t="shared" si="14"/>
        <v>1828.6290000000001</v>
      </c>
      <c r="S19" s="14">
        <f t="shared" si="15"/>
        <v>6535.8570575403674</v>
      </c>
      <c r="V19" s="9" t="s">
        <v>11</v>
      </c>
      <c r="W19" s="11">
        <f>SUM(S6:S12)</f>
        <v>45217.947885056848</v>
      </c>
      <c r="X19" s="11">
        <f>SUM(S18:S23)</f>
        <v>54969.394371353512</v>
      </c>
    </row>
    <row r="20" spans="1:24" ht="8" hidden="1" x14ac:dyDescent="0.2">
      <c r="A20" s="9" t="s">
        <v>39</v>
      </c>
      <c r="B20" s="5">
        <v>4</v>
      </c>
      <c r="C20" s="5">
        <v>5</v>
      </c>
      <c r="D20" s="14">
        <v>0.86</v>
      </c>
      <c r="E20" s="14">
        <f>E17+D20</f>
        <v>2.4</v>
      </c>
      <c r="F20" s="7">
        <v>586</v>
      </c>
      <c r="G20" s="7">
        <v>879</v>
      </c>
      <c r="H20" s="26">
        <f t="shared" si="8"/>
        <v>1.5</v>
      </c>
      <c r="I20" s="6">
        <v>0.99</v>
      </c>
      <c r="J20" s="15">
        <v>0.3</v>
      </c>
      <c r="K20" s="5">
        <f>L17</f>
        <v>23</v>
      </c>
      <c r="L20" s="5">
        <v>0</v>
      </c>
      <c r="M20" s="5">
        <f t="shared" si="9"/>
        <v>32</v>
      </c>
      <c r="N20" s="7">
        <f t="shared" si="10"/>
        <v>1465</v>
      </c>
      <c r="O20" s="7">
        <f t="shared" si="11"/>
        <v>2344</v>
      </c>
      <c r="P20" s="7">
        <f t="shared" si="12"/>
        <v>11567.473743360571</v>
      </c>
      <c r="Q20" s="16">
        <f t="shared" si="13"/>
        <v>1054.8</v>
      </c>
      <c r="R20" s="16">
        <f t="shared" si="14"/>
        <v>1385.3039999999999</v>
      </c>
      <c r="S20" s="14">
        <f t="shared" si="15"/>
        <v>8328.5810952196116</v>
      </c>
      <c r="V20" s="9" t="s">
        <v>12</v>
      </c>
      <c r="W20" s="3">
        <f>SUM(W17:W19)</f>
        <v>74238.735885056842</v>
      </c>
      <c r="X20" s="3">
        <f>SUM(X17:X19)</f>
        <v>81841.252371353505</v>
      </c>
    </row>
    <row r="21" spans="1:24" ht="4" hidden="1" x14ac:dyDescent="0.2">
      <c r="A21" s="9" t="s">
        <v>40</v>
      </c>
      <c r="B21" s="5">
        <v>8</v>
      </c>
      <c r="C21" s="5">
        <v>5</v>
      </c>
      <c r="D21" s="14">
        <v>0.96</v>
      </c>
      <c r="E21" s="14">
        <f>E17+D21</f>
        <v>2.5</v>
      </c>
      <c r="F21" s="7">
        <v>173</v>
      </c>
      <c r="G21" s="7">
        <v>329</v>
      </c>
      <c r="H21" s="26">
        <f t="shared" si="8"/>
        <v>1.9017341040462428</v>
      </c>
      <c r="I21" s="6">
        <v>0.99</v>
      </c>
      <c r="J21" s="15">
        <v>0.3</v>
      </c>
      <c r="K21" s="5">
        <f>L17</f>
        <v>23</v>
      </c>
      <c r="L21" s="5">
        <v>0</v>
      </c>
      <c r="M21" s="5">
        <f t="shared" si="9"/>
        <v>36</v>
      </c>
      <c r="N21" s="7">
        <f t="shared" si="10"/>
        <v>432.5</v>
      </c>
      <c r="O21" s="7">
        <f t="shared" si="11"/>
        <v>1384</v>
      </c>
      <c r="P21" s="7">
        <f t="shared" si="12"/>
        <v>4592.2107033566199</v>
      </c>
      <c r="Q21" s="16">
        <f t="shared" si="13"/>
        <v>324.375</v>
      </c>
      <c r="R21" s="16">
        <f t="shared" si="14"/>
        <v>838.70399999999995</v>
      </c>
      <c r="S21" s="14">
        <f t="shared" si="15"/>
        <v>3444.1580275174647</v>
      </c>
      <c r="V21" s="9" t="s">
        <v>15</v>
      </c>
      <c r="W21" s="25">
        <f>(W20-X20)/W20</f>
        <v>-0.10240633000631329</v>
      </c>
    </row>
    <row r="22" spans="1:24" ht="2" hidden="1" x14ac:dyDescent="0.2">
      <c r="A22" s="9" t="s">
        <v>41</v>
      </c>
      <c r="B22" s="5">
        <v>8</v>
      </c>
      <c r="C22" s="5">
        <v>5</v>
      </c>
      <c r="D22" s="14">
        <v>0.96</v>
      </c>
      <c r="E22" s="14">
        <f>E17+D22</f>
        <v>2.5</v>
      </c>
      <c r="F22" s="7">
        <v>447</v>
      </c>
      <c r="G22" s="7">
        <v>671</v>
      </c>
      <c r="H22" s="26">
        <f t="shared" si="8"/>
        <v>1.5011185682326622</v>
      </c>
      <c r="I22" s="6">
        <v>0.99</v>
      </c>
      <c r="J22" s="15">
        <v>0.3</v>
      </c>
      <c r="K22" s="5">
        <f>L17</f>
        <v>23</v>
      </c>
      <c r="L22" s="5">
        <v>0</v>
      </c>
      <c r="M22" s="5">
        <f t="shared" si="9"/>
        <v>36</v>
      </c>
      <c r="N22" s="7">
        <f t="shared" si="10"/>
        <v>1117.5</v>
      </c>
      <c r="O22" s="7">
        <f t="shared" si="11"/>
        <v>3576</v>
      </c>
      <c r="P22" s="7">
        <f t="shared" si="12"/>
        <v>9365.8765408884246</v>
      </c>
      <c r="Q22" s="16">
        <f t="shared" si="13"/>
        <v>838.125</v>
      </c>
      <c r="R22" s="16">
        <f t="shared" si="14"/>
        <v>2167.056</v>
      </c>
      <c r="S22" s="14">
        <f t="shared" si="15"/>
        <v>7024.4074056663185</v>
      </c>
      <c r="W22" s="9" t="s">
        <v>47</v>
      </c>
      <c r="X22" s="2">
        <f>SUM(Q4:S4,S5,Q7:R12)</f>
        <v>39957.505693173713</v>
      </c>
    </row>
    <row r="23" spans="1:24" ht="8" hidden="1" x14ac:dyDescent="0.2">
      <c r="A23" s="9" t="s">
        <v>42</v>
      </c>
      <c r="B23" s="5">
        <v>8</v>
      </c>
      <c r="C23" s="5">
        <v>5</v>
      </c>
      <c r="D23" s="14">
        <v>1.21</v>
      </c>
      <c r="E23" s="14">
        <f>E17+D23</f>
        <v>2.75</v>
      </c>
      <c r="F23" s="7">
        <v>758</v>
      </c>
      <c r="G23" s="7">
        <v>1213</v>
      </c>
      <c r="H23" s="26">
        <f t="shared" si="8"/>
        <v>1.6002638522427441</v>
      </c>
      <c r="I23" s="6">
        <v>0.99</v>
      </c>
      <c r="J23" s="15">
        <v>0.3</v>
      </c>
      <c r="K23" s="5">
        <f>L17</f>
        <v>23</v>
      </c>
      <c r="L23" s="5">
        <v>0</v>
      </c>
      <c r="M23" s="5">
        <f t="shared" si="9"/>
        <v>36</v>
      </c>
      <c r="N23" s="7">
        <f t="shared" si="10"/>
        <v>1895</v>
      </c>
      <c r="O23" s="7">
        <f t="shared" si="11"/>
        <v>6064</v>
      </c>
      <c r="P23" s="7">
        <f t="shared" si="12"/>
        <v>16931.159827269239</v>
      </c>
      <c r="Q23" s="16">
        <f t="shared" si="13"/>
        <v>1563.375</v>
      </c>
      <c r="R23" s="16">
        <f t="shared" si="14"/>
        <v>3902.1839999999997</v>
      </c>
      <c r="S23" s="14">
        <f t="shared" si="15"/>
        <v>13968.206857497122</v>
      </c>
    </row>
    <row r="24" spans="1:24" ht="4" hidden="1" x14ac:dyDescent="0.2">
      <c r="A24" s="9"/>
    </row>
    <row r="25" spans="1:24" ht="6" hidden="1" x14ac:dyDescent="0.2">
      <c r="A25" s="9"/>
    </row>
    <row r="26" spans="1:24" ht="3" hidden="1" x14ac:dyDescent="0.2">
      <c r="A26" t="s">
        <v>33</v>
      </c>
    </row>
    <row r="27" spans="1:24" ht="15" hidden="1" x14ac:dyDescent="0.2">
      <c r="A27" s="9"/>
      <c r="B27" s="13" t="s">
        <v>16</v>
      </c>
      <c r="C27" s="13" t="s">
        <v>17</v>
      </c>
      <c r="D27" s="13" t="s">
        <v>18</v>
      </c>
      <c r="E27" s="13" t="s">
        <v>19</v>
      </c>
      <c r="F27" s="13" t="s">
        <v>20</v>
      </c>
      <c r="G27" s="13" t="s">
        <v>21</v>
      </c>
      <c r="H27" s="13" t="s">
        <v>4</v>
      </c>
      <c r="I27" s="13" t="s">
        <v>22</v>
      </c>
      <c r="J27" s="13" t="s">
        <v>23</v>
      </c>
      <c r="K27" s="13" t="s">
        <v>24</v>
      </c>
      <c r="L27" s="13" t="s">
        <v>25</v>
      </c>
      <c r="M27" s="13" t="s">
        <v>26</v>
      </c>
      <c r="N27" s="13" t="s">
        <v>29</v>
      </c>
      <c r="O27" s="13" t="s">
        <v>27</v>
      </c>
      <c r="P27" s="13" t="s">
        <v>28</v>
      </c>
      <c r="Q27" s="13" t="s">
        <v>30</v>
      </c>
      <c r="R27" s="13" t="s">
        <v>31</v>
      </c>
      <c r="S27" s="13" t="s">
        <v>32</v>
      </c>
    </row>
    <row r="28" spans="1:24" ht="4" hidden="1" x14ac:dyDescent="0.2">
      <c r="A28" s="9" t="s">
        <v>34</v>
      </c>
      <c r="B28" s="5">
        <v>20</v>
      </c>
      <c r="C28" s="5">
        <v>5</v>
      </c>
      <c r="D28" s="14">
        <v>0.95</v>
      </c>
      <c r="E28" s="14">
        <f>D28</f>
        <v>0.95</v>
      </c>
      <c r="F28" s="7">
        <f>F29</f>
        <v>3411</v>
      </c>
      <c r="G28" s="7">
        <f>G29</f>
        <v>2460.9656641245524</v>
      </c>
      <c r="H28" s="26">
        <f t="shared" ref="H28:H36" si="16">G28/F28</f>
        <v>0.72147923310599604</v>
      </c>
      <c r="I28" s="6">
        <v>0.99</v>
      </c>
      <c r="J28" s="15">
        <v>0.3</v>
      </c>
      <c r="K28" s="5">
        <v>0</v>
      </c>
      <c r="L28" s="5">
        <v>0</v>
      </c>
      <c r="M28" s="5">
        <f>K28+B28+C28-L28</f>
        <v>25</v>
      </c>
      <c r="N28" s="7">
        <f>C28*F28/2</f>
        <v>8527.5</v>
      </c>
      <c r="O28" s="7">
        <f>B28*F28</f>
        <v>68220</v>
      </c>
      <c r="P28" s="7">
        <f>NORMSINV(I28)*G28*SQRT(M28)</f>
        <v>28625.311204118294</v>
      </c>
      <c r="Q28" s="16">
        <f>J28*E28*N28</f>
        <v>2430.3374999999996</v>
      </c>
      <c r="R28" s="16">
        <f>J28*(E28-D28/2)*O28</f>
        <v>9721.3499999999985</v>
      </c>
      <c r="S28" s="16">
        <f>J28*E28*P28</f>
        <v>8158.2136931737132</v>
      </c>
      <c r="U28" t="str">
        <f>"Pack center stage time "&amp;B29&amp;" and review period "&amp;C29</f>
        <v>Pack center stage time 5 and review period 5</v>
      </c>
    </row>
    <row r="29" spans="1:24" ht="2" hidden="1" x14ac:dyDescent="0.2">
      <c r="A29" s="9" t="s">
        <v>37</v>
      </c>
      <c r="B29" s="21">
        <v>5</v>
      </c>
      <c r="C29" s="5">
        <v>5</v>
      </c>
      <c r="D29" s="14">
        <v>0.45</v>
      </c>
      <c r="E29" s="14">
        <f>E28+D29</f>
        <v>1.4</v>
      </c>
      <c r="F29" s="7">
        <f>F30</f>
        <v>3411</v>
      </c>
      <c r="G29" s="7">
        <f>G30</f>
        <v>2460.9656641245524</v>
      </c>
      <c r="H29" s="26">
        <f t="shared" si="16"/>
        <v>0.72147923310599604</v>
      </c>
      <c r="I29" s="6">
        <v>0.99</v>
      </c>
      <c r="J29" s="15">
        <v>0.3</v>
      </c>
      <c r="K29" s="5">
        <f>L28</f>
        <v>0</v>
      </c>
      <c r="L29" s="5">
        <f>B29+C29</f>
        <v>10</v>
      </c>
      <c r="M29" s="5">
        <f t="shared" ref="M29:M36" si="17">K29+B29+C29-L29</f>
        <v>0</v>
      </c>
      <c r="N29" s="7">
        <f t="shared" ref="N29:N36" si="18">C29*F29/2</f>
        <v>8527.5</v>
      </c>
      <c r="O29" s="7">
        <f t="shared" ref="O29:O36" si="19">B29*F29</f>
        <v>17055</v>
      </c>
      <c r="P29" s="7">
        <f t="shared" ref="P29:P36" si="20">NORMSINV(I29)*G29*SQRT(M29)</f>
        <v>0</v>
      </c>
      <c r="Q29" s="14">
        <f t="shared" ref="Q29:Q36" si="21">J29*E29*N29</f>
        <v>3581.5499999999997</v>
      </c>
      <c r="R29" s="14">
        <f t="shared" ref="R29:R36" si="22">J29*(E29-D29/2)*O29</f>
        <v>6011.8874999999989</v>
      </c>
      <c r="S29" s="16">
        <f t="shared" ref="S29:S36" si="23">J29*E29*P29</f>
        <v>0</v>
      </c>
      <c r="W29" s="4" t="s">
        <v>13</v>
      </c>
      <c r="X29" s="4" t="s">
        <v>14</v>
      </c>
    </row>
    <row r="30" spans="1:24" ht="6" hidden="1" x14ac:dyDescent="0.2">
      <c r="A30" s="9" t="s">
        <v>36</v>
      </c>
      <c r="B30" s="5">
        <v>2</v>
      </c>
      <c r="C30" s="5">
        <v>1</v>
      </c>
      <c r="D30" s="14">
        <v>0.14000000000000001</v>
      </c>
      <c r="E30" s="28">
        <f>E29+D30</f>
        <v>1.54</v>
      </c>
      <c r="F30" s="7">
        <f>SUM(F31:F36)</f>
        <v>3411</v>
      </c>
      <c r="G30" s="7">
        <f>SQRT(SUMPRODUCT(G31:G36,G31:G36))</f>
        <v>2460.9656641245524</v>
      </c>
      <c r="H30" s="26">
        <f t="shared" si="16"/>
        <v>0.72147923310599604</v>
      </c>
      <c r="I30" s="6">
        <v>0.99</v>
      </c>
      <c r="J30" s="15">
        <v>0.3</v>
      </c>
      <c r="K30" s="5">
        <f>L29</f>
        <v>10</v>
      </c>
      <c r="L30" s="5">
        <v>0</v>
      </c>
      <c r="M30" s="5">
        <f t="shared" si="17"/>
        <v>13</v>
      </c>
      <c r="N30" s="7">
        <f t="shared" si="18"/>
        <v>1705.5</v>
      </c>
      <c r="O30" s="7">
        <f t="shared" si="19"/>
        <v>6822</v>
      </c>
      <c r="P30" s="7">
        <f t="shared" si="20"/>
        <v>20642.005464512466</v>
      </c>
      <c r="Q30" s="14">
        <f t="shared" si="21"/>
        <v>787.94099999999992</v>
      </c>
      <c r="R30" s="14">
        <f t="shared" si="22"/>
        <v>3008.502</v>
      </c>
      <c r="S30" s="14">
        <f t="shared" si="23"/>
        <v>9536.6065246047583</v>
      </c>
      <c r="V30" s="9" t="s">
        <v>9</v>
      </c>
      <c r="W30" s="11">
        <f>SUM(Q28:Q36)</f>
        <v>13111.475999999997</v>
      </c>
      <c r="X30" s="11">
        <f>SUM(Q40:Q47)</f>
        <v>12681.689999999999</v>
      </c>
    </row>
    <row r="31" spans="1:24" ht="3" hidden="1" x14ac:dyDescent="0.2">
      <c r="A31" s="9" t="s">
        <v>35</v>
      </c>
      <c r="B31" s="5">
        <v>6</v>
      </c>
      <c r="C31" s="5">
        <v>5</v>
      </c>
      <c r="D31" s="14">
        <v>0.76</v>
      </c>
      <c r="E31" s="14">
        <f>E30+D31</f>
        <v>2.2999999999999998</v>
      </c>
      <c r="F31" s="7">
        <v>930</v>
      </c>
      <c r="G31" s="7">
        <v>1674</v>
      </c>
      <c r="H31" s="26">
        <f t="shared" si="16"/>
        <v>1.8</v>
      </c>
      <c r="I31" s="6">
        <v>0.99</v>
      </c>
      <c r="J31" s="15">
        <v>0.3</v>
      </c>
      <c r="K31" s="5">
        <f>L30</f>
        <v>0</v>
      </c>
      <c r="L31" s="5">
        <v>0</v>
      </c>
      <c r="M31" s="5">
        <f t="shared" si="17"/>
        <v>11</v>
      </c>
      <c r="N31" s="7">
        <f t="shared" si="18"/>
        <v>2325</v>
      </c>
      <c r="O31" s="7">
        <f t="shared" si="19"/>
        <v>5580</v>
      </c>
      <c r="P31" s="7">
        <f t="shared" si="20"/>
        <v>12915.952952277641</v>
      </c>
      <c r="Q31" s="16">
        <f t="shared" si="21"/>
        <v>1604.2499999999998</v>
      </c>
      <c r="R31" s="16">
        <f t="shared" si="22"/>
        <v>3214.08</v>
      </c>
      <c r="S31" s="14">
        <f t="shared" si="23"/>
        <v>8912.0075370715713</v>
      </c>
      <c r="V31" s="9" t="s">
        <v>10</v>
      </c>
      <c r="W31" s="11">
        <f>SUM(R28:R36)</f>
        <v>32077.696500000002</v>
      </c>
      <c r="X31" s="11">
        <f>SUM(R40:R47)</f>
        <v>29427.3495</v>
      </c>
    </row>
    <row r="32" spans="1:24" ht="4" hidden="1" x14ac:dyDescent="0.2">
      <c r="A32" s="9" t="s">
        <v>38</v>
      </c>
      <c r="B32" s="5">
        <v>6</v>
      </c>
      <c r="C32" s="5">
        <v>5</v>
      </c>
      <c r="D32" s="14">
        <v>0.85</v>
      </c>
      <c r="E32" s="14">
        <f>E30+D32</f>
        <v>2.39</v>
      </c>
      <c r="F32" s="7">
        <v>517</v>
      </c>
      <c r="G32" s="7">
        <v>672</v>
      </c>
      <c r="H32" s="26">
        <f t="shared" si="16"/>
        <v>1.299806576402321</v>
      </c>
      <c r="I32" s="6">
        <v>0.99</v>
      </c>
      <c r="J32" s="15">
        <v>0.3</v>
      </c>
      <c r="K32" s="5">
        <f>L30</f>
        <v>0</v>
      </c>
      <c r="L32" s="5">
        <v>0</v>
      </c>
      <c r="M32" s="5">
        <f t="shared" si="17"/>
        <v>11</v>
      </c>
      <c r="N32" s="7">
        <f t="shared" si="18"/>
        <v>1292.5</v>
      </c>
      <c r="O32" s="7">
        <f t="shared" si="19"/>
        <v>3102</v>
      </c>
      <c r="P32" s="7">
        <f t="shared" si="20"/>
        <v>5184.8986761831393</v>
      </c>
      <c r="Q32" s="16">
        <f t="shared" si="21"/>
        <v>926.72249999999997</v>
      </c>
      <c r="R32" s="16">
        <f t="shared" si="22"/>
        <v>1828.6290000000001</v>
      </c>
      <c r="S32" s="14">
        <f t="shared" si="23"/>
        <v>3717.5723508233109</v>
      </c>
      <c r="V32" s="9" t="s">
        <v>11</v>
      </c>
      <c r="W32" s="11">
        <f>SUM(S28:S36)</f>
        <v>49425.969816723518</v>
      </c>
      <c r="X32" s="11">
        <f>SUM(S40:S47)</f>
        <v>51558.529251274253</v>
      </c>
    </row>
    <row r="33" spans="1:24" ht="10" hidden="1" x14ac:dyDescent="0.2">
      <c r="A33" s="9" t="s">
        <v>39</v>
      </c>
      <c r="B33" s="5">
        <v>4</v>
      </c>
      <c r="C33" s="5">
        <v>5</v>
      </c>
      <c r="D33" s="14">
        <v>0.86</v>
      </c>
      <c r="E33" s="14">
        <f>E30+D33</f>
        <v>2.4</v>
      </c>
      <c r="F33" s="7">
        <v>586</v>
      </c>
      <c r="G33" s="7">
        <v>879</v>
      </c>
      <c r="H33" s="26">
        <f t="shared" si="16"/>
        <v>1.5</v>
      </c>
      <c r="I33" s="6">
        <v>0.99</v>
      </c>
      <c r="J33" s="15">
        <v>0.3</v>
      </c>
      <c r="K33" s="5">
        <f>L30</f>
        <v>0</v>
      </c>
      <c r="L33" s="5">
        <v>0</v>
      </c>
      <c r="M33" s="5">
        <f t="shared" si="17"/>
        <v>9</v>
      </c>
      <c r="N33" s="7">
        <f t="shared" si="18"/>
        <v>1465</v>
      </c>
      <c r="O33" s="7">
        <f t="shared" si="19"/>
        <v>2344</v>
      </c>
      <c r="P33" s="7">
        <f t="shared" si="20"/>
        <v>6134.5793438456976</v>
      </c>
      <c r="Q33" s="16">
        <f t="shared" si="21"/>
        <v>1054.8</v>
      </c>
      <c r="R33" s="16">
        <f t="shared" si="22"/>
        <v>1385.3039999999999</v>
      </c>
      <c r="S33" s="14">
        <f t="shared" si="23"/>
        <v>4416.8971275689019</v>
      </c>
      <c r="V33" s="9" t="s">
        <v>12</v>
      </c>
      <c r="W33" s="3">
        <f>SUM(W30:W32)</f>
        <v>94615.142316723519</v>
      </c>
      <c r="X33" s="3">
        <f>SUM(X30:X32)</f>
        <v>93667.568751274259</v>
      </c>
    </row>
    <row r="34" spans="1:24" ht="5" hidden="1" x14ac:dyDescent="0.2">
      <c r="A34" s="9" t="s">
        <v>40</v>
      </c>
      <c r="B34" s="5">
        <v>8</v>
      </c>
      <c r="C34" s="5">
        <v>5</v>
      </c>
      <c r="D34" s="14">
        <v>0.96</v>
      </c>
      <c r="E34" s="14">
        <f>E30+D34</f>
        <v>2.5</v>
      </c>
      <c r="F34" s="7">
        <v>173</v>
      </c>
      <c r="G34" s="7">
        <v>329</v>
      </c>
      <c r="H34" s="26">
        <f t="shared" si="16"/>
        <v>1.9017341040462428</v>
      </c>
      <c r="I34" s="6">
        <v>0.99</v>
      </c>
      <c r="J34" s="15">
        <v>0.3</v>
      </c>
      <c r="K34" s="5">
        <f>L30</f>
        <v>0</v>
      </c>
      <c r="L34" s="5">
        <v>0</v>
      </c>
      <c r="M34" s="5">
        <f t="shared" si="17"/>
        <v>13</v>
      </c>
      <c r="N34" s="7">
        <f t="shared" si="18"/>
        <v>432.5</v>
      </c>
      <c r="O34" s="7">
        <f t="shared" si="19"/>
        <v>1384</v>
      </c>
      <c r="P34" s="7">
        <f t="shared" si="20"/>
        <v>2759.5751931144737</v>
      </c>
      <c r="Q34" s="16">
        <f t="shared" si="21"/>
        <v>324.375</v>
      </c>
      <c r="R34" s="16">
        <f t="shared" si="22"/>
        <v>838.70399999999995</v>
      </c>
      <c r="S34" s="14">
        <f t="shared" si="23"/>
        <v>2069.6813948358554</v>
      </c>
      <c r="V34" s="9" t="s">
        <v>15</v>
      </c>
      <c r="W34" s="12">
        <f>(W33-X33)/W33</f>
        <v>1.0015030810578546E-2</v>
      </c>
    </row>
    <row r="35" spans="1:24" ht="4" hidden="1" x14ac:dyDescent="0.2">
      <c r="A35" s="9" t="s">
        <v>41</v>
      </c>
      <c r="B35" s="5">
        <v>8</v>
      </c>
      <c r="C35" s="5">
        <v>5</v>
      </c>
      <c r="D35" s="14">
        <v>0.96</v>
      </c>
      <c r="E35" s="14">
        <f>E30+D35</f>
        <v>2.5</v>
      </c>
      <c r="F35" s="7">
        <v>447</v>
      </c>
      <c r="G35" s="7">
        <v>671</v>
      </c>
      <c r="H35" s="26">
        <f t="shared" si="16"/>
        <v>1.5011185682326622</v>
      </c>
      <c r="I35" s="6">
        <v>0.99</v>
      </c>
      <c r="J35" s="15">
        <v>0.3</v>
      </c>
      <c r="K35" s="5">
        <f>L30</f>
        <v>0</v>
      </c>
      <c r="L35" s="5">
        <v>0</v>
      </c>
      <c r="M35" s="5">
        <f t="shared" si="17"/>
        <v>13</v>
      </c>
      <c r="N35" s="7">
        <f t="shared" si="18"/>
        <v>1117.5</v>
      </c>
      <c r="O35" s="7">
        <f t="shared" si="19"/>
        <v>3576</v>
      </c>
      <c r="P35" s="7">
        <f t="shared" si="20"/>
        <v>5628.1913513064192</v>
      </c>
      <c r="Q35" s="16">
        <f t="shared" si="21"/>
        <v>838.125</v>
      </c>
      <c r="R35" s="16">
        <f t="shared" si="22"/>
        <v>2167.056</v>
      </c>
      <c r="S35" s="14">
        <f t="shared" si="23"/>
        <v>4221.1435134798139</v>
      </c>
      <c r="V35" s="9"/>
      <c r="W35" s="24"/>
    </row>
    <row r="36" spans="1:24" ht="10" hidden="1" x14ac:dyDescent="0.2">
      <c r="A36" s="9" t="s">
        <v>42</v>
      </c>
      <c r="B36" s="5">
        <v>8</v>
      </c>
      <c r="C36" s="5">
        <v>5</v>
      </c>
      <c r="D36" s="14">
        <v>1.21</v>
      </c>
      <c r="E36" s="14">
        <f>E30+D36</f>
        <v>2.75</v>
      </c>
      <c r="F36" s="7">
        <v>758</v>
      </c>
      <c r="G36" s="7">
        <v>1213</v>
      </c>
      <c r="H36" s="26">
        <f t="shared" si="16"/>
        <v>1.6002638522427441</v>
      </c>
      <c r="I36" s="6">
        <v>0.99</v>
      </c>
      <c r="J36" s="15">
        <v>0.3</v>
      </c>
      <c r="K36" s="5">
        <f>L30</f>
        <v>0</v>
      </c>
      <c r="L36" s="5">
        <v>0</v>
      </c>
      <c r="M36" s="5">
        <f t="shared" si="17"/>
        <v>13</v>
      </c>
      <c r="N36" s="7">
        <f t="shared" si="18"/>
        <v>1895</v>
      </c>
      <c r="O36" s="7">
        <f t="shared" si="19"/>
        <v>6064</v>
      </c>
      <c r="P36" s="7">
        <f t="shared" si="20"/>
        <v>10174.360818382542</v>
      </c>
      <c r="Q36" s="16">
        <f t="shared" si="21"/>
        <v>1563.375</v>
      </c>
      <c r="R36" s="16">
        <f t="shared" si="22"/>
        <v>3902.1839999999997</v>
      </c>
      <c r="S36" s="14">
        <f t="shared" si="23"/>
        <v>8393.8476751655962</v>
      </c>
    </row>
    <row r="37" spans="1:24" ht="3" hidden="1" x14ac:dyDescent="0.2">
      <c r="A37" s="9"/>
    </row>
    <row r="38" spans="1:24" ht="5" hidden="1" x14ac:dyDescent="0.2">
      <c r="A38" t="s">
        <v>49</v>
      </c>
    </row>
    <row r="39" spans="1:24" ht="51" x14ac:dyDescent="0.2">
      <c r="A39" s="9"/>
      <c r="B39" s="13" t="s">
        <v>16</v>
      </c>
      <c r="C39" s="13" t="s">
        <v>17</v>
      </c>
      <c r="D39" s="13" t="s">
        <v>18</v>
      </c>
      <c r="E39" s="13" t="s">
        <v>19</v>
      </c>
      <c r="F39" s="13" t="s">
        <v>20</v>
      </c>
      <c r="G39" s="13" t="s">
        <v>21</v>
      </c>
      <c r="H39" s="13" t="s">
        <v>4</v>
      </c>
      <c r="I39" s="13" t="s">
        <v>22</v>
      </c>
      <c r="J39" s="13" t="s">
        <v>23</v>
      </c>
      <c r="K39" s="13" t="s">
        <v>24</v>
      </c>
      <c r="L39" s="13" t="s">
        <v>25</v>
      </c>
      <c r="M39" s="13" t="s">
        <v>26</v>
      </c>
      <c r="N39" s="13" t="s">
        <v>29</v>
      </c>
      <c r="O39" s="13" t="s">
        <v>27</v>
      </c>
      <c r="P39" s="13" t="s">
        <v>28</v>
      </c>
      <c r="Q39" s="13" t="s">
        <v>30</v>
      </c>
      <c r="R39" s="13" t="s">
        <v>31</v>
      </c>
      <c r="S39" s="13" t="s">
        <v>32</v>
      </c>
      <c r="U39" t="str">
        <f>"ONLY VARIABLE COST COMPONENTS:  "&amp;U28</f>
        <v>ONLY VARIABLE COST COMPONENTS:  Pack center stage time 5 and review period 5</v>
      </c>
    </row>
    <row r="40" spans="1:24" x14ac:dyDescent="0.2">
      <c r="A40" s="9" t="s">
        <v>34</v>
      </c>
      <c r="B40" s="5">
        <v>20</v>
      </c>
      <c r="C40" s="5">
        <v>5</v>
      </c>
      <c r="D40" s="14">
        <f>D28</f>
        <v>0.95</v>
      </c>
      <c r="E40" s="14">
        <v>0.95</v>
      </c>
      <c r="F40" s="7">
        <f>F41</f>
        <v>3411</v>
      </c>
      <c r="G40" s="7">
        <f>G41</f>
        <v>2460.9656641245524</v>
      </c>
      <c r="H40" s="26">
        <f t="shared" ref="H40:H47" si="24">G40/F40</f>
        <v>0.72147923310599604</v>
      </c>
      <c r="I40" s="6">
        <v>0.99</v>
      </c>
      <c r="J40" s="15">
        <v>0.3</v>
      </c>
      <c r="K40" s="5">
        <v>0</v>
      </c>
      <c r="L40" s="5">
        <v>0</v>
      </c>
      <c r="M40" s="5">
        <f>K40+B40+C40-L40</f>
        <v>25</v>
      </c>
      <c r="N40" s="7">
        <f>C40*F40/2</f>
        <v>8527.5</v>
      </c>
      <c r="O40" s="7">
        <f>B40*F40</f>
        <v>68220</v>
      </c>
      <c r="P40" s="7">
        <f>NORMSINV(I40)*G40*SQRT(M40)</f>
        <v>28625.311204118294</v>
      </c>
      <c r="Q40" s="16">
        <f>J40*E40*N40</f>
        <v>2430.3374999999996</v>
      </c>
      <c r="R40" s="16">
        <f>J40*(E40-D40/2)*O40</f>
        <v>9721.3499999999985</v>
      </c>
      <c r="S40" s="16">
        <f>J40*E40*P40</f>
        <v>8158.2136931737132</v>
      </c>
      <c r="W40" s="4" t="s">
        <v>13</v>
      </c>
      <c r="X40" s="4" t="s">
        <v>14</v>
      </c>
    </row>
    <row r="41" spans="1:24" x14ac:dyDescent="0.2">
      <c r="A41" s="9" t="s">
        <v>37</v>
      </c>
      <c r="B41" s="5">
        <f>B29</f>
        <v>5</v>
      </c>
      <c r="C41" s="5">
        <v>5</v>
      </c>
      <c r="D41" s="14">
        <f>D29+D30</f>
        <v>0.59000000000000008</v>
      </c>
      <c r="E41" s="14">
        <f>E40+D41</f>
        <v>1.54</v>
      </c>
      <c r="F41" s="7">
        <f>SUM(F42:F47)</f>
        <v>3411</v>
      </c>
      <c r="G41" s="7">
        <f>SQRT(SUMPRODUCT(G42:G47,G42:G47))</f>
        <v>2460.9656641245524</v>
      </c>
      <c r="H41" s="26">
        <f t="shared" si="24"/>
        <v>0.72147923310599604</v>
      </c>
      <c r="I41" s="6">
        <v>0.99</v>
      </c>
      <c r="J41" s="15">
        <v>0.3</v>
      </c>
      <c r="K41" s="5">
        <f>L40</f>
        <v>0</v>
      </c>
      <c r="L41" s="5">
        <f>L40+B41+C41</f>
        <v>10</v>
      </c>
      <c r="M41" s="5">
        <f t="shared" ref="M41:M47" si="25">K41+B41+C41-L41</f>
        <v>0</v>
      </c>
      <c r="N41" s="7">
        <f t="shared" ref="N41:N47" si="26">C41*F41/2</f>
        <v>8527.5</v>
      </c>
      <c r="O41" s="7">
        <f t="shared" ref="O41:O47" si="27">B41*F41</f>
        <v>17055</v>
      </c>
      <c r="P41" s="7">
        <f t="shared" ref="P41:P47" si="28">NORMSINV(I41)*G41*SQRT(M41)</f>
        <v>0</v>
      </c>
      <c r="Q41" s="14">
        <f t="shared" ref="Q41:Q47" si="29">J41*E41*N41</f>
        <v>3939.7049999999999</v>
      </c>
      <c r="R41" s="14">
        <f t="shared" ref="R41:R47" si="30">J41*(E41-D41/2)*O41</f>
        <v>6370.0424999999996</v>
      </c>
      <c r="S41" s="16">
        <f t="shared" ref="S41:S47" si="31">J41*E41*P41</f>
        <v>0</v>
      </c>
      <c r="V41" s="9" t="s">
        <v>9</v>
      </c>
      <c r="W41" s="11">
        <f>SUM(Q29:Q30)</f>
        <v>4369.491</v>
      </c>
      <c r="X41" s="11">
        <f>Q41</f>
        <v>3939.7049999999999</v>
      </c>
    </row>
    <row r="42" spans="1:24" x14ac:dyDescent="0.2">
      <c r="A42" s="9" t="s">
        <v>35</v>
      </c>
      <c r="B42" s="5">
        <v>6</v>
      </c>
      <c r="C42" s="5">
        <v>5</v>
      </c>
      <c r="D42" s="14">
        <v>0.76</v>
      </c>
      <c r="E42" s="14">
        <f>E41+D42</f>
        <v>2.2999999999999998</v>
      </c>
      <c r="F42" s="7">
        <v>930</v>
      </c>
      <c r="G42" s="7">
        <v>1674</v>
      </c>
      <c r="H42" s="26">
        <f t="shared" si="24"/>
        <v>1.8</v>
      </c>
      <c r="I42" s="6">
        <v>0.99</v>
      </c>
      <c r="J42" s="15">
        <v>0.3</v>
      </c>
      <c r="K42" s="5">
        <f>L41</f>
        <v>10</v>
      </c>
      <c r="L42" s="5">
        <v>0</v>
      </c>
      <c r="M42" s="5">
        <f t="shared" si="25"/>
        <v>21</v>
      </c>
      <c r="N42" s="7">
        <f t="shared" si="26"/>
        <v>2325</v>
      </c>
      <c r="O42" s="7">
        <f t="shared" si="27"/>
        <v>5580</v>
      </c>
      <c r="P42" s="7">
        <f t="shared" si="28"/>
        <v>17845.953587640583</v>
      </c>
      <c r="Q42" s="16">
        <f t="shared" si="29"/>
        <v>1604.2499999999998</v>
      </c>
      <c r="R42" s="16">
        <f t="shared" si="30"/>
        <v>3214.08</v>
      </c>
      <c r="S42" s="14">
        <f t="shared" si="31"/>
        <v>12313.707975472002</v>
      </c>
      <c r="V42" s="9" t="s">
        <v>10</v>
      </c>
      <c r="W42" s="11">
        <f>SUM(R29:R30)</f>
        <v>9020.3894999999993</v>
      </c>
      <c r="X42" s="11">
        <f>R41</f>
        <v>6370.0424999999996</v>
      </c>
    </row>
    <row r="43" spans="1:24" x14ac:dyDescent="0.2">
      <c r="A43" s="9" t="s">
        <v>38</v>
      </c>
      <c r="B43" s="5">
        <v>6</v>
      </c>
      <c r="C43" s="5">
        <v>5</v>
      </c>
      <c r="D43" s="14">
        <v>0.85</v>
      </c>
      <c r="E43" s="14">
        <f>E41+D43</f>
        <v>2.39</v>
      </c>
      <c r="F43" s="7">
        <v>517</v>
      </c>
      <c r="G43" s="7">
        <v>672</v>
      </c>
      <c r="H43" s="26">
        <f t="shared" si="24"/>
        <v>1.299806576402321</v>
      </c>
      <c r="I43" s="6">
        <v>0.99</v>
      </c>
      <c r="J43" s="15">
        <v>0.3</v>
      </c>
      <c r="K43" s="5">
        <f>L41</f>
        <v>10</v>
      </c>
      <c r="L43" s="5">
        <v>0</v>
      </c>
      <c r="M43" s="5">
        <f t="shared" si="25"/>
        <v>21</v>
      </c>
      <c r="N43" s="7">
        <f t="shared" si="26"/>
        <v>1292.5</v>
      </c>
      <c r="O43" s="7">
        <f t="shared" si="27"/>
        <v>3102</v>
      </c>
      <c r="P43" s="7">
        <f t="shared" si="28"/>
        <v>7163.9670315976527</v>
      </c>
      <c r="Q43" s="16">
        <f t="shared" si="29"/>
        <v>926.72249999999997</v>
      </c>
      <c r="R43" s="16">
        <f t="shared" si="30"/>
        <v>1828.6290000000001</v>
      </c>
      <c r="S43" s="14">
        <f t="shared" si="31"/>
        <v>5136.5643616555171</v>
      </c>
      <c r="V43" s="9" t="s">
        <v>11</v>
      </c>
      <c r="W43" s="11">
        <f>SUM(S30:S36)</f>
        <v>41267.756123549807</v>
      </c>
      <c r="X43" s="11">
        <f>SUM(S42:S47)</f>
        <v>43400.315558100534</v>
      </c>
    </row>
    <row r="44" spans="1:24" x14ac:dyDescent="0.2">
      <c r="A44" s="9" t="s">
        <v>39</v>
      </c>
      <c r="B44" s="5">
        <v>4</v>
      </c>
      <c r="C44" s="5">
        <v>5</v>
      </c>
      <c r="D44" s="14">
        <v>0.86</v>
      </c>
      <c r="E44" s="14">
        <f>E41+D44</f>
        <v>2.4</v>
      </c>
      <c r="F44" s="7">
        <v>586</v>
      </c>
      <c r="G44" s="7">
        <v>879</v>
      </c>
      <c r="H44" s="26">
        <f t="shared" si="24"/>
        <v>1.5</v>
      </c>
      <c r="I44" s="6">
        <v>0.99</v>
      </c>
      <c r="J44" s="15">
        <v>0.3</v>
      </c>
      <c r="K44" s="5">
        <f>L41</f>
        <v>10</v>
      </c>
      <c r="L44" s="5">
        <v>0</v>
      </c>
      <c r="M44" s="5">
        <f t="shared" si="25"/>
        <v>19</v>
      </c>
      <c r="N44" s="7">
        <f t="shared" si="26"/>
        <v>1465</v>
      </c>
      <c r="O44" s="7">
        <f t="shared" si="27"/>
        <v>2344</v>
      </c>
      <c r="P44" s="7">
        <f t="shared" si="28"/>
        <v>8913.3371403184847</v>
      </c>
      <c r="Q44" s="16">
        <f t="shared" si="29"/>
        <v>1054.8</v>
      </c>
      <c r="R44" s="16">
        <f t="shared" si="30"/>
        <v>1385.3039999999999</v>
      </c>
      <c r="S44" s="14">
        <f t="shared" si="31"/>
        <v>6417.6027410293091</v>
      </c>
      <c r="V44" s="9" t="s">
        <v>12</v>
      </c>
      <c r="W44" s="3">
        <f>SUM(W41:W43)</f>
        <v>54657.636623549806</v>
      </c>
      <c r="X44" s="3">
        <f>SUM(X41:X43)</f>
        <v>53710.063058100532</v>
      </c>
    </row>
    <row r="45" spans="1:24" x14ac:dyDescent="0.2">
      <c r="A45" s="9" t="s">
        <v>40</v>
      </c>
      <c r="B45" s="5">
        <v>8</v>
      </c>
      <c r="C45" s="5">
        <v>5</v>
      </c>
      <c r="D45" s="14">
        <v>0.96</v>
      </c>
      <c r="E45" s="14">
        <f>E41+D45</f>
        <v>2.5</v>
      </c>
      <c r="F45" s="7">
        <v>173</v>
      </c>
      <c r="G45" s="7">
        <v>329</v>
      </c>
      <c r="H45" s="26">
        <f t="shared" si="24"/>
        <v>1.9017341040462428</v>
      </c>
      <c r="I45" s="6">
        <v>0.99</v>
      </c>
      <c r="J45" s="15">
        <v>0.3</v>
      </c>
      <c r="K45" s="5">
        <f>L41</f>
        <v>10</v>
      </c>
      <c r="L45" s="5">
        <v>0</v>
      </c>
      <c r="M45" s="5">
        <f t="shared" si="25"/>
        <v>23</v>
      </c>
      <c r="N45" s="7">
        <f t="shared" si="26"/>
        <v>432.5</v>
      </c>
      <c r="O45" s="7">
        <f t="shared" si="27"/>
        <v>1384</v>
      </c>
      <c r="P45" s="7">
        <f t="shared" si="28"/>
        <v>3670.5781421419583</v>
      </c>
      <c r="Q45" s="16">
        <f t="shared" si="29"/>
        <v>324.375</v>
      </c>
      <c r="R45" s="16">
        <f t="shared" si="30"/>
        <v>838.70399999999995</v>
      </c>
      <c r="S45" s="14">
        <f t="shared" si="31"/>
        <v>2752.9336066064689</v>
      </c>
      <c r="V45" s="9" t="s">
        <v>15</v>
      </c>
      <c r="W45" s="25">
        <f>(W44-X44)/W44</f>
        <v>1.733652649446981E-2</v>
      </c>
    </row>
    <row r="46" spans="1:24" x14ac:dyDescent="0.2">
      <c r="A46" s="9" t="s">
        <v>41</v>
      </c>
      <c r="B46" s="5">
        <v>8</v>
      </c>
      <c r="C46" s="5">
        <v>5</v>
      </c>
      <c r="D46" s="14">
        <v>0.96</v>
      </c>
      <c r="E46" s="14">
        <f>E41+D46</f>
        <v>2.5</v>
      </c>
      <c r="F46" s="7">
        <v>447</v>
      </c>
      <c r="G46" s="7">
        <v>671</v>
      </c>
      <c r="H46" s="26">
        <f t="shared" si="24"/>
        <v>1.5011185682326622</v>
      </c>
      <c r="I46" s="6">
        <v>0.99</v>
      </c>
      <c r="J46" s="15">
        <v>0.3</v>
      </c>
      <c r="K46" s="5">
        <f>L41</f>
        <v>10</v>
      </c>
      <c r="L46" s="5">
        <v>0</v>
      </c>
      <c r="M46" s="5">
        <f t="shared" si="25"/>
        <v>23</v>
      </c>
      <c r="N46" s="7">
        <f t="shared" si="26"/>
        <v>1117.5</v>
      </c>
      <c r="O46" s="7">
        <f t="shared" si="27"/>
        <v>3576</v>
      </c>
      <c r="P46" s="7">
        <f t="shared" si="28"/>
        <v>7486.1943263746325</v>
      </c>
      <c r="Q46" s="16">
        <f t="shared" si="29"/>
        <v>838.125</v>
      </c>
      <c r="R46" s="16">
        <f t="shared" si="30"/>
        <v>2167.056</v>
      </c>
      <c r="S46" s="14">
        <f t="shared" si="31"/>
        <v>5614.6457447809744</v>
      </c>
      <c r="U46" s="9"/>
      <c r="W46" s="9" t="s">
        <v>47</v>
      </c>
      <c r="X46" s="2">
        <f>SUM(Q28:S28,S29,Q31:R36)</f>
        <v>39957.505693173713</v>
      </c>
    </row>
    <row r="47" spans="1:24" x14ac:dyDescent="0.2">
      <c r="A47" s="9" t="s">
        <v>42</v>
      </c>
      <c r="B47" s="5">
        <v>8</v>
      </c>
      <c r="C47" s="5">
        <v>5</v>
      </c>
      <c r="D47" s="14">
        <v>1.21</v>
      </c>
      <c r="E47" s="14">
        <f>E41+D47</f>
        <v>2.75</v>
      </c>
      <c r="F47" s="7">
        <v>758</v>
      </c>
      <c r="G47" s="7">
        <v>1213</v>
      </c>
      <c r="H47" s="26">
        <f t="shared" si="24"/>
        <v>1.6002638522427441</v>
      </c>
      <c r="I47" s="6">
        <v>0.99</v>
      </c>
      <c r="J47" s="15">
        <v>0.3</v>
      </c>
      <c r="K47" s="5">
        <f>L41</f>
        <v>10</v>
      </c>
      <c r="L47" s="5">
        <v>0</v>
      </c>
      <c r="M47" s="5">
        <f t="shared" si="25"/>
        <v>23</v>
      </c>
      <c r="N47" s="7">
        <f t="shared" si="26"/>
        <v>1895</v>
      </c>
      <c r="O47" s="7">
        <f t="shared" si="27"/>
        <v>6064</v>
      </c>
      <c r="P47" s="7">
        <f t="shared" si="28"/>
        <v>13533.165004310624</v>
      </c>
      <c r="Q47" s="16">
        <f t="shared" si="29"/>
        <v>1563.375</v>
      </c>
      <c r="R47" s="16">
        <f t="shared" si="30"/>
        <v>3902.1839999999997</v>
      </c>
      <c r="S47" s="14">
        <f t="shared" si="31"/>
        <v>11164.861128556264</v>
      </c>
    </row>
    <row r="50" spans="1:14" ht="51" x14ac:dyDescent="0.2">
      <c r="A50" t="s">
        <v>52</v>
      </c>
      <c r="I50" s="18" t="s">
        <v>43</v>
      </c>
      <c r="J50" s="18" t="s">
        <v>44</v>
      </c>
      <c r="K50" s="18" t="s">
        <v>45</v>
      </c>
      <c r="L50" s="18" t="s">
        <v>15</v>
      </c>
      <c r="M50" s="2"/>
      <c r="N50" s="2"/>
    </row>
    <row r="51" spans="1:14" x14ac:dyDescent="0.2">
      <c r="B51" s="4" t="s">
        <v>7</v>
      </c>
      <c r="C51" s="4" t="s">
        <v>8</v>
      </c>
      <c r="D51" s="4" t="s">
        <v>4</v>
      </c>
      <c r="J51" s="2">
        <f>W9</f>
        <v>114196.24157823055</v>
      </c>
      <c r="K51" s="2">
        <f>X9</f>
        <v>121798.75806452721</v>
      </c>
      <c r="L51" s="17">
        <f>W10</f>
        <v>-6.6574139229341731E-2</v>
      </c>
    </row>
    <row r="52" spans="1:14" x14ac:dyDescent="0.2">
      <c r="A52" s="8" t="s">
        <v>0</v>
      </c>
      <c r="B52" s="7">
        <f t="shared" ref="B52:B57" si="32">20*F7</f>
        <v>18600</v>
      </c>
      <c r="C52" s="7">
        <f t="shared" ref="C52:C57" si="33">SQRT(20)*G7</f>
        <v>7486.3555886692966</v>
      </c>
      <c r="D52" s="6">
        <f t="shared" ref="D52:D57" si="34">C52/B52</f>
        <v>0.4024922359499622</v>
      </c>
      <c r="I52" s="1">
        <v>0</v>
      </c>
      <c r="J52" s="10">
        <f t="dataTable" ref="J52:L72" dt2D="0" dtr="0" r1="B5"/>
        <v>86547.77794787506</v>
      </c>
      <c r="K52" s="10">
        <v>81917.303132027839</v>
      </c>
      <c r="L52" s="29">
        <v>5.3501949161953145E-2</v>
      </c>
    </row>
    <row r="53" spans="1:14" x14ac:dyDescent="0.2">
      <c r="A53" s="8" t="s">
        <v>1</v>
      </c>
      <c r="B53" s="7">
        <f t="shared" si="32"/>
        <v>10340</v>
      </c>
      <c r="C53" s="7">
        <f t="shared" si="33"/>
        <v>3005.2753617597173</v>
      </c>
      <c r="D53" s="6">
        <f t="shared" si="34"/>
        <v>0.29064558624368642</v>
      </c>
      <c r="I53" s="1">
        <v>1</v>
      </c>
      <c r="J53" s="10">
        <v>88203.962057900353</v>
      </c>
      <c r="K53" s="10">
        <v>84326.940302958974</v>
      </c>
      <c r="L53" s="29">
        <v>4.3955188230618919E-2</v>
      </c>
    </row>
    <row r="54" spans="1:14" x14ac:dyDescent="0.2">
      <c r="A54" s="8" t="s">
        <v>2</v>
      </c>
      <c r="B54" s="7">
        <f t="shared" si="32"/>
        <v>11720</v>
      </c>
      <c r="C54" s="7">
        <f t="shared" si="33"/>
        <v>3931.0075044446303</v>
      </c>
      <c r="D54" s="6">
        <f t="shared" si="34"/>
        <v>0.33541019662496846</v>
      </c>
      <c r="I54" s="1">
        <v>2</v>
      </c>
      <c r="J54" s="10">
        <v>89835.560521499108</v>
      </c>
      <c r="K54" s="10">
        <v>86704.331403698423</v>
      </c>
      <c r="L54" s="29">
        <v>3.4855118614764265E-2</v>
      </c>
    </row>
    <row r="55" spans="1:14" x14ac:dyDescent="0.2">
      <c r="A55" s="8" t="s">
        <v>3</v>
      </c>
      <c r="B55" s="7">
        <f t="shared" si="32"/>
        <v>3460</v>
      </c>
      <c r="C55" s="7">
        <f t="shared" si="33"/>
        <v>1471.3327291948617</v>
      </c>
      <c r="D55" s="6">
        <f t="shared" si="34"/>
        <v>0.4252406731777057</v>
      </c>
      <c r="I55" s="1">
        <v>3</v>
      </c>
      <c r="J55" s="10">
        <v>91446.182901779204</v>
      </c>
      <c r="K55" s="10">
        <v>89052.093638982798</v>
      </c>
      <c r="L55" s="29">
        <v>2.6180308317164606E-2</v>
      </c>
    </row>
    <row r="56" spans="1:14" x14ac:dyDescent="0.2">
      <c r="A56" s="8" t="s">
        <v>5</v>
      </c>
      <c r="B56" s="7">
        <f t="shared" si="32"/>
        <v>8940</v>
      </c>
      <c r="C56" s="7">
        <f t="shared" si="33"/>
        <v>3000.8032258047178</v>
      </c>
      <c r="D56" s="6">
        <f t="shared" si="34"/>
        <v>0.33566031608553892</v>
      </c>
      <c r="I56" s="1">
        <v>4</v>
      </c>
      <c r="J56" s="10">
        <v>93038.633470221801</v>
      </c>
      <c r="K56" s="10">
        <v>91372.506206600636</v>
      </c>
      <c r="L56" s="29">
        <v>1.7907907731194595E-2</v>
      </c>
    </row>
    <row r="57" spans="1:14" x14ac:dyDescent="0.2">
      <c r="A57" s="8" t="s">
        <v>6</v>
      </c>
      <c r="B57" s="7">
        <f t="shared" si="32"/>
        <v>15160</v>
      </c>
      <c r="C57" s="7">
        <f t="shared" si="33"/>
        <v>5424.7009134144901</v>
      </c>
      <c r="D57" s="6">
        <f t="shared" si="34"/>
        <v>0.35782987555504553</v>
      </c>
      <c r="I57" s="1">
        <v>5</v>
      </c>
      <c r="J57" s="10">
        <v>94615.142316723519</v>
      </c>
      <c r="K57" s="10">
        <v>93667.568751274259</v>
      </c>
      <c r="L57" s="29">
        <v>1.0015030810578546E-2</v>
      </c>
    </row>
    <row r="58" spans="1:14" x14ac:dyDescent="0.2">
      <c r="I58" s="1">
        <v>6</v>
      </c>
      <c r="J58" s="10">
        <v>96177.517589599476</v>
      </c>
      <c r="K58" s="10">
        <v>95939.04736653791</v>
      </c>
      <c r="L58" s="29">
        <v>2.4794799142055799E-3</v>
      </c>
    </row>
    <row r="59" spans="1:14" x14ac:dyDescent="0.2">
      <c r="I59" s="1">
        <v>7</v>
      </c>
      <c r="J59" s="10">
        <v>97727.249462315202</v>
      </c>
      <c r="K59" s="10">
        <v>98188.511255402278</v>
      </c>
      <c r="L59" s="29">
        <v>-4.7198892389265961E-3</v>
      </c>
    </row>
    <row r="60" spans="1:14" x14ac:dyDescent="0.2">
      <c r="I60" s="1">
        <v>8</v>
      </c>
      <c r="J60" s="10">
        <v>99265.583313160867</v>
      </c>
      <c r="K60" s="10">
        <v>100417.36227808686</v>
      </c>
      <c r="L60" s="29">
        <v>-1.1603004047156879E-2</v>
      </c>
    </row>
    <row r="61" spans="1:14" x14ac:dyDescent="0.2">
      <c r="I61" s="1">
        <v>9</v>
      </c>
      <c r="J61" s="10">
        <v>100793.57257757265</v>
      </c>
      <c r="K61" s="10">
        <v>102626.85901053113</v>
      </c>
      <c r="L61" s="29">
        <v>-1.8188525181479728E-2</v>
      </c>
    </row>
    <row r="62" spans="1:14" x14ac:dyDescent="0.2">
      <c r="I62" s="1">
        <v>10</v>
      </c>
      <c r="J62" s="10">
        <v>102312.1177757532</v>
      </c>
      <c r="K62" s="10">
        <v>104818.13651519929</v>
      </c>
      <c r="L62" s="29">
        <v>-2.449386049205594E-2</v>
      </c>
    </row>
    <row r="63" spans="1:14" x14ac:dyDescent="0.2">
      <c r="I63" s="1">
        <v>11</v>
      </c>
      <c r="J63" s="10">
        <v>103821.9958941114</v>
      </c>
      <c r="K63" s="10">
        <v>106992.22272572065</v>
      </c>
      <c r="L63" s="29">
        <v>-3.0535213702138641E-2</v>
      </c>
    </row>
    <row r="64" spans="1:14" x14ac:dyDescent="0.2">
      <c r="I64" s="1">
        <v>12</v>
      </c>
      <c r="J64" s="10">
        <v>105323.8828837294</v>
      </c>
      <c r="K64" s="10">
        <v>109150.05213042654</v>
      </c>
      <c r="L64" s="29">
        <v>-3.6327650879724796E-2</v>
      </c>
    </row>
    <row r="65" spans="9:12" x14ac:dyDescent="0.2">
      <c r="I65" s="1">
        <v>13</v>
      </c>
      <c r="J65" s="10">
        <v>106818.37114965021</v>
      </c>
      <c r="K65" s="10">
        <v>111292.47728138026</v>
      </c>
      <c r="L65" s="29">
        <v>-4.1885174652793788E-2</v>
      </c>
    </row>
    <row r="66" spans="9:12" x14ac:dyDescent="0.2">
      <c r="I66" s="1">
        <v>14</v>
      </c>
      <c r="J66" s="10">
        <v>108305.98333019091</v>
      </c>
      <c r="K66" s="10">
        <v>113420.27853798962</v>
      </c>
      <c r="L66" s="29">
        <v>-4.722080027847432E-2</v>
      </c>
    </row>
    <row r="67" spans="9:12" x14ac:dyDescent="0.2">
      <c r="I67" s="1">
        <v>15</v>
      </c>
      <c r="J67" s="10">
        <v>109787.18328508965</v>
      </c>
      <c r="K67" s="10">
        <v>115534.17236611285</v>
      </c>
      <c r="L67" s="29">
        <v>-5.2346630171754387E-2</v>
      </c>
    </row>
    <row r="68" spans="9:12" x14ac:dyDescent="0.2">
      <c r="I68" s="1">
        <v>16</v>
      </c>
      <c r="J68" s="10">
        <v>111262.38495389893</v>
      </c>
      <c r="K68" s="10">
        <v>117634.81844666952</v>
      </c>
      <c r="L68" s="29">
        <v>-5.727392501437914E-2</v>
      </c>
    </row>
    <row r="69" spans="9:12" x14ac:dyDescent="0.2">
      <c r="I69" s="1">
        <v>17</v>
      </c>
      <c r="J69" s="10">
        <v>112731.95956842141</v>
      </c>
      <c r="K69" s="10">
        <v>119722.82579649685</v>
      </c>
      <c r="L69" s="29">
        <v>-6.2013170487224677E-2</v>
      </c>
    </row>
    <row r="70" spans="9:12" x14ac:dyDescent="0.2">
      <c r="I70" s="1">
        <v>18</v>
      </c>
      <c r="J70" s="10">
        <v>114196.24157823055</v>
      </c>
      <c r="K70" s="10">
        <v>121798.75806452721</v>
      </c>
      <c r="L70" s="29">
        <v>-6.6574139229341731E-2</v>
      </c>
    </row>
    <row r="71" spans="9:12" x14ac:dyDescent="0.2">
      <c r="I71" s="1">
        <v>19</v>
      </c>
      <c r="J71" s="10">
        <v>115655.53355927332</v>
      </c>
      <c r="K71" s="10">
        <v>123863.1381354084</v>
      </c>
      <c r="L71" s="29">
        <v>-7.0965947962435327E-2</v>
      </c>
    </row>
    <row r="72" spans="9:12" x14ac:dyDescent="0.2">
      <c r="I72" s="1">
        <v>20</v>
      </c>
      <c r="J72" s="10">
        <v>117110.11031105582</v>
      </c>
      <c r="K72" s="10">
        <v>125916.45214833366</v>
      </c>
      <c r="L72" s="29">
        <v>-7.5197109915508931E-2</v>
      </c>
    </row>
    <row r="73" spans="9:12" x14ac:dyDescent="0.2">
      <c r="J73" s="2"/>
      <c r="K73" s="2"/>
    </row>
    <row r="74" spans="9:12" x14ac:dyDescent="0.2">
      <c r="J74" s="2"/>
      <c r="K74" s="2"/>
    </row>
    <row r="75" spans="9:12" x14ac:dyDescent="0.2">
      <c r="J75" s="2"/>
      <c r="K75" s="2"/>
    </row>
  </sheetData>
  <pageMargins left="0.45" right="0.45" top="0.5" bottom="0.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5314-6416-2840-B6E3-C1EAAA8FCE0C}">
  <dimension ref="A1:X68"/>
  <sheetViews>
    <sheetView showGridLines="0" zoomScaleNormal="100" workbookViewId="0">
      <selection activeCell="B15" sqref="B15"/>
    </sheetView>
  </sheetViews>
  <sheetFormatPr baseColWidth="10" defaultRowHeight="16" x14ac:dyDescent="0.2"/>
  <cols>
    <col min="1" max="1" width="19.5" customWidth="1"/>
    <col min="19" max="19" width="11.83203125" bestFit="1" customWidth="1"/>
  </cols>
  <sheetData>
    <row r="1" spans="1:24" x14ac:dyDescent="0.2">
      <c r="A1" t="s">
        <v>51</v>
      </c>
      <c r="U1" s="23"/>
      <c r="V1" t="s">
        <v>46</v>
      </c>
    </row>
    <row r="2" spans="1:24" x14ac:dyDescent="0.2">
      <c r="A2" t="s">
        <v>33</v>
      </c>
      <c r="U2" s="22"/>
      <c r="V2" t="s">
        <v>48</v>
      </c>
    </row>
    <row r="3" spans="1:24" ht="51" x14ac:dyDescent="0.2">
      <c r="B3" s="13" t="s">
        <v>16</v>
      </c>
      <c r="C3" s="13" t="s">
        <v>17</v>
      </c>
      <c r="D3" s="13" t="s">
        <v>18</v>
      </c>
      <c r="E3" s="13" t="s">
        <v>19</v>
      </c>
      <c r="F3" s="13" t="s">
        <v>20</v>
      </c>
      <c r="G3" s="13" t="s">
        <v>21</v>
      </c>
      <c r="H3" s="13" t="s">
        <v>4</v>
      </c>
      <c r="I3" s="13" t="s">
        <v>22</v>
      </c>
      <c r="J3" s="13" t="s">
        <v>23</v>
      </c>
      <c r="K3" s="13" t="s">
        <v>24</v>
      </c>
      <c r="L3" s="13" t="s">
        <v>25</v>
      </c>
      <c r="M3" s="13" t="s">
        <v>26</v>
      </c>
      <c r="N3" s="13" t="s">
        <v>29</v>
      </c>
      <c r="O3" s="13" t="s">
        <v>27</v>
      </c>
      <c r="P3" s="13" t="s">
        <v>28</v>
      </c>
      <c r="Q3" s="13" t="s">
        <v>30</v>
      </c>
      <c r="R3" s="13" t="s">
        <v>31</v>
      </c>
      <c r="S3" s="13" t="s">
        <v>32</v>
      </c>
    </row>
    <row r="4" spans="1:24" x14ac:dyDescent="0.2">
      <c r="A4" s="9" t="s">
        <v>34</v>
      </c>
      <c r="B4" s="5">
        <v>15</v>
      </c>
      <c r="C4" s="5">
        <v>5</v>
      </c>
      <c r="D4" s="14">
        <v>1</v>
      </c>
      <c r="E4" s="14">
        <f>D4</f>
        <v>1</v>
      </c>
      <c r="F4" s="7">
        <f>F5</f>
        <v>3918</v>
      </c>
      <c r="G4" s="7">
        <f>G5</f>
        <v>3174.2764529889328</v>
      </c>
      <c r="H4" s="26">
        <f t="shared" ref="H4:H10" si="0">G4/F4</f>
        <v>0.81017775727129471</v>
      </c>
      <c r="I4" s="6">
        <v>0.99</v>
      </c>
      <c r="J4" s="15">
        <v>0.3</v>
      </c>
      <c r="K4" s="5">
        <v>0</v>
      </c>
      <c r="L4" s="5">
        <v>0</v>
      </c>
      <c r="M4" s="5">
        <f>K4+B4+C4-L4</f>
        <v>20</v>
      </c>
      <c r="N4" s="7">
        <f>C4*F4/2</f>
        <v>9795</v>
      </c>
      <c r="O4" s="7">
        <f>B4*F4</f>
        <v>58770</v>
      </c>
      <c r="P4" s="7">
        <f>NORMSINV(I4)*G4*SQRT(M4)</f>
        <v>33024.359511133865</v>
      </c>
      <c r="Q4" s="27">
        <f>J4*E4*N4</f>
        <v>2938.5</v>
      </c>
      <c r="R4" s="27">
        <f>J4*(E4-D4/2)*O4</f>
        <v>8815.5</v>
      </c>
      <c r="S4" s="27">
        <f>J4*E4*P4</f>
        <v>9907.3078533401585</v>
      </c>
      <c r="U4" t="str">
        <f>"Pack center stage time "&amp;B5&amp;" and review period "&amp;C5</f>
        <v>Pack center stage time 5 and review period 5</v>
      </c>
    </row>
    <row r="5" spans="1:24" x14ac:dyDescent="0.2">
      <c r="A5" s="9" t="s">
        <v>37</v>
      </c>
      <c r="B5" s="21">
        <v>5</v>
      </c>
      <c r="C5" s="5">
        <v>5</v>
      </c>
      <c r="D5" s="14">
        <v>0.55000000000000004</v>
      </c>
      <c r="E5" s="14">
        <f>E4+D5</f>
        <v>1.55</v>
      </c>
      <c r="F5" s="7">
        <f>F6</f>
        <v>3918</v>
      </c>
      <c r="G5" s="7">
        <f>G6</f>
        <v>3174.2764529889328</v>
      </c>
      <c r="H5" s="26">
        <f t="shared" si="0"/>
        <v>0.81017775727129471</v>
      </c>
      <c r="I5" s="6">
        <v>0.99</v>
      </c>
      <c r="J5" s="15">
        <v>0.3</v>
      </c>
      <c r="K5" s="5">
        <f>L4</f>
        <v>0</v>
      </c>
      <c r="L5" s="5">
        <f>B5+C5</f>
        <v>10</v>
      </c>
      <c r="M5" s="5">
        <f t="shared" ref="M5:M10" si="1">K5+B5+C5-L5</f>
        <v>0</v>
      </c>
      <c r="N5" s="7">
        <f t="shared" ref="N5:N10" si="2">C5*F5/2</f>
        <v>9795</v>
      </c>
      <c r="O5" s="7">
        <f t="shared" ref="O5:O10" si="3">B5*F5</f>
        <v>19590</v>
      </c>
      <c r="P5" s="7">
        <f t="shared" ref="P5:P10" si="4">NORMSINV(I5)*G5*SQRT(M5)</f>
        <v>0</v>
      </c>
      <c r="Q5" s="11">
        <f t="shared" ref="Q5:Q10" si="5">J5*E5*N5</f>
        <v>4554.6749999999993</v>
      </c>
      <c r="R5" s="11">
        <f t="shared" ref="R5:R10" si="6">J5*(E5-D5/2)*O5</f>
        <v>7493.1749999999993</v>
      </c>
      <c r="S5" s="27">
        <f t="shared" ref="S5:S10" si="7">J5*E5*P5</f>
        <v>0</v>
      </c>
      <c r="W5" s="4" t="s">
        <v>13</v>
      </c>
      <c r="X5" s="4" t="s">
        <v>14</v>
      </c>
    </row>
    <row r="6" spans="1:24" x14ac:dyDescent="0.2">
      <c r="A6" s="9" t="s">
        <v>36</v>
      </c>
      <c r="B6" s="5">
        <v>2</v>
      </c>
      <c r="C6" s="5">
        <v>1</v>
      </c>
      <c r="D6" s="14">
        <v>0.16</v>
      </c>
      <c r="E6" s="14">
        <f>E5+D6</f>
        <v>1.71</v>
      </c>
      <c r="F6" s="7">
        <f>SUM(F7:F10)</f>
        <v>3918</v>
      </c>
      <c r="G6" s="7">
        <f>SQRT(SUMPRODUCT(G7:G10,G7:G10))</f>
        <v>3174.2764529889328</v>
      </c>
      <c r="H6" s="26">
        <f t="shared" si="0"/>
        <v>0.81017775727129471</v>
      </c>
      <c r="I6" s="6">
        <v>0.99</v>
      </c>
      <c r="J6" s="15">
        <v>0.3</v>
      </c>
      <c r="K6" s="5">
        <f>L5</f>
        <v>10</v>
      </c>
      <c r="L6" s="5">
        <v>0</v>
      </c>
      <c r="M6" s="5">
        <f t="shared" si="1"/>
        <v>13</v>
      </c>
      <c r="N6" s="7">
        <f t="shared" si="2"/>
        <v>1959</v>
      </c>
      <c r="O6" s="7">
        <f t="shared" si="3"/>
        <v>7836</v>
      </c>
      <c r="P6" s="7">
        <f t="shared" si="4"/>
        <v>26625.089835123588</v>
      </c>
      <c r="Q6" s="11">
        <f t="shared" si="5"/>
        <v>1004.967</v>
      </c>
      <c r="R6" s="11">
        <f t="shared" si="6"/>
        <v>3831.8039999999996</v>
      </c>
      <c r="S6" s="11">
        <f t="shared" si="7"/>
        <v>13658.6710854184</v>
      </c>
      <c r="V6" s="9" t="s">
        <v>9</v>
      </c>
      <c r="W6" s="11">
        <f>SUM(Q4:Q10)</f>
        <v>15551.486999999999</v>
      </c>
      <c r="X6" s="11">
        <f>SUM(Q14:Q19)</f>
        <v>15016.68</v>
      </c>
    </row>
    <row r="7" spans="1:24" x14ac:dyDescent="0.2">
      <c r="A7" s="9" t="s">
        <v>53</v>
      </c>
      <c r="B7" s="5">
        <v>3</v>
      </c>
      <c r="C7" s="5">
        <v>5</v>
      </c>
      <c r="D7" s="14">
        <v>0.56000000000000005</v>
      </c>
      <c r="E7" s="14">
        <f>E6+D7</f>
        <v>2.27</v>
      </c>
      <c r="F7" s="7">
        <v>367</v>
      </c>
      <c r="G7" s="7">
        <v>661</v>
      </c>
      <c r="H7" s="26">
        <f t="shared" si="0"/>
        <v>1.8010899182561309</v>
      </c>
      <c r="I7" s="6">
        <v>0.99</v>
      </c>
      <c r="J7" s="15">
        <v>0.3</v>
      </c>
      <c r="K7" s="5">
        <f>L6</f>
        <v>0</v>
      </c>
      <c r="L7" s="5">
        <v>0</v>
      </c>
      <c r="M7" s="5">
        <f t="shared" si="1"/>
        <v>8</v>
      </c>
      <c r="N7" s="7">
        <f t="shared" si="2"/>
        <v>917.5</v>
      </c>
      <c r="O7" s="7">
        <f t="shared" si="3"/>
        <v>1101</v>
      </c>
      <c r="P7" s="7">
        <f t="shared" si="4"/>
        <v>4349.3174882601461</v>
      </c>
      <c r="Q7" s="27">
        <f t="shared" si="5"/>
        <v>624.8175</v>
      </c>
      <c r="R7" s="27">
        <f t="shared" si="6"/>
        <v>657.29700000000003</v>
      </c>
      <c r="S7" s="11">
        <f t="shared" si="7"/>
        <v>2961.8852095051593</v>
      </c>
      <c r="V7" s="9" t="s">
        <v>10</v>
      </c>
      <c r="W7" s="11">
        <f>SUM(R4:R10)</f>
        <v>27270.137999999999</v>
      </c>
      <c r="X7" s="11">
        <f>SUM(R14:R19)</f>
        <v>23908.493999999999</v>
      </c>
    </row>
    <row r="8" spans="1:24" x14ac:dyDescent="0.2">
      <c r="A8" s="9" t="s">
        <v>54</v>
      </c>
      <c r="B8" s="5">
        <v>3</v>
      </c>
      <c r="C8" s="5">
        <v>5</v>
      </c>
      <c r="D8" s="14">
        <v>0.66</v>
      </c>
      <c r="E8" s="14">
        <f>E6+D8</f>
        <v>2.37</v>
      </c>
      <c r="F8" s="7">
        <v>1996</v>
      </c>
      <c r="G8" s="7">
        <v>2595</v>
      </c>
      <c r="H8" s="26">
        <f t="shared" si="0"/>
        <v>1.3001002004008015</v>
      </c>
      <c r="I8" s="6">
        <v>0.99</v>
      </c>
      <c r="J8" s="15">
        <v>0.3</v>
      </c>
      <c r="K8" s="5">
        <f>L6</f>
        <v>0</v>
      </c>
      <c r="L8" s="5">
        <v>0</v>
      </c>
      <c r="M8" s="5">
        <f t="shared" si="1"/>
        <v>8</v>
      </c>
      <c r="N8" s="7">
        <f t="shared" si="2"/>
        <v>4990</v>
      </c>
      <c r="O8" s="7">
        <f t="shared" si="3"/>
        <v>5988</v>
      </c>
      <c r="P8" s="7">
        <f t="shared" si="4"/>
        <v>17074.854587042479</v>
      </c>
      <c r="Q8" s="27">
        <f t="shared" si="5"/>
        <v>3547.89</v>
      </c>
      <c r="R8" s="27">
        <f t="shared" si="6"/>
        <v>3664.6559999999999</v>
      </c>
      <c r="S8" s="11">
        <f t="shared" si="7"/>
        <v>12140.221611387202</v>
      </c>
      <c r="V8" s="9" t="s">
        <v>11</v>
      </c>
      <c r="W8" s="11">
        <f>SUM(S4:S10)</f>
        <v>50286.652766603038</v>
      </c>
      <c r="X8" s="11">
        <f>SUM(S14:S19)</f>
        <v>50070.267542434522</v>
      </c>
    </row>
    <row r="9" spans="1:24" x14ac:dyDescent="0.2">
      <c r="A9" s="9" t="s">
        <v>55</v>
      </c>
      <c r="B9" s="5">
        <v>2</v>
      </c>
      <c r="C9" s="5">
        <v>5</v>
      </c>
      <c r="D9" s="14">
        <v>0.76</v>
      </c>
      <c r="E9" s="14">
        <f>E6+D9</f>
        <v>2.4699999999999998</v>
      </c>
      <c r="F9" s="7">
        <v>871</v>
      </c>
      <c r="G9" s="7">
        <v>1307</v>
      </c>
      <c r="H9" s="26">
        <f t="shared" si="0"/>
        <v>1.5005740528128588</v>
      </c>
      <c r="I9" s="6">
        <v>0.99</v>
      </c>
      <c r="J9" s="15">
        <v>0.3</v>
      </c>
      <c r="K9" s="5">
        <f>L6</f>
        <v>0</v>
      </c>
      <c r="L9" s="5">
        <v>0</v>
      </c>
      <c r="M9" s="5">
        <f t="shared" si="1"/>
        <v>7</v>
      </c>
      <c r="N9" s="7">
        <f t="shared" si="2"/>
        <v>2177.5</v>
      </c>
      <c r="O9" s="7">
        <f t="shared" si="3"/>
        <v>1742</v>
      </c>
      <c r="P9" s="7">
        <f t="shared" si="4"/>
        <v>8044.5038846207917</v>
      </c>
      <c r="Q9" s="27">
        <f t="shared" si="5"/>
        <v>1613.5274999999997</v>
      </c>
      <c r="R9" s="27">
        <f t="shared" si="6"/>
        <v>1092.2339999999997</v>
      </c>
      <c r="S9" s="11">
        <f t="shared" si="7"/>
        <v>5960.9773785040061</v>
      </c>
      <c r="V9" s="9" t="s">
        <v>12</v>
      </c>
      <c r="W9" s="3">
        <f>SUM(W6:W8)</f>
        <v>93108.277766603045</v>
      </c>
      <c r="X9" s="3">
        <f>SUM(X6:X8)</f>
        <v>88995.441542434521</v>
      </c>
    </row>
    <row r="10" spans="1:24" x14ac:dyDescent="0.2">
      <c r="A10" s="9" t="s">
        <v>56</v>
      </c>
      <c r="B10" s="5">
        <v>4</v>
      </c>
      <c r="C10" s="5">
        <v>5</v>
      </c>
      <c r="D10" s="14">
        <v>0.76</v>
      </c>
      <c r="E10" s="14">
        <f>E6+D10</f>
        <v>2.4699999999999998</v>
      </c>
      <c r="F10" s="7">
        <v>684</v>
      </c>
      <c r="G10" s="7">
        <v>1094</v>
      </c>
      <c r="H10" s="26">
        <f t="shared" si="0"/>
        <v>1.5994152046783625</v>
      </c>
      <c r="I10" s="6">
        <v>0.99</v>
      </c>
      <c r="J10" s="15">
        <v>0.3</v>
      </c>
      <c r="K10" s="5">
        <f>L6</f>
        <v>0</v>
      </c>
      <c r="L10" s="5">
        <v>0</v>
      </c>
      <c r="M10" s="5">
        <f t="shared" si="1"/>
        <v>9</v>
      </c>
      <c r="N10" s="7">
        <f t="shared" si="2"/>
        <v>1710</v>
      </c>
      <c r="O10" s="7">
        <f t="shared" si="3"/>
        <v>2736</v>
      </c>
      <c r="P10" s="7">
        <f t="shared" si="4"/>
        <v>7635.0737226020392</v>
      </c>
      <c r="Q10" s="27">
        <f t="shared" si="5"/>
        <v>1267.1099999999999</v>
      </c>
      <c r="R10" s="27">
        <f t="shared" si="6"/>
        <v>1715.4719999999998</v>
      </c>
      <c r="S10" s="11">
        <f t="shared" si="7"/>
        <v>5657.5896284481105</v>
      </c>
      <c r="V10" s="9" t="s">
        <v>15</v>
      </c>
      <c r="W10" s="12">
        <f>(W9-X9)/W9</f>
        <v>4.4172616257367348E-2</v>
      </c>
    </row>
    <row r="12" spans="1:24" x14ac:dyDescent="0.2">
      <c r="A12" t="s">
        <v>49</v>
      </c>
    </row>
    <row r="13" spans="1:24" ht="51" x14ac:dyDescent="0.2">
      <c r="B13" s="13" t="s">
        <v>16</v>
      </c>
      <c r="C13" s="13" t="s">
        <v>17</v>
      </c>
      <c r="D13" s="13" t="s">
        <v>18</v>
      </c>
      <c r="E13" s="13" t="s">
        <v>19</v>
      </c>
      <c r="F13" s="13" t="s">
        <v>20</v>
      </c>
      <c r="G13" s="13" t="s">
        <v>21</v>
      </c>
      <c r="H13" s="13" t="s">
        <v>4</v>
      </c>
      <c r="I13" s="13" t="s">
        <v>22</v>
      </c>
      <c r="J13" s="13" t="s">
        <v>23</v>
      </c>
      <c r="K13" s="13" t="s">
        <v>24</v>
      </c>
      <c r="L13" s="13" t="s">
        <v>25</v>
      </c>
      <c r="M13" s="13" t="s">
        <v>26</v>
      </c>
      <c r="N13" s="13" t="s">
        <v>29</v>
      </c>
      <c r="O13" s="13" t="s">
        <v>27</v>
      </c>
      <c r="P13" s="13" t="s">
        <v>28</v>
      </c>
      <c r="Q13" s="13" t="s">
        <v>30</v>
      </c>
      <c r="R13" s="13" t="s">
        <v>31</v>
      </c>
      <c r="S13" s="13" t="s">
        <v>32</v>
      </c>
      <c r="U13" t="str">
        <f>"ONLY VARIABLE COST COMPONENTS:  "&amp;U4</f>
        <v>ONLY VARIABLE COST COMPONENTS:  Pack center stage time 5 and review period 5</v>
      </c>
    </row>
    <row r="14" spans="1:24" x14ac:dyDescent="0.2">
      <c r="A14" s="9" t="s">
        <v>34</v>
      </c>
      <c r="B14" s="5">
        <v>15</v>
      </c>
      <c r="C14" s="5">
        <v>5</v>
      </c>
      <c r="D14" s="14">
        <v>1</v>
      </c>
      <c r="E14" s="14">
        <f>D14</f>
        <v>1</v>
      </c>
      <c r="F14" s="7">
        <f>F15</f>
        <v>3918</v>
      </c>
      <c r="G14" s="7">
        <f>G15</f>
        <v>3174.2764529889328</v>
      </c>
      <c r="H14" s="26">
        <f t="shared" ref="H14:H19" si="8">G14/F14</f>
        <v>0.81017775727129471</v>
      </c>
      <c r="I14" s="6">
        <v>0.99</v>
      </c>
      <c r="J14" s="15">
        <v>0.3</v>
      </c>
      <c r="K14" s="5">
        <v>0</v>
      </c>
      <c r="L14" s="5">
        <v>0</v>
      </c>
      <c r="M14" s="5">
        <f>K14+B14+C14-L14</f>
        <v>20</v>
      </c>
      <c r="N14" s="7">
        <f>C14*F14/2</f>
        <v>9795</v>
      </c>
      <c r="O14" s="7">
        <f>B14*F14</f>
        <v>58770</v>
      </c>
      <c r="P14" s="7">
        <f>NORMSINV(I14)*G14*SQRT(M14)</f>
        <v>33024.359511133865</v>
      </c>
      <c r="Q14" s="27">
        <f>J14*E14*N14</f>
        <v>2938.5</v>
      </c>
      <c r="R14" s="27">
        <f>J14*(E14-D14/2)*O14</f>
        <v>8815.5</v>
      </c>
      <c r="S14" s="27">
        <f>J14*E14*P14</f>
        <v>9907.3078533401585</v>
      </c>
      <c r="W14" s="4" t="s">
        <v>13</v>
      </c>
      <c r="X14" s="4" t="s">
        <v>14</v>
      </c>
    </row>
    <row r="15" spans="1:24" x14ac:dyDescent="0.2">
      <c r="A15" s="9" t="s">
        <v>37</v>
      </c>
      <c r="B15" s="5">
        <f>B5</f>
        <v>5</v>
      </c>
      <c r="C15" s="5">
        <v>5</v>
      </c>
      <c r="D15" s="14">
        <f>D5+D6</f>
        <v>0.71000000000000008</v>
      </c>
      <c r="E15" s="14">
        <f>E14+D15</f>
        <v>1.71</v>
      </c>
      <c r="F15" s="7">
        <f>SUM(F16:F19)</f>
        <v>3918</v>
      </c>
      <c r="G15" s="7">
        <f>SQRT(SUMPRODUCT(G16:G19,G16:G19))</f>
        <v>3174.2764529889328</v>
      </c>
      <c r="H15" s="26">
        <f t="shared" si="8"/>
        <v>0.81017775727129471</v>
      </c>
      <c r="I15" s="6">
        <v>0.99</v>
      </c>
      <c r="J15" s="15">
        <v>0.3</v>
      </c>
      <c r="K15" s="5">
        <f>L14</f>
        <v>0</v>
      </c>
      <c r="L15" s="5">
        <f>L14+B15+C15</f>
        <v>10</v>
      </c>
      <c r="M15" s="5">
        <f t="shared" ref="M15:M19" si="9">K15+B15+C15-L15</f>
        <v>0</v>
      </c>
      <c r="N15" s="7">
        <f t="shared" ref="N15:N19" si="10">C15*F15/2</f>
        <v>9795</v>
      </c>
      <c r="O15" s="7">
        <f t="shared" ref="O15:O19" si="11">B15*F15</f>
        <v>19590</v>
      </c>
      <c r="P15" s="7">
        <f t="shared" ref="P15:P19" si="12">NORMSINV(I15)*G15*SQRT(M15)</f>
        <v>0</v>
      </c>
      <c r="Q15" s="11">
        <f t="shared" ref="Q15:Q19" si="13">J15*E15*N15</f>
        <v>5024.835</v>
      </c>
      <c r="R15" s="11">
        <f t="shared" ref="R15:R19" si="14">J15*(E15-D15/2)*O15</f>
        <v>7963.3349999999991</v>
      </c>
      <c r="S15" s="27">
        <f t="shared" ref="S15:S19" si="15">J15*E15*P15</f>
        <v>0</v>
      </c>
      <c r="V15" s="9" t="s">
        <v>9</v>
      </c>
      <c r="W15" s="11">
        <f>SUM(Q5:Q6)</f>
        <v>5559.6419999999989</v>
      </c>
      <c r="X15" s="11">
        <f>Q15</f>
        <v>5024.835</v>
      </c>
    </row>
    <row r="16" spans="1:24" x14ac:dyDescent="0.2">
      <c r="A16" s="9" t="s">
        <v>53</v>
      </c>
      <c r="B16" s="5">
        <v>3</v>
      </c>
      <c r="C16" s="5">
        <v>5</v>
      </c>
      <c r="D16" s="14">
        <v>0.56000000000000005</v>
      </c>
      <c r="E16" s="14">
        <f>E15+D16</f>
        <v>2.27</v>
      </c>
      <c r="F16" s="7">
        <v>367</v>
      </c>
      <c r="G16" s="7">
        <v>661</v>
      </c>
      <c r="H16" s="26">
        <f t="shared" si="8"/>
        <v>1.8010899182561309</v>
      </c>
      <c r="I16" s="6">
        <v>0.99</v>
      </c>
      <c r="J16" s="15">
        <v>0.3</v>
      </c>
      <c r="K16" s="5">
        <f>L15</f>
        <v>10</v>
      </c>
      <c r="L16" s="5">
        <v>0</v>
      </c>
      <c r="M16" s="5">
        <f t="shared" si="9"/>
        <v>18</v>
      </c>
      <c r="N16" s="7">
        <f t="shared" si="10"/>
        <v>917.5</v>
      </c>
      <c r="O16" s="7">
        <f t="shared" si="11"/>
        <v>1101</v>
      </c>
      <c r="P16" s="7">
        <f t="shared" si="12"/>
        <v>6523.9762323902187</v>
      </c>
      <c r="Q16" s="27">
        <f t="shared" si="13"/>
        <v>624.8175</v>
      </c>
      <c r="R16" s="27">
        <f t="shared" si="14"/>
        <v>657.29700000000003</v>
      </c>
      <c r="S16" s="11">
        <f t="shared" si="15"/>
        <v>4442.8278142577383</v>
      </c>
      <c r="V16" s="9" t="s">
        <v>10</v>
      </c>
      <c r="W16" s="11">
        <f>SUM(R5:R6)</f>
        <v>11324.978999999999</v>
      </c>
      <c r="X16" s="11">
        <f>R15</f>
        <v>7963.3349999999991</v>
      </c>
    </row>
    <row r="17" spans="1:24" x14ac:dyDescent="0.2">
      <c r="A17" s="9" t="s">
        <v>54</v>
      </c>
      <c r="B17" s="5">
        <v>3</v>
      </c>
      <c r="C17" s="5">
        <v>5</v>
      </c>
      <c r="D17" s="14">
        <v>0.66</v>
      </c>
      <c r="E17" s="14">
        <f>E15+D17</f>
        <v>2.37</v>
      </c>
      <c r="F17" s="7">
        <v>1996</v>
      </c>
      <c r="G17" s="7">
        <v>2595</v>
      </c>
      <c r="H17" s="26">
        <f t="shared" si="8"/>
        <v>1.3001002004008015</v>
      </c>
      <c r="I17" s="6">
        <v>0.99</v>
      </c>
      <c r="J17" s="15">
        <v>0.3</v>
      </c>
      <c r="K17" s="5">
        <f>L15</f>
        <v>10</v>
      </c>
      <c r="L17" s="5">
        <v>0</v>
      </c>
      <c r="M17" s="5">
        <f t="shared" si="9"/>
        <v>18</v>
      </c>
      <c r="N17" s="7">
        <f t="shared" si="10"/>
        <v>4990</v>
      </c>
      <c r="O17" s="7">
        <f t="shared" si="11"/>
        <v>5988</v>
      </c>
      <c r="P17" s="7">
        <f t="shared" si="12"/>
        <v>25612.281880563714</v>
      </c>
      <c r="Q17" s="27">
        <f t="shared" si="13"/>
        <v>3547.89</v>
      </c>
      <c r="R17" s="27">
        <f t="shared" si="14"/>
        <v>3664.6559999999999</v>
      </c>
      <c r="S17" s="11">
        <f t="shared" si="15"/>
        <v>18210.332417080801</v>
      </c>
      <c r="V17" s="9" t="s">
        <v>11</v>
      </c>
      <c r="W17" s="11">
        <f>SUM(S6:S10)</f>
        <v>40379.344913262881</v>
      </c>
      <c r="X17" s="11">
        <f>SUM(S16:S19)</f>
        <v>40162.959689094358</v>
      </c>
    </row>
    <row r="18" spans="1:24" x14ac:dyDescent="0.2">
      <c r="A18" s="9" t="s">
        <v>55</v>
      </c>
      <c r="B18" s="5">
        <v>2</v>
      </c>
      <c r="C18" s="5">
        <v>5</v>
      </c>
      <c r="D18" s="14">
        <v>0.76</v>
      </c>
      <c r="E18" s="14">
        <f>E15+D18</f>
        <v>2.4699999999999998</v>
      </c>
      <c r="F18" s="7">
        <v>871</v>
      </c>
      <c r="G18" s="7">
        <v>1307</v>
      </c>
      <c r="H18" s="26">
        <f t="shared" si="8"/>
        <v>1.5005740528128588</v>
      </c>
      <c r="I18" s="6">
        <v>0.99</v>
      </c>
      <c r="J18" s="15">
        <v>0.3</v>
      </c>
      <c r="K18" s="5">
        <f>L15</f>
        <v>10</v>
      </c>
      <c r="L18" s="5">
        <v>0</v>
      </c>
      <c r="M18" s="5">
        <f t="shared" si="9"/>
        <v>17</v>
      </c>
      <c r="N18" s="7">
        <f t="shared" si="10"/>
        <v>2177.5</v>
      </c>
      <c r="O18" s="7">
        <f t="shared" si="11"/>
        <v>1742</v>
      </c>
      <c r="P18" s="7">
        <f t="shared" si="12"/>
        <v>12536.453854628127</v>
      </c>
      <c r="Q18" s="27">
        <f t="shared" si="13"/>
        <v>1613.5274999999997</v>
      </c>
      <c r="R18" s="27">
        <f t="shared" si="14"/>
        <v>1092.2339999999997</v>
      </c>
      <c r="S18" s="11">
        <f t="shared" si="15"/>
        <v>9289.512306279441</v>
      </c>
      <c r="V18" s="9" t="s">
        <v>12</v>
      </c>
      <c r="W18" s="3">
        <f>SUM(W15:W17)</f>
        <v>57263.96591326288</v>
      </c>
      <c r="X18" s="3">
        <f>SUM(X15:X17)</f>
        <v>53151.129689094356</v>
      </c>
    </row>
    <row r="19" spans="1:24" x14ac:dyDescent="0.2">
      <c r="A19" s="9" t="s">
        <v>56</v>
      </c>
      <c r="B19" s="5">
        <v>4</v>
      </c>
      <c r="C19" s="5">
        <v>5</v>
      </c>
      <c r="D19" s="14">
        <v>0.76</v>
      </c>
      <c r="E19" s="14">
        <f>E15+D19</f>
        <v>2.4699999999999998</v>
      </c>
      <c r="F19" s="7">
        <v>684</v>
      </c>
      <c r="G19" s="7">
        <v>1094</v>
      </c>
      <c r="H19" s="26">
        <f t="shared" si="8"/>
        <v>1.5994152046783625</v>
      </c>
      <c r="I19" s="6">
        <v>0.99</v>
      </c>
      <c r="J19" s="15">
        <v>0.3</v>
      </c>
      <c r="K19" s="5">
        <f>L15</f>
        <v>10</v>
      </c>
      <c r="L19" s="5">
        <v>0</v>
      </c>
      <c r="M19" s="5">
        <f t="shared" si="9"/>
        <v>19</v>
      </c>
      <c r="N19" s="7">
        <f t="shared" si="10"/>
        <v>1710</v>
      </c>
      <c r="O19" s="7">
        <f t="shared" si="11"/>
        <v>2736</v>
      </c>
      <c r="P19" s="7">
        <f t="shared" si="12"/>
        <v>11093.504927768396</v>
      </c>
      <c r="Q19" s="27">
        <f t="shared" si="13"/>
        <v>1267.1099999999999</v>
      </c>
      <c r="R19" s="27">
        <f t="shared" si="14"/>
        <v>1715.4719999999998</v>
      </c>
      <c r="S19" s="11">
        <f t="shared" si="15"/>
        <v>8220.2871514763792</v>
      </c>
      <c r="V19" s="9" t="s">
        <v>15</v>
      </c>
      <c r="W19" s="25">
        <f>(W18-X18)/W18</f>
        <v>7.1822413250213823E-2</v>
      </c>
    </row>
    <row r="20" spans="1:24" x14ac:dyDescent="0.2">
      <c r="A20" s="9"/>
      <c r="W20" s="9" t="s">
        <v>47</v>
      </c>
      <c r="X20" s="2">
        <f>SUM(Q4:S4,S5,Q7:R10)</f>
        <v>35844.311853340158</v>
      </c>
    </row>
    <row r="22" spans="1:24" x14ac:dyDescent="0.2">
      <c r="A22" t="s">
        <v>33</v>
      </c>
    </row>
    <row r="23" spans="1:24" ht="51" x14ac:dyDescent="0.2">
      <c r="B23" s="13" t="s">
        <v>16</v>
      </c>
      <c r="C23" s="13" t="s">
        <v>17</v>
      </c>
      <c r="D23" s="13" t="s">
        <v>18</v>
      </c>
      <c r="E23" s="13" t="s">
        <v>19</v>
      </c>
      <c r="F23" s="13" t="s">
        <v>20</v>
      </c>
      <c r="G23" s="13" t="s">
        <v>21</v>
      </c>
      <c r="H23" s="13" t="s">
        <v>4</v>
      </c>
      <c r="I23" s="13" t="s">
        <v>22</v>
      </c>
      <c r="J23" s="13" t="s">
        <v>23</v>
      </c>
      <c r="K23" s="13" t="s">
        <v>24</v>
      </c>
      <c r="L23" s="13" t="s">
        <v>25</v>
      </c>
      <c r="M23" s="13" t="s">
        <v>26</v>
      </c>
      <c r="N23" s="13" t="s">
        <v>29</v>
      </c>
      <c r="O23" s="13" t="s">
        <v>27</v>
      </c>
      <c r="P23" s="13" t="s">
        <v>28</v>
      </c>
      <c r="Q23" s="13" t="s">
        <v>30</v>
      </c>
      <c r="R23" s="13" t="s">
        <v>31</v>
      </c>
      <c r="S23" s="13" t="s">
        <v>32</v>
      </c>
    </row>
    <row r="24" spans="1:24" x14ac:dyDescent="0.2">
      <c r="A24" s="9" t="s">
        <v>34</v>
      </c>
      <c r="B24" s="5">
        <v>15</v>
      </c>
      <c r="C24" s="5">
        <v>5</v>
      </c>
      <c r="D24" s="14">
        <v>1</v>
      </c>
      <c r="E24" s="14">
        <f>D24</f>
        <v>1</v>
      </c>
      <c r="F24" s="7">
        <f>F25</f>
        <v>3918</v>
      </c>
      <c r="G24" s="7">
        <f>G25</f>
        <v>3174.2764529889328</v>
      </c>
      <c r="H24" s="26">
        <f t="shared" ref="H24:H30" si="16">G24/F24</f>
        <v>0.81017775727129471</v>
      </c>
      <c r="I24" s="6">
        <v>0.99</v>
      </c>
      <c r="J24" s="15">
        <v>0.3</v>
      </c>
      <c r="K24" s="5">
        <v>0</v>
      </c>
      <c r="L24" s="5">
        <v>0</v>
      </c>
      <c r="M24" s="5">
        <f>K24+B24+C24-L24</f>
        <v>20</v>
      </c>
      <c r="N24" s="7">
        <f>C24*F24/2</f>
        <v>9795</v>
      </c>
      <c r="O24" s="7">
        <f>B24*F24</f>
        <v>58770</v>
      </c>
      <c r="P24" s="7">
        <f>NORMSINV(I24)*G24*SQRT(M24)</f>
        <v>33024.359511133865</v>
      </c>
      <c r="Q24" s="27">
        <f>J24*E24*N24</f>
        <v>2938.5</v>
      </c>
      <c r="R24" s="27">
        <f>J24*(E24-D24/2)*O24</f>
        <v>8815.5</v>
      </c>
      <c r="S24" s="27">
        <f>J24*E24*P24</f>
        <v>9907.3078533401585</v>
      </c>
      <c r="U24" t="str">
        <f>"Pack center stage time "&amp;B25&amp;" and review period "&amp;C25</f>
        <v>Pack center stage time 18 and review period 5</v>
      </c>
    </row>
    <row r="25" spans="1:24" x14ac:dyDescent="0.2">
      <c r="A25" s="9" t="s">
        <v>37</v>
      </c>
      <c r="B25" s="21">
        <v>18</v>
      </c>
      <c r="C25" s="5">
        <v>5</v>
      </c>
      <c r="D25" s="14">
        <v>0.55000000000000004</v>
      </c>
      <c r="E25" s="14">
        <f>E24+D25</f>
        <v>1.55</v>
      </c>
      <c r="F25" s="7">
        <f>F26</f>
        <v>3918</v>
      </c>
      <c r="G25" s="7">
        <f>G26</f>
        <v>3174.2764529889328</v>
      </c>
      <c r="H25" s="26">
        <f t="shared" si="16"/>
        <v>0.81017775727129471</v>
      </c>
      <c r="I25" s="6">
        <v>0.99</v>
      </c>
      <c r="J25" s="15">
        <v>0.3</v>
      </c>
      <c r="K25" s="5">
        <f>L24</f>
        <v>0</v>
      </c>
      <c r="L25" s="5">
        <f>B25+C25</f>
        <v>23</v>
      </c>
      <c r="M25" s="5">
        <f t="shared" ref="M25:M30" si="17">K25+B25+C25-L25</f>
        <v>0</v>
      </c>
      <c r="N25" s="7">
        <f t="shared" ref="N25:N30" si="18">C25*F25/2</f>
        <v>9795</v>
      </c>
      <c r="O25" s="7">
        <f t="shared" ref="O25:O30" si="19">B25*F25</f>
        <v>70524</v>
      </c>
      <c r="P25" s="7">
        <f t="shared" ref="P25:P30" si="20">NORMSINV(I25)*G25*SQRT(M25)</f>
        <v>0</v>
      </c>
      <c r="Q25" s="11">
        <f t="shared" ref="Q25:Q30" si="21">J25*E25*N25</f>
        <v>4554.6749999999993</v>
      </c>
      <c r="R25" s="11">
        <f t="shared" ref="R25:R30" si="22">J25*(E25-D25/2)*O25</f>
        <v>26975.429999999997</v>
      </c>
      <c r="S25" s="27">
        <f t="shared" ref="S25:S30" si="23">J25*E25*P25</f>
        <v>0</v>
      </c>
      <c r="W25" s="4" t="s">
        <v>13</v>
      </c>
      <c r="X25" s="4" t="s">
        <v>14</v>
      </c>
    </row>
    <row r="26" spans="1:24" x14ac:dyDescent="0.2">
      <c r="A26" s="9" t="s">
        <v>36</v>
      </c>
      <c r="B26" s="5">
        <v>2</v>
      </c>
      <c r="C26" s="5">
        <v>1</v>
      </c>
      <c r="D26" s="14">
        <v>0.16</v>
      </c>
      <c r="E26" s="14">
        <f>E25+D26</f>
        <v>1.71</v>
      </c>
      <c r="F26" s="7">
        <f>SUM(F27:F30)</f>
        <v>3918</v>
      </c>
      <c r="G26" s="7">
        <f>SQRT(SUMPRODUCT(G27:G30,G27:G30))</f>
        <v>3174.2764529889328</v>
      </c>
      <c r="H26" s="26">
        <f t="shared" si="16"/>
        <v>0.81017775727129471</v>
      </c>
      <c r="I26" s="6">
        <v>0.99</v>
      </c>
      <c r="J26" s="15">
        <v>0.3</v>
      </c>
      <c r="K26" s="5">
        <f>L25</f>
        <v>23</v>
      </c>
      <c r="L26" s="5">
        <v>0</v>
      </c>
      <c r="M26" s="5">
        <f t="shared" si="17"/>
        <v>26</v>
      </c>
      <c r="N26" s="7">
        <f t="shared" si="18"/>
        <v>1959</v>
      </c>
      <c r="O26" s="7">
        <f t="shared" si="19"/>
        <v>7836</v>
      </c>
      <c r="P26" s="7">
        <f t="shared" si="20"/>
        <v>37653.563144233813</v>
      </c>
      <c r="Q26" s="11">
        <f t="shared" si="21"/>
        <v>1004.967</v>
      </c>
      <c r="R26" s="11">
        <f t="shared" si="22"/>
        <v>3831.8039999999996</v>
      </c>
      <c r="S26" s="11">
        <f t="shared" si="23"/>
        <v>19316.277892991948</v>
      </c>
      <c r="V26" s="9" t="s">
        <v>9</v>
      </c>
      <c r="W26" s="11">
        <f>SUM(Q24:Q30)</f>
        <v>15551.486999999999</v>
      </c>
      <c r="X26" s="11">
        <f>SUM(Q34:Q39)</f>
        <v>15016.68</v>
      </c>
    </row>
    <row r="27" spans="1:24" x14ac:dyDescent="0.2">
      <c r="A27" s="9" t="s">
        <v>53</v>
      </c>
      <c r="B27" s="5">
        <v>3</v>
      </c>
      <c r="C27" s="5">
        <v>5</v>
      </c>
      <c r="D27" s="14">
        <v>0.56000000000000005</v>
      </c>
      <c r="E27" s="14">
        <f>E26+D27</f>
        <v>2.27</v>
      </c>
      <c r="F27" s="7">
        <v>367</v>
      </c>
      <c r="G27" s="7">
        <v>661</v>
      </c>
      <c r="H27" s="26">
        <f t="shared" si="16"/>
        <v>1.8010899182561309</v>
      </c>
      <c r="I27" s="6">
        <v>0.99</v>
      </c>
      <c r="J27" s="15">
        <v>0.3</v>
      </c>
      <c r="K27" s="5">
        <f>L26</f>
        <v>0</v>
      </c>
      <c r="L27" s="5">
        <v>0</v>
      </c>
      <c r="M27" s="5">
        <f t="shared" si="17"/>
        <v>8</v>
      </c>
      <c r="N27" s="7">
        <f t="shared" si="18"/>
        <v>917.5</v>
      </c>
      <c r="O27" s="7">
        <f t="shared" si="19"/>
        <v>1101</v>
      </c>
      <c r="P27" s="7">
        <f t="shared" si="20"/>
        <v>4349.3174882601461</v>
      </c>
      <c r="Q27" s="27">
        <f t="shared" si="21"/>
        <v>624.8175</v>
      </c>
      <c r="R27" s="27">
        <f t="shared" si="22"/>
        <v>657.29700000000003</v>
      </c>
      <c r="S27" s="11">
        <f t="shared" si="23"/>
        <v>2961.8852095051593</v>
      </c>
      <c r="V27" s="9" t="s">
        <v>10</v>
      </c>
      <c r="W27" s="11">
        <f>SUM(R24:R30)</f>
        <v>46752.392999999989</v>
      </c>
      <c r="X27" s="11">
        <f>SUM(R34:R39)</f>
        <v>44613.164999999994</v>
      </c>
    </row>
    <row r="28" spans="1:24" x14ac:dyDescent="0.2">
      <c r="A28" s="9" t="s">
        <v>54</v>
      </c>
      <c r="B28" s="5">
        <v>3</v>
      </c>
      <c r="C28" s="5">
        <v>5</v>
      </c>
      <c r="D28" s="14">
        <v>0.66</v>
      </c>
      <c r="E28" s="14">
        <f>E26+D28</f>
        <v>2.37</v>
      </c>
      <c r="F28" s="7">
        <v>1996</v>
      </c>
      <c r="G28" s="7">
        <v>2595</v>
      </c>
      <c r="H28" s="26">
        <f t="shared" si="16"/>
        <v>1.3001002004008015</v>
      </c>
      <c r="I28" s="6">
        <v>0.99</v>
      </c>
      <c r="J28" s="15">
        <v>0.3</v>
      </c>
      <c r="K28" s="5">
        <f>L26</f>
        <v>0</v>
      </c>
      <c r="L28" s="5">
        <v>0</v>
      </c>
      <c r="M28" s="5">
        <f t="shared" si="17"/>
        <v>8</v>
      </c>
      <c r="N28" s="7">
        <f t="shared" si="18"/>
        <v>4990</v>
      </c>
      <c r="O28" s="7">
        <f t="shared" si="19"/>
        <v>5988</v>
      </c>
      <c r="P28" s="7">
        <f t="shared" si="20"/>
        <v>17074.854587042479</v>
      </c>
      <c r="Q28" s="27">
        <f t="shared" si="21"/>
        <v>3547.89</v>
      </c>
      <c r="R28" s="27">
        <f t="shared" si="22"/>
        <v>3664.6559999999999</v>
      </c>
      <c r="S28" s="11">
        <f t="shared" si="23"/>
        <v>12140.221611387202</v>
      </c>
      <c r="V28" s="9" t="s">
        <v>11</v>
      </c>
      <c r="W28" s="11">
        <f>SUM(S24:S30)</f>
        <v>55944.259574176591</v>
      </c>
      <c r="X28" s="11">
        <f>SUM(S34:S39)</f>
        <v>62644.283736105674</v>
      </c>
    </row>
    <row r="29" spans="1:24" x14ac:dyDescent="0.2">
      <c r="A29" s="9" t="s">
        <v>55</v>
      </c>
      <c r="B29" s="5">
        <v>2</v>
      </c>
      <c r="C29" s="5">
        <v>5</v>
      </c>
      <c r="D29" s="14">
        <v>0.76</v>
      </c>
      <c r="E29" s="14">
        <f>E26+D29</f>
        <v>2.4699999999999998</v>
      </c>
      <c r="F29" s="7">
        <v>871</v>
      </c>
      <c r="G29" s="7">
        <v>1307</v>
      </c>
      <c r="H29" s="26">
        <f t="shared" si="16"/>
        <v>1.5005740528128588</v>
      </c>
      <c r="I29" s="6">
        <v>0.99</v>
      </c>
      <c r="J29" s="15">
        <v>0.3</v>
      </c>
      <c r="K29" s="5">
        <f>L26</f>
        <v>0</v>
      </c>
      <c r="L29" s="5">
        <v>0</v>
      </c>
      <c r="M29" s="5">
        <f t="shared" si="17"/>
        <v>7</v>
      </c>
      <c r="N29" s="7">
        <f t="shared" si="18"/>
        <v>2177.5</v>
      </c>
      <c r="O29" s="7">
        <f t="shared" si="19"/>
        <v>1742</v>
      </c>
      <c r="P29" s="7">
        <f t="shared" si="20"/>
        <v>8044.5038846207917</v>
      </c>
      <c r="Q29" s="27">
        <f t="shared" si="21"/>
        <v>1613.5274999999997</v>
      </c>
      <c r="R29" s="27">
        <f t="shared" si="22"/>
        <v>1092.2339999999997</v>
      </c>
      <c r="S29" s="11">
        <f t="shared" si="23"/>
        <v>5960.9773785040061</v>
      </c>
      <c r="V29" s="9" t="s">
        <v>12</v>
      </c>
      <c r="W29" s="3">
        <f>SUM(W26:W28)</f>
        <v>118248.13957417657</v>
      </c>
      <c r="X29" s="3">
        <f>SUM(X26:X28)</f>
        <v>122274.12873610566</v>
      </c>
    </row>
    <row r="30" spans="1:24" x14ac:dyDescent="0.2">
      <c r="A30" s="9" t="s">
        <v>56</v>
      </c>
      <c r="B30" s="5">
        <v>4</v>
      </c>
      <c r="C30" s="5">
        <v>5</v>
      </c>
      <c r="D30" s="14">
        <v>0.76</v>
      </c>
      <c r="E30" s="14">
        <f>E26+D30</f>
        <v>2.4699999999999998</v>
      </c>
      <c r="F30" s="7">
        <v>684</v>
      </c>
      <c r="G30" s="7">
        <v>1094</v>
      </c>
      <c r="H30" s="26">
        <f t="shared" si="16"/>
        <v>1.5994152046783625</v>
      </c>
      <c r="I30" s="6">
        <v>0.99</v>
      </c>
      <c r="J30" s="15">
        <v>0.3</v>
      </c>
      <c r="K30" s="5">
        <f>L26</f>
        <v>0</v>
      </c>
      <c r="L30" s="5">
        <v>0</v>
      </c>
      <c r="M30" s="5">
        <f t="shared" si="17"/>
        <v>9</v>
      </c>
      <c r="N30" s="7">
        <f t="shared" si="18"/>
        <v>1710</v>
      </c>
      <c r="O30" s="7">
        <f t="shared" si="19"/>
        <v>2736</v>
      </c>
      <c r="P30" s="7">
        <f t="shared" si="20"/>
        <v>7635.0737226020392</v>
      </c>
      <c r="Q30" s="27">
        <f t="shared" si="21"/>
        <v>1267.1099999999999</v>
      </c>
      <c r="R30" s="27">
        <f t="shared" si="22"/>
        <v>1715.4719999999998</v>
      </c>
      <c r="S30" s="11">
        <f t="shared" si="23"/>
        <v>5657.5896284481105</v>
      </c>
      <c r="V30" s="9" t="s">
        <v>15</v>
      </c>
      <c r="W30" s="12">
        <f>(W29-X29)/W29</f>
        <v>-3.4046955634372579E-2</v>
      </c>
    </row>
    <row r="32" spans="1:24" x14ac:dyDescent="0.2">
      <c r="A32" t="s">
        <v>49</v>
      </c>
    </row>
    <row r="33" spans="1:24" ht="51" x14ac:dyDescent="0.2">
      <c r="B33" s="13" t="s">
        <v>16</v>
      </c>
      <c r="C33" s="13" t="s">
        <v>17</v>
      </c>
      <c r="D33" s="13" t="s">
        <v>18</v>
      </c>
      <c r="E33" s="13" t="s">
        <v>19</v>
      </c>
      <c r="F33" s="13" t="s">
        <v>20</v>
      </c>
      <c r="G33" s="13" t="s">
        <v>21</v>
      </c>
      <c r="H33" s="13" t="s">
        <v>4</v>
      </c>
      <c r="I33" s="13" t="s">
        <v>22</v>
      </c>
      <c r="J33" s="13" t="s">
        <v>23</v>
      </c>
      <c r="K33" s="13" t="s">
        <v>24</v>
      </c>
      <c r="L33" s="13" t="s">
        <v>25</v>
      </c>
      <c r="M33" s="13" t="s">
        <v>26</v>
      </c>
      <c r="N33" s="13" t="s">
        <v>29</v>
      </c>
      <c r="O33" s="13" t="s">
        <v>27</v>
      </c>
      <c r="P33" s="13" t="s">
        <v>28</v>
      </c>
      <c r="Q33" s="13" t="s">
        <v>30</v>
      </c>
      <c r="R33" s="13" t="s">
        <v>31</v>
      </c>
      <c r="S33" s="13" t="s">
        <v>32</v>
      </c>
      <c r="U33" t="str">
        <f>"ONLY VARIABLE COST COMPONENTS:  "&amp;U24</f>
        <v>ONLY VARIABLE COST COMPONENTS:  Pack center stage time 18 and review period 5</v>
      </c>
    </row>
    <row r="34" spans="1:24" x14ac:dyDescent="0.2">
      <c r="A34" s="9" t="s">
        <v>34</v>
      </c>
      <c r="B34" s="5">
        <v>15</v>
      </c>
      <c r="C34" s="5">
        <v>5</v>
      </c>
      <c r="D34" s="14">
        <v>1</v>
      </c>
      <c r="E34" s="14">
        <f>D34</f>
        <v>1</v>
      </c>
      <c r="F34" s="7">
        <f>F35</f>
        <v>3918</v>
      </c>
      <c r="G34" s="7">
        <f>G35</f>
        <v>3174.2764529889328</v>
      </c>
      <c r="H34" s="26">
        <f t="shared" ref="H34:H39" si="24">G34/F34</f>
        <v>0.81017775727129471</v>
      </c>
      <c r="I34" s="6">
        <v>0.99</v>
      </c>
      <c r="J34" s="15">
        <v>0.3</v>
      </c>
      <c r="K34" s="5">
        <v>0</v>
      </c>
      <c r="L34" s="5">
        <v>0</v>
      </c>
      <c r="M34" s="5">
        <f>K34+B34+C34-L34</f>
        <v>20</v>
      </c>
      <c r="N34" s="7">
        <f>C34*F34/2</f>
        <v>9795</v>
      </c>
      <c r="O34" s="7">
        <f>B34*F34</f>
        <v>58770</v>
      </c>
      <c r="P34" s="7">
        <f>NORMSINV(I34)*G34*SQRT(M34)</f>
        <v>33024.359511133865</v>
      </c>
      <c r="Q34" s="27">
        <f>J34*E34*N34</f>
        <v>2938.5</v>
      </c>
      <c r="R34" s="27">
        <f>J34*(E34-D34/2)*O34</f>
        <v>8815.5</v>
      </c>
      <c r="S34" s="27">
        <f>J34*E34*P34</f>
        <v>9907.3078533401585</v>
      </c>
      <c r="W34" s="4" t="s">
        <v>13</v>
      </c>
      <c r="X34" s="4" t="s">
        <v>14</v>
      </c>
    </row>
    <row r="35" spans="1:24" x14ac:dyDescent="0.2">
      <c r="A35" s="9" t="s">
        <v>37</v>
      </c>
      <c r="B35" s="5">
        <f>B25</f>
        <v>18</v>
      </c>
      <c r="C35" s="5">
        <v>5</v>
      </c>
      <c r="D35" s="14">
        <f>D25+D26</f>
        <v>0.71000000000000008</v>
      </c>
      <c r="E35" s="14">
        <f>E34+D35</f>
        <v>1.71</v>
      </c>
      <c r="F35" s="7">
        <f>SUM(F36:F39)</f>
        <v>3918</v>
      </c>
      <c r="G35" s="7">
        <f>SQRT(SUMPRODUCT(G36:G39,G36:G39))</f>
        <v>3174.2764529889328</v>
      </c>
      <c r="H35" s="26">
        <f t="shared" si="24"/>
        <v>0.81017775727129471</v>
      </c>
      <c r="I35" s="6">
        <v>0.99</v>
      </c>
      <c r="J35" s="15">
        <v>0.3</v>
      </c>
      <c r="K35" s="5">
        <f>L34</f>
        <v>0</v>
      </c>
      <c r="L35" s="5">
        <f>L34+B35+C35</f>
        <v>23</v>
      </c>
      <c r="M35" s="5">
        <f t="shared" ref="M35:M39" si="25">K35+B35+C35-L35</f>
        <v>0</v>
      </c>
      <c r="N35" s="7">
        <f t="shared" ref="N35:N39" si="26">C35*F35/2</f>
        <v>9795</v>
      </c>
      <c r="O35" s="7">
        <f t="shared" ref="O35:O39" si="27">B35*F35</f>
        <v>70524</v>
      </c>
      <c r="P35" s="7">
        <f t="shared" ref="P35:P39" si="28">NORMSINV(I35)*G35*SQRT(M35)</f>
        <v>0</v>
      </c>
      <c r="Q35" s="11">
        <f t="shared" ref="Q35:Q39" si="29">J35*E35*N35</f>
        <v>5024.835</v>
      </c>
      <c r="R35" s="11">
        <f t="shared" ref="R35:R39" si="30">J35*(E35-D35/2)*O35</f>
        <v>28668.005999999998</v>
      </c>
      <c r="S35" s="27">
        <f t="shared" ref="S35:S39" si="31">J35*E35*P35</f>
        <v>0</v>
      </c>
      <c r="V35" s="9" t="s">
        <v>9</v>
      </c>
      <c r="W35" s="11">
        <f>SUM(Q25:Q26)</f>
        <v>5559.6419999999989</v>
      </c>
      <c r="X35" s="11">
        <f>Q35</f>
        <v>5024.835</v>
      </c>
    </row>
    <row r="36" spans="1:24" x14ac:dyDescent="0.2">
      <c r="A36" s="9" t="s">
        <v>53</v>
      </c>
      <c r="B36" s="5">
        <v>3</v>
      </c>
      <c r="C36" s="5">
        <v>5</v>
      </c>
      <c r="D36" s="14">
        <v>0.56000000000000005</v>
      </c>
      <c r="E36" s="14">
        <f>E35+D36</f>
        <v>2.27</v>
      </c>
      <c r="F36" s="7">
        <v>367</v>
      </c>
      <c r="G36" s="7">
        <v>661</v>
      </c>
      <c r="H36" s="26">
        <f t="shared" si="24"/>
        <v>1.8010899182561309</v>
      </c>
      <c r="I36" s="6">
        <v>0.99</v>
      </c>
      <c r="J36" s="15">
        <v>0.3</v>
      </c>
      <c r="K36" s="5">
        <f>L35</f>
        <v>23</v>
      </c>
      <c r="L36" s="5">
        <v>0</v>
      </c>
      <c r="M36" s="5">
        <f t="shared" si="25"/>
        <v>31</v>
      </c>
      <c r="N36" s="7">
        <f t="shared" si="26"/>
        <v>917.5</v>
      </c>
      <c r="O36" s="7">
        <f t="shared" si="27"/>
        <v>1101</v>
      </c>
      <c r="P36" s="7">
        <f t="shared" si="28"/>
        <v>8561.6400372844146</v>
      </c>
      <c r="Q36" s="27">
        <f t="shared" si="29"/>
        <v>624.8175</v>
      </c>
      <c r="R36" s="27">
        <f t="shared" si="30"/>
        <v>657.29700000000003</v>
      </c>
      <c r="S36" s="11">
        <f t="shared" si="31"/>
        <v>5830.4768653906858</v>
      </c>
      <c r="V36" s="9" t="s">
        <v>10</v>
      </c>
      <c r="W36" s="11">
        <f>SUM(R25:R26)</f>
        <v>30807.233999999997</v>
      </c>
      <c r="X36" s="11">
        <f>R35</f>
        <v>28668.005999999998</v>
      </c>
    </row>
    <row r="37" spans="1:24" x14ac:dyDescent="0.2">
      <c r="A37" s="9" t="s">
        <v>54</v>
      </c>
      <c r="B37" s="5">
        <v>3</v>
      </c>
      <c r="C37" s="5">
        <v>5</v>
      </c>
      <c r="D37" s="14">
        <v>0.66</v>
      </c>
      <c r="E37" s="14">
        <f>E35+D37</f>
        <v>2.37</v>
      </c>
      <c r="F37" s="7">
        <v>1996</v>
      </c>
      <c r="G37" s="7">
        <v>2595</v>
      </c>
      <c r="H37" s="26">
        <f t="shared" si="24"/>
        <v>1.3001002004008015</v>
      </c>
      <c r="I37" s="6">
        <v>0.99</v>
      </c>
      <c r="J37" s="15">
        <v>0.3</v>
      </c>
      <c r="K37" s="5">
        <f>L35</f>
        <v>23</v>
      </c>
      <c r="L37" s="5">
        <v>0</v>
      </c>
      <c r="M37" s="5">
        <f t="shared" si="25"/>
        <v>31</v>
      </c>
      <c r="N37" s="7">
        <f t="shared" si="26"/>
        <v>4990</v>
      </c>
      <c r="O37" s="7">
        <f t="shared" si="27"/>
        <v>5988</v>
      </c>
      <c r="P37" s="7">
        <f t="shared" si="28"/>
        <v>33611.884866494787</v>
      </c>
      <c r="Q37" s="27">
        <f t="shared" si="29"/>
        <v>3547.89</v>
      </c>
      <c r="R37" s="27">
        <f t="shared" si="30"/>
        <v>3664.6559999999999</v>
      </c>
      <c r="S37" s="11">
        <f t="shared" si="31"/>
        <v>23898.050140077794</v>
      </c>
      <c r="V37" s="9" t="s">
        <v>11</v>
      </c>
      <c r="W37" s="11">
        <f>SUM(S26:S30)</f>
        <v>46036.951720836434</v>
      </c>
      <c r="X37" s="11">
        <f>SUM(S36:S39)</f>
        <v>52736.975882765517</v>
      </c>
    </row>
    <row r="38" spans="1:24" x14ac:dyDescent="0.2">
      <c r="A38" s="9" t="s">
        <v>55</v>
      </c>
      <c r="B38" s="5">
        <v>2</v>
      </c>
      <c r="C38" s="5">
        <v>5</v>
      </c>
      <c r="D38" s="14">
        <v>0.76</v>
      </c>
      <c r="E38" s="14">
        <f>E35+D38</f>
        <v>2.4699999999999998</v>
      </c>
      <c r="F38" s="7">
        <v>871</v>
      </c>
      <c r="G38" s="7">
        <v>1307</v>
      </c>
      <c r="H38" s="26">
        <f t="shared" si="24"/>
        <v>1.5005740528128588</v>
      </c>
      <c r="I38" s="6">
        <v>0.99</v>
      </c>
      <c r="J38" s="15">
        <v>0.3</v>
      </c>
      <c r="K38" s="5">
        <f>L35</f>
        <v>23</v>
      </c>
      <c r="L38" s="5">
        <v>0</v>
      </c>
      <c r="M38" s="5">
        <f t="shared" si="25"/>
        <v>30</v>
      </c>
      <c r="N38" s="7">
        <f t="shared" si="26"/>
        <v>2177.5</v>
      </c>
      <c r="O38" s="7">
        <f t="shared" si="27"/>
        <v>1742</v>
      </c>
      <c r="P38" s="7">
        <f t="shared" si="28"/>
        <v>16653.705218317766</v>
      </c>
      <c r="Q38" s="27">
        <f t="shared" si="29"/>
        <v>1613.5274999999997</v>
      </c>
      <c r="R38" s="27">
        <f t="shared" si="30"/>
        <v>1092.2339999999997</v>
      </c>
      <c r="S38" s="11">
        <f t="shared" si="31"/>
        <v>12340.395566773463</v>
      </c>
      <c r="V38" s="9" t="s">
        <v>12</v>
      </c>
      <c r="W38" s="3">
        <f>SUM(W35:W37)</f>
        <v>82403.827720836431</v>
      </c>
      <c r="X38" s="3">
        <f>SUM(X35:X37)</f>
        <v>86429.816882765517</v>
      </c>
    </row>
    <row r="39" spans="1:24" x14ac:dyDescent="0.2">
      <c r="A39" s="9" t="s">
        <v>56</v>
      </c>
      <c r="B39" s="5">
        <v>4</v>
      </c>
      <c r="C39" s="5">
        <v>5</v>
      </c>
      <c r="D39" s="14">
        <v>0.76</v>
      </c>
      <c r="E39" s="14">
        <f>E35+D39</f>
        <v>2.4699999999999998</v>
      </c>
      <c r="F39" s="7">
        <v>684</v>
      </c>
      <c r="G39" s="7">
        <v>1094</v>
      </c>
      <c r="H39" s="26">
        <f t="shared" si="24"/>
        <v>1.5994152046783625</v>
      </c>
      <c r="I39" s="6">
        <v>0.99</v>
      </c>
      <c r="J39" s="15">
        <v>0.3</v>
      </c>
      <c r="K39" s="5">
        <f>L35</f>
        <v>23</v>
      </c>
      <c r="L39" s="5">
        <v>0</v>
      </c>
      <c r="M39" s="5">
        <f t="shared" si="25"/>
        <v>32</v>
      </c>
      <c r="N39" s="7">
        <f t="shared" si="26"/>
        <v>1710</v>
      </c>
      <c r="O39" s="7">
        <f t="shared" si="27"/>
        <v>2736</v>
      </c>
      <c r="P39" s="7">
        <f t="shared" si="28"/>
        <v>14396.833077629652</v>
      </c>
      <c r="Q39" s="27">
        <f t="shared" si="29"/>
        <v>1267.1099999999999</v>
      </c>
      <c r="R39" s="27">
        <f t="shared" si="30"/>
        <v>1715.4719999999998</v>
      </c>
      <c r="S39" s="11">
        <f t="shared" si="31"/>
        <v>10668.05331052357</v>
      </c>
      <c r="V39" s="9" t="s">
        <v>15</v>
      </c>
      <c r="W39" s="25">
        <f>(W38-X38)/W38</f>
        <v>-4.8856822228794172E-2</v>
      </c>
    </row>
    <row r="40" spans="1:24" x14ac:dyDescent="0.2">
      <c r="W40" s="9" t="s">
        <v>47</v>
      </c>
      <c r="X40" s="2">
        <f>SUM(Q24:S24,S25,Q27:R30)</f>
        <v>35844.311853340158</v>
      </c>
    </row>
    <row r="42" spans="1:24" ht="51" x14ac:dyDescent="0.2">
      <c r="G42" s="18" t="s">
        <v>43</v>
      </c>
      <c r="H42" s="18" t="s">
        <v>44</v>
      </c>
      <c r="I42" s="18" t="s">
        <v>45</v>
      </c>
      <c r="J42" s="18" t="s">
        <v>15</v>
      </c>
    </row>
    <row r="43" spans="1:24" x14ac:dyDescent="0.2">
      <c r="F43" s="2"/>
      <c r="H43" s="2">
        <f>W9</f>
        <v>93108.277766603045</v>
      </c>
      <c r="I43" s="2">
        <f>X9</f>
        <v>88995.441542434521</v>
      </c>
      <c r="J43" s="17">
        <f>W10</f>
        <v>4.4172616257367348E-2</v>
      </c>
    </row>
    <row r="44" spans="1:24" x14ac:dyDescent="0.2">
      <c r="G44" s="1">
        <v>0</v>
      </c>
      <c r="H44" s="10">
        <f t="dataTable" ref="H44:J64" dt2D="0" dtr="0" r1="B5"/>
        <v>82671.174818768341</v>
      </c>
      <c r="I44" s="10">
        <v>74981.636649259264</v>
      </c>
      <c r="J44" s="19">
        <v>9.3013534480017659E-2</v>
      </c>
    </row>
    <row r="45" spans="1:24" x14ac:dyDescent="0.2">
      <c r="G45" s="1">
        <v>1</v>
      </c>
      <c r="H45" s="10">
        <v>84819.767978070813</v>
      </c>
      <c r="I45" s="10">
        <v>77867.382974805223</v>
      </c>
      <c r="J45" s="19">
        <v>8.1966564740698772E-2</v>
      </c>
    </row>
    <row r="46" spans="1:24" x14ac:dyDescent="0.2">
      <c r="G46" s="1">
        <v>2</v>
      </c>
      <c r="H46" s="10">
        <v>86933.148689727896</v>
      </c>
      <c r="I46" s="10">
        <v>80707.440174089003</v>
      </c>
      <c r="J46" s="19">
        <v>7.1614897302972408E-2</v>
      </c>
    </row>
    <row r="47" spans="1:24" x14ac:dyDescent="0.2">
      <c r="G47" s="1">
        <v>3</v>
      </c>
      <c r="H47" s="10">
        <v>89016.486699930247</v>
      </c>
      <c r="I47" s="10">
        <v>83506.3427358068</v>
      </c>
      <c r="J47" s="19">
        <v>6.1900263292774552E-2</v>
      </c>
    </row>
    <row r="48" spans="1:24" x14ac:dyDescent="0.2">
      <c r="G48" s="1">
        <v>4</v>
      </c>
      <c r="H48" s="10">
        <v>91073.798387218485</v>
      </c>
      <c r="I48" s="10">
        <v>86267.920126037207</v>
      </c>
      <c r="J48" s="19">
        <v>5.2769054835597448E-2</v>
      </c>
    </row>
    <row r="49" spans="1:10" x14ac:dyDescent="0.2">
      <c r="A49" t="s">
        <v>52</v>
      </c>
      <c r="G49" s="1">
        <v>5</v>
      </c>
      <c r="H49" s="10">
        <v>93108.277766603045</v>
      </c>
      <c r="I49" s="10">
        <v>88995.441542434521</v>
      </c>
      <c r="J49" s="19">
        <v>4.4172616257367348E-2</v>
      </c>
    </row>
    <row r="50" spans="1:10" x14ac:dyDescent="0.2">
      <c r="B50" s="4" t="s">
        <v>7</v>
      </c>
      <c r="C50" s="4" t="s">
        <v>8</v>
      </c>
      <c r="D50" s="4" t="s">
        <v>4</v>
      </c>
      <c r="G50" s="1">
        <v>6</v>
      </c>
      <c r="H50" s="10">
        <v>95122.514533175825</v>
      </c>
      <c r="I50" s="10">
        <v>91691.7245120843</v>
      </c>
      <c r="J50" s="19">
        <v>3.6067066119188536E-2</v>
      </c>
    </row>
    <row r="51" spans="1:10" x14ac:dyDescent="0.2">
      <c r="A51" s="8" t="s">
        <v>57</v>
      </c>
      <c r="B51" s="7">
        <f>20*F7</f>
        <v>7340</v>
      </c>
      <c r="C51" s="7">
        <f>SQRT(20)*G7</f>
        <v>2956.0818662547222</v>
      </c>
      <c r="D51" s="6">
        <f>C51/B51</f>
        <v>0.40273594908102484</v>
      </c>
      <c r="G51" s="1">
        <v>7</v>
      </c>
      <c r="H51" s="10">
        <v>97118.642967005304</v>
      </c>
      <c r="I51" s="10">
        <v>94359.21780643551</v>
      </c>
      <c r="J51" s="19">
        <v>2.8412929549553833E-2</v>
      </c>
    </row>
    <row r="52" spans="1:10" x14ac:dyDescent="0.2">
      <c r="A52" s="8" t="s">
        <v>58</v>
      </c>
      <c r="B52" s="7">
        <f>20*F8</f>
        <v>39920</v>
      </c>
      <c r="C52" s="7">
        <f>SQRT(20)*G8</f>
        <v>11605.192803223908</v>
      </c>
      <c r="D52" s="6">
        <f>C52/B52</f>
        <v>0.29071124256572917</v>
      </c>
      <c r="G52" s="1">
        <v>8</v>
      </c>
      <c r="H52" s="10">
        <v>99098.446743699547</v>
      </c>
      <c r="I52" s="10">
        <v>97000.065736000222</v>
      </c>
      <c r="J52" s="19">
        <v>2.1174711376924133E-2</v>
      </c>
    </row>
    <row r="53" spans="1:10" x14ac:dyDescent="0.2">
      <c r="A53" s="8" t="s">
        <v>59</v>
      </c>
      <c r="B53" s="7">
        <f>20*F9</f>
        <v>17420</v>
      </c>
      <c r="C53" s="7">
        <f>SQRT(20)*G9</f>
        <v>5845.0816931844502</v>
      </c>
      <c r="D53" s="6">
        <f>C53/B53</f>
        <v>0.33553855873619115</v>
      </c>
      <c r="G53" s="1">
        <v>9</v>
      </c>
      <c r="H53" s="10">
        <v>101063.43463140322</v>
      </c>
      <c r="I53" s="10">
        <v>99616.158698754152</v>
      </c>
      <c r="J53" s="19">
        <v>1.432047048398407E-2</v>
      </c>
    </row>
    <row r="54" spans="1:10" x14ac:dyDescent="0.2">
      <c r="A54" s="8" t="s">
        <v>60</v>
      </c>
      <c r="B54" s="7">
        <f>20*F10</f>
        <v>13680</v>
      </c>
      <c r="C54" s="7">
        <f>SQRT(20)*G10</f>
        <v>4892.5167347695397</v>
      </c>
      <c r="D54" s="6">
        <f>C54/B54</f>
        <v>0.35764011219075581</v>
      </c>
      <c r="G54" s="1">
        <v>10</v>
      </c>
      <c r="H54" s="10">
        <v>103014.89638756018</v>
      </c>
      <c r="I54" s="10">
        <v>102209.17341530051</v>
      </c>
      <c r="J54" s="19">
        <v>7.8214219546306769E-3</v>
      </c>
    </row>
    <row r="55" spans="1:10" x14ac:dyDescent="0.2">
      <c r="G55" s="1">
        <v>11</v>
      </c>
      <c r="H55" s="10">
        <v>104953.9448400688</v>
      </c>
      <c r="I55" s="10">
        <v>104780.60531358796</v>
      </c>
      <c r="J55" s="19">
        <v>1.651577048818639E-3</v>
      </c>
    </row>
    <row r="56" spans="1:10" x14ac:dyDescent="0.2">
      <c r="G56" s="1">
        <v>12</v>
      </c>
      <c r="H56" s="10">
        <v>106881.54811039631</v>
      </c>
      <c r="I56" s="10">
        <v>107331.79485921768</v>
      </c>
      <c r="J56" s="19">
        <v>-4.2125769768634001E-3</v>
      </c>
    </row>
    <row r="57" spans="1:10" x14ac:dyDescent="0.2">
      <c r="G57" s="1">
        <v>13</v>
      </c>
      <c r="H57" s="10">
        <v>108798.55466236587</v>
      </c>
      <c r="I57" s="10">
        <v>109863.94916074889</v>
      </c>
      <c r="J57" s="19">
        <v>-9.7923589305873564E-3</v>
      </c>
    </row>
    <row r="58" spans="1:10" x14ac:dyDescent="0.2">
      <c r="G58" s="1">
        <v>14</v>
      </c>
      <c r="H58" s="10">
        <v>110705.71303738488</v>
      </c>
      <c r="I58" s="10">
        <v>112378.1598474044</v>
      </c>
      <c r="J58" s="19">
        <v>-1.510714094271489E-2</v>
      </c>
    </row>
    <row r="59" spans="1:10" x14ac:dyDescent="0.2">
      <c r="G59" s="1">
        <v>15</v>
      </c>
      <c r="H59" s="10">
        <v>112603.68759206453</v>
      </c>
      <c r="I59" s="10">
        <v>114875.41797677123</v>
      </c>
      <c r="J59" s="19">
        <v>-2.0174564734830262E-2</v>
      </c>
    </row>
    <row r="60" spans="1:10" x14ac:dyDescent="0.2">
      <c r="G60" s="1">
        <v>16</v>
      </c>
      <c r="H60" s="10">
        <v>114493.07118552955</v>
      </c>
      <c r="I60" s="10">
        <v>117356.62655448483</v>
      </c>
      <c r="J60" s="19">
        <v>-2.501073068705657E-2</v>
      </c>
    </row>
    <row r="61" spans="1:10" x14ac:dyDescent="0.2">
      <c r="G61" s="1">
        <v>17</v>
      </c>
      <c r="H61" s="10">
        <v>116374.39550932826</v>
      </c>
      <c r="I61" s="10">
        <v>119822.61111765701</v>
      </c>
      <c r="J61" s="19">
        <v>-2.9630363218963882E-2</v>
      </c>
    </row>
    <row r="62" spans="1:10" x14ac:dyDescent="0.2">
      <c r="G62" s="1">
        <v>18</v>
      </c>
      <c r="H62" s="10">
        <v>118248.13957417657</v>
      </c>
      <c r="I62" s="10">
        <v>122274.12873610566</v>
      </c>
      <c r="J62" s="19">
        <v>-3.4046955634372579E-2</v>
      </c>
    </row>
    <row r="63" spans="1:10" x14ac:dyDescent="0.2">
      <c r="G63" s="1">
        <v>19</v>
      </c>
      <c r="H63" s="10">
        <v>120114.73674023541</v>
      </c>
      <c r="I63" s="10">
        <v>124711.87571134941</v>
      </c>
      <c r="J63" s="19">
        <v>-3.8272897197085286E-2</v>
      </c>
    </row>
    <row r="64" spans="1:10" x14ac:dyDescent="0.2">
      <c r="G64" s="1">
        <v>20</v>
      </c>
      <c r="H64" s="10">
        <v>121974.58058524734</v>
      </c>
      <c r="I64" s="10">
        <v>127136.49419658021</v>
      </c>
      <c r="J64" s="19">
        <v>-4.2319584839443161E-2</v>
      </c>
    </row>
    <row r="67" spans="10:11" x14ac:dyDescent="0.2">
      <c r="J67" s="2"/>
      <c r="K67" s="2"/>
    </row>
    <row r="68" spans="10:11" x14ac:dyDescent="0.2">
      <c r="J68" s="2"/>
      <c r="K68" s="2"/>
    </row>
  </sheetData>
  <pageMargins left="0.45" right="0.45" top="0.5" bottom="0.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 sw analysis</vt:lpstr>
      <vt:lpstr>NA sw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Microsoft Office User</cp:lastModifiedBy>
  <dcterms:created xsi:type="dcterms:W3CDTF">2019-05-12T01:38:15Z</dcterms:created>
  <dcterms:modified xsi:type="dcterms:W3CDTF">2023-03-06T22:54:10Z</dcterms:modified>
</cp:coreProperties>
</file>