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2e75999e4bb43dd/MIT SDM Course/Spring 2023/Inventory analytics/S9 postponement/"/>
    </mc:Choice>
  </mc:AlternateContent>
  <xr:revisionPtr revIDLastSave="0" documentId="13_ncr:1_{87B37A14-1974-3F42-A851-DD474E18DB48}" xr6:coauthVersionLast="47" xr6:coauthVersionMax="47" xr10:uidLastSave="{00000000-0000-0000-0000-000000000000}"/>
  <bookViews>
    <workbookView xWindow="-28920" yWindow="-120" windowWidth="29040" windowHeight="15720" xr2:uid="{EB8E594C-BCC2-D747-A8E3-F5DF6E0848D0}"/>
  </bookViews>
  <sheets>
    <sheet name="EUR sw analysis" sheetId="13" r:id="rId1"/>
    <sheet name="NA sw analysis" sheetId="1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9" i="12" l="1"/>
  <c r="H18" i="12"/>
  <c r="H17" i="12"/>
  <c r="H16" i="12"/>
  <c r="G15" i="12"/>
  <c r="G14" i="12" s="1"/>
  <c r="H14" i="12" s="1"/>
  <c r="F15" i="12"/>
  <c r="D15" i="12"/>
  <c r="E15" i="12" s="1"/>
  <c r="F14" i="12"/>
  <c r="E14" i="12"/>
  <c r="H10" i="12"/>
  <c r="H9" i="12"/>
  <c r="H8" i="12"/>
  <c r="H7" i="12"/>
  <c r="G6" i="12"/>
  <c r="H6" i="12" s="1"/>
  <c r="F6" i="12"/>
  <c r="F5" i="12"/>
  <c r="F4" i="12" s="1"/>
  <c r="E5" i="12"/>
  <c r="E6" i="12" s="1"/>
  <c r="E4" i="12"/>
  <c r="H23" i="13"/>
  <c r="H22" i="13"/>
  <c r="H21" i="13"/>
  <c r="H20" i="13"/>
  <c r="H19" i="13"/>
  <c r="H18" i="13"/>
  <c r="G17" i="13"/>
  <c r="G16" i="13" s="1"/>
  <c r="F17" i="13"/>
  <c r="F16" i="13" s="1"/>
  <c r="E17" i="13"/>
  <c r="E23" i="13" s="1"/>
  <c r="D17" i="13"/>
  <c r="D16" i="13"/>
  <c r="E4" i="13"/>
  <c r="E5" i="13" s="1"/>
  <c r="E6" i="13" s="1"/>
  <c r="H12" i="13"/>
  <c r="H11" i="13"/>
  <c r="H10" i="13"/>
  <c r="H9" i="13"/>
  <c r="H8" i="13"/>
  <c r="H7" i="13"/>
  <c r="H6" i="13"/>
  <c r="H5" i="13"/>
  <c r="H4" i="13"/>
  <c r="G6" i="13"/>
  <c r="G5" i="13" s="1"/>
  <c r="G4" i="13" s="1"/>
  <c r="F6" i="13"/>
  <c r="F5" i="13"/>
  <c r="F4" i="13" s="1"/>
  <c r="B17" i="13"/>
  <c r="B15" i="12"/>
  <c r="L15" i="12" s="1"/>
  <c r="K17" i="12" s="1"/>
  <c r="M17" i="12" s="1"/>
  <c r="U4" i="13"/>
  <c r="U4" i="12"/>
  <c r="B37" i="12"/>
  <c r="B36" i="12"/>
  <c r="B35" i="12"/>
  <c r="B34" i="12"/>
  <c r="O23" i="13"/>
  <c r="N23" i="13"/>
  <c r="O22" i="13"/>
  <c r="N22" i="13"/>
  <c r="O21" i="13"/>
  <c r="N21" i="13"/>
  <c r="O20" i="13"/>
  <c r="N20" i="13"/>
  <c r="O19" i="13"/>
  <c r="N19" i="13"/>
  <c r="O18" i="13"/>
  <c r="N18" i="13"/>
  <c r="K17" i="13"/>
  <c r="M16" i="13"/>
  <c r="B36" i="13"/>
  <c r="O12" i="13"/>
  <c r="N12" i="13"/>
  <c r="K12" i="13"/>
  <c r="M12" i="13" s="1"/>
  <c r="C36" i="13"/>
  <c r="C35" i="13"/>
  <c r="B35" i="13"/>
  <c r="O11" i="13"/>
  <c r="N11" i="13"/>
  <c r="K11" i="13"/>
  <c r="M11" i="13" s="1"/>
  <c r="B34" i="13"/>
  <c r="O10" i="13"/>
  <c r="N10" i="13"/>
  <c r="K10" i="13"/>
  <c r="M10" i="13" s="1"/>
  <c r="C34" i="13"/>
  <c r="B33" i="13"/>
  <c r="O9" i="13"/>
  <c r="N9" i="13"/>
  <c r="K9" i="13"/>
  <c r="M9" i="13" s="1"/>
  <c r="B32" i="13"/>
  <c r="O8" i="13"/>
  <c r="N8" i="13"/>
  <c r="K8" i="13"/>
  <c r="M8" i="13" s="1"/>
  <c r="C32" i="13"/>
  <c r="B31" i="13"/>
  <c r="O7" i="13"/>
  <c r="N7" i="13"/>
  <c r="K7" i="13"/>
  <c r="M7" i="13" s="1"/>
  <c r="P7" i="13" s="1"/>
  <c r="C31" i="13"/>
  <c r="O6" i="13"/>
  <c r="L5" i="13"/>
  <c r="K6" i="13" s="1"/>
  <c r="M6" i="13" s="1"/>
  <c r="K5" i="13"/>
  <c r="M5" i="13" s="1"/>
  <c r="M4" i="13"/>
  <c r="O19" i="12"/>
  <c r="N19" i="12"/>
  <c r="O18" i="12"/>
  <c r="N18" i="12"/>
  <c r="O17" i="12"/>
  <c r="N17" i="12"/>
  <c r="O16" i="12"/>
  <c r="N16" i="12"/>
  <c r="K15" i="12"/>
  <c r="N15" i="12"/>
  <c r="M14" i="12"/>
  <c r="O10" i="12"/>
  <c r="N10" i="12"/>
  <c r="K10" i="12"/>
  <c r="M10" i="12" s="1"/>
  <c r="O9" i="12"/>
  <c r="N9" i="12"/>
  <c r="K9" i="12"/>
  <c r="M9" i="12" s="1"/>
  <c r="O8" i="12"/>
  <c r="N8" i="12"/>
  <c r="K8" i="12"/>
  <c r="M8" i="12" s="1"/>
  <c r="O7" i="12"/>
  <c r="N7" i="12"/>
  <c r="K7" i="12"/>
  <c r="M7" i="12" s="1"/>
  <c r="C34" i="12"/>
  <c r="L5" i="12"/>
  <c r="K6" i="12" s="1"/>
  <c r="M6" i="12" s="1"/>
  <c r="K5" i="12"/>
  <c r="M4" i="12"/>
  <c r="E19" i="12" l="1"/>
  <c r="E18" i="12"/>
  <c r="E17" i="12"/>
  <c r="E16" i="12"/>
  <c r="H15" i="12"/>
  <c r="E10" i="12"/>
  <c r="E9" i="12"/>
  <c r="E8" i="12"/>
  <c r="E7" i="12"/>
  <c r="G5" i="12"/>
  <c r="H16" i="13"/>
  <c r="E21" i="13"/>
  <c r="H17" i="13"/>
  <c r="N17" i="13"/>
  <c r="Q17" i="13" s="1"/>
  <c r="E19" i="13"/>
  <c r="R19" i="13" s="1"/>
  <c r="E20" i="13"/>
  <c r="O17" i="13"/>
  <c r="R17" i="13" s="1"/>
  <c r="E22" i="13"/>
  <c r="E18" i="13"/>
  <c r="E12" i="13"/>
  <c r="E11" i="13"/>
  <c r="E10" i="13"/>
  <c r="E9" i="13"/>
  <c r="E8" i="13"/>
  <c r="E7" i="13"/>
  <c r="D32" i="13"/>
  <c r="D34" i="12"/>
  <c r="M15" i="12"/>
  <c r="D35" i="13"/>
  <c r="D36" i="13"/>
  <c r="D34" i="13"/>
  <c r="L17" i="13"/>
  <c r="K21" i="13" s="1"/>
  <c r="M21" i="13" s="1"/>
  <c r="P21" i="13" s="1"/>
  <c r="N6" i="13"/>
  <c r="P6" i="13"/>
  <c r="D31" i="13"/>
  <c r="P8" i="13"/>
  <c r="P11" i="13"/>
  <c r="N5" i="13"/>
  <c r="Q5" i="13" s="1"/>
  <c r="O5" i="13"/>
  <c r="R5" i="13" s="1"/>
  <c r="O16" i="13"/>
  <c r="R16" i="13" s="1"/>
  <c r="P8" i="12"/>
  <c r="K18" i="12"/>
  <c r="M18" i="12" s="1"/>
  <c r="P18" i="12" s="1"/>
  <c r="M5" i="12"/>
  <c r="K16" i="12"/>
  <c r="M16" i="12" s="1"/>
  <c r="P16" i="12" s="1"/>
  <c r="K19" i="12"/>
  <c r="M19" i="12" s="1"/>
  <c r="P19" i="12" s="1"/>
  <c r="P10" i="12"/>
  <c r="C35" i="12"/>
  <c r="D35" i="12" s="1"/>
  <c r="P9" i="12"/>
  <c r="O14" i="12"/>
  <c r="R14" i="12" s="1"/>
  <c r="C36" i="12"/>
  <c r="D36" i="12" s="1"/>
  <c r="O15" i="12"/>
  <c r="R15" i="12" s="1"/>
  <c r="C37" i="12"/>
  <c r="D37" i="12" s="1"/>
  <c r="O4" i="13"/>
  <c r="R4" i="13" s="1"/>
  <c r="N4" i="13"/>
  <c r="Q4" i="13" s="1"/>
  <c r="P12" i="13"/>
  <c r="Q19" i="13"/>
  <c r="P9" i="13"/>
  <c r="P10" i="13"/>
  <c r="C33" i="13"/>
  <c r="D33" i="13" s="1"/>
  <c r="R17" i="12"/>
  <c r="Q17" i="12"/>
  <c r="O5" i="12"/>
  <c r="R5" i="12" s="1"/>
  <c r="N5" i="12"/>
  <c r="Q5" i="12" s="1"/>
  <c r="P17" i="12"/>
  <c r="S17" i="12" s="1"/>
  <c r="N6" i="12"/>
  <c r="O6" i="12"/>
  <c r="P7" i="12"/>
  <c r="Q15" i="12"/>
  <c r="G4" i="12" l="1"/>
  <c r="H4" i="12" s="1"/>
  <c r="H5" i="12"/>
  <c r="M17" i="13"/>
  <c r="P17" i="13" s="1"/>
  <c r="S17" i="13" s="1"/>
  <c r="K22" i="13"/>
  <c r="M22" i="13" s="1"/>
  <c r="P22" i="13" s="1"/>
  <c r="K23" i="13"/>
  <c r="M23" i="13" s="1"/>
  <c r="P23" i="13" s="1"/>
  <c r="S23" i="13" s="1"/>
  <c r="N16" i="13"/>
  <c r="Q16" i="13" s="1"/>
  <c r="K20" i="13"/>
  <c r="M20" i="13" s="1"/>
  <c r="P20" i="13" s="1"/>
  <c r="S20" i="13" s="1"/>
  <c r="K19" i="13"/>
  <c r="M19" i="13" s="1"/>
  <c r="P19" i="13" s="1"/>
  <c r="S19" i="13" s="1"/>
  <c r="K18" i="13"/>
  <c r="M18" i="13" s="1"/>
  <c r="P18" i="13" s="1"/>
  <c r="S18" i="13" s="1"/>
  <c r="N14" i="12"/>
  <c r="Q14" i="12" s="1"/>
  <c r="P5" i="13"/>
  <c r="S5" i="13" s="1"/>
  <c r="S6" i="13"/>
  <c r="R6" i="13"/>
  <c r="Q6" i="13"/>
  <c r="Q23" i="13"/>
  <c r="R23" i="13"/>
  <c r="R18" i="13"/>
  <c r="Q18" i="13"/>
  <c r="Q21" i="13"/>
  <c r="S21" i="13"/>
  <c r="R21" i="13"/>
  <c r="P16" i="13"/>
  <c r="S16" i="13" s="1"/>
  <c r="O4" i="12"/>
  <c r="R4" i="12" s="1"/>
  <c r="N4" i="12"/>
  <c r="Q4" i="12" s="1"/>
  <c r="S16" i="12"/>
  <c r="R16" i="12"/>
  <c r="Q16" i="12"/>
  <c r="S19" i="12"/>
  <c r="R19" i="12"/>
  <c r="Q19" i="12"/>
  <c r="P15" i="12"/>
  <c r="S15" i="12" s="1"/>
  <c r="P6" i="12"/>
  <c r="S6" i="12" s="1"/>
  <c r="S18" i="12"/>
  <c r="R18" i="12"/>
  <c r="Q18" i="12"/>
  <c r="R6" i="12"/>
  <c r="Q6" i="12"/>
  <c r="Q20" i="13" l="1"/>
  <c r="R20" i="13"/>
  <c r="X7" i="12"/>
  <c r="X6" i="12"/>
  <c r="S8" i="13"/>
  <c r="R8" i="13"/>
  <c r="Q8" i="13"/>
  <c r="R9" i="13"/>
  <c r="S9" i="13"/>
  <c r="Q9" i="13"/>
  <c r="S22" i="13"/>
  <c r="X8" i="13" s="1"/>
  <c r="Q22" i="13"/>
  <c r="X6" i="13" s="1"/>
  <c r="R22" i="13"/>
  <c r="S10" i="13"/>
  <c r="R10" i="13"/>
  <c r="Q10" i="13"/>
  <c r="P4" i="13"/>
  <c r="S4" i="13" s="1"/>
  <c r="S7" i="13"/>
  <c r="R7" i="13"/>
  <c r="Q7" i="13"/>
  <c r="S8" i="12"/>
  <c r="R8" i="12"/>
  <c r="Q8" i="12"/>
  <c r="P14" i="12"/>
  <c r="S14" i="12" s="1"/>
  <c r="X8" i="12" s="1"/>
  <c r="Q10" i="12"/>
  <c r="S10" i="12"/>
  <c r="R10" i="12"/>
  <c r="Q9" i="12"/>
  <c r="S9" i="12"/>
  <c r="R9" i="12"/>
  <c r="P5" i="12"/>
  <c r="S5" i="12" s="1"/>
  <c r="S7" i="12"/>
  <c r="Q7" i="12"/>
  <c r="R7" i="12"/>
  <c r="X7" i="13" l="1"/>
  <c r="X9" i="13" s="1"/>
  <c r="W6" i="12"/>
  <c r="W7" i="12"/>
  <c r="X9" i="12"/>
  <c r="I26" i="12" s="1"/>
  <c r="Q11" i="13"/>
  <c r="S11" i="13"/>
  <c r="R11" i="13"/>
  <c r="Q12" i="13"/>
  <c r="R12" i="13"/>
  <c r="S12" i="13"/>
  <c r="W8" i="13" s="1"/>
  <c r="P4" i="12"/>
  <c r="S4" i="12" s="1"/>
  <c r="W8" i="12" s="1"/>
  <c r="W9" i="12" s="1"/>
  <c r="H26" i="12" s="1"/>
  <c r="W7" i="13" l="1"/>
  <c r="W10" i="12"/>
  <c r="J26" i="12" s="1"/>
  <c r="W6" i="13"/>
  <c r="W9" i="13" s="1"/>
  <c r="W10" i="13" s="1"/>
</calcChain>
</file>

<file path=xl/sharedStrings.xml><?xml version="1.0" encoding="utf-8"?>
<sst xmlns="http://schemas.openxmlformats.org/spreadsheetml/2006/main" count="146" uniqueCount="59">
  <si>
    <t>DC 1</t>
  </si>
  <si>
    <t>DC 2</t>
  </si>
  <si>
    <t>DC 3</t>
  </si>
  <si>
    <t>DC 4</t>
  </si>
  <si>
    <t>CV</t>
  </si>
  <si>
    <t>DC 5</t>
  </si>
  <si>
    <t>DC 6</t>
  </si>
  <si>
    <t>Average</t>
  </si>
  <si>
    <t>Std. Dev</t>
  </si>
  <si>
    <t>E[cycle stock cost]</t>
  </si>
  <si>
    <t>E[pipeline stock cost]</t>
  </si>
  <si>
    <t>E[safety stock cost]</t>
  </si>
  <si>
    <t>E[total inventory cost]</t>
  </si>
  <si>
    <t>With SW</t>
  </si>
  <si>
    <t>Without SW</t>
  </si>
  <si>
    <t>Percent difference</t>
  </si>
  <si>
    <t>Stage time</t>
  </si>
  <si>
    <t>Review period</t>
  </si>
  <si>
    <t>Stage cost added</t>
  </si>
  <si>
    <t>Cumulative cost</t>
  </si>
  <si>
    <t>Average demand</t>
  </si>
  <si>
    <t>Std dev of demand</t>
  </si>
  <si>
    <t>Service level</t>
  </si>
  <si>
    <t>Holding cost rate</t>
  </si>
  <si>
    <t>Incoming service time</t>
  </si>
  <si>
    <t>Outgoing service time</t>
  </si>
  <si>
    <t>net replen time</t>
  </si>
  <si>
    <t>E[ pipeline stock ]</t>
  </si>
  <si>
    <t>E[ safety stock ]</t>
  </si>
  <si>
    <t>E[ cycle stock ]</t>
  </si>
  <si>
    <t>E[ cycle stock cost]</t>
  </si>
  <si>
    <t>E[ pipeline stock cost]</t>
  </si>
  <si>
    <t>E[ safety stock cost]</t>
  </si>
  <si>
    <t>The table below employs a supply warehouse to pool distribution center demand; note by design the supply warehouse holds a decoupling safety stock so its outgoing service time is zero</t>
  </si>
  <si>
    <t>Factory</t>
  </si>
  <si>
    <t>Customer facing DC 1</t>
  </si>
  <si>
    <t>Supply warehouse</t>
  </si>
  <si>
    <t>Pack center</t>
  </si>
  <si>
    <t>Customer facing DC 2</t>
  </si>
  <si>
    <t>Customer facing DC 3</t>
  </si>
  <si>
    <t>Customer facing DC 4</t>
  </si>
  <si>
    <t>Customer facing DC 5</t>
  </si>
  <si>
    <t>Customer facing DC 6</t>
  </si>
  <si>
    <t>Pack center stage time</t>
  </si>
  <si>
    <t>With supply warehouse</t>
  </si>
  <si>
    <t>Without supply warehouse</t>
  </si>
  <si>
    <t>input cell</t>
  </si>
  <si>
    <t>European and AMEE markets supply warehouse analysis - comparing a supply warehouse supplying DCs versus pack center directly shipping to DCs; note in both scenarios the pack center holds no safety stock, immediately shipping product to its downstream-adjacent stage</t>
  </si>
  <si>
    <t>North America market supply warehouse analysis - comparing a supply warehouse supplying DCs versus pack center directly shipping to DCs; note in both scenarios the pack center holds no safety stock, immediately shipping product to its downstream-adjacent stage</t>
  </si>
  <si>
    <t>The table below has the pack center directly fulfill distribution center demand</t>
  </si>
  <si>
    <t>Monthly demand (20 days per month)</t>
  </si>
  <si>
    <t>DC 7</t>
  </si>
  <si>
    <t>DC 8</t>
  </si>
  <si>
    <t>DC 9</t>
  </si>
  <si>
    <t>DC 10</t>
  </si>
  <si>
    <t>Customer facing DC 7</t>
  </si>
  <si>
    <t>Customer facing DC 8</t>
  </si>
  <si>
    <t>Customer facing DC 9</t>
  </si>
  <si>
    <t>Customer facing DC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</si>
</sst>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,##0_);[Red]\(&quot;$&quot;#,##0\)"/>
    <numFmt numFmtId="165" formatCode="&quot;$&quot;#,##0.00_);[Red]\(&quot;$&quot;#,##0.00\)"/>
    <numFmt numFmtId="166" formatCode="0.0%"/>
    <numFmt numFmtId="167" formatCode="0.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/>
    </xf>
    <xf numFmtId="166" fontId="0" fillId="0" borderId="0" xfId="1" applyNumberFormat="1" applyFont="1" applyAlignment="1">
      <alignment horizontal="center"/>
    </xf>
    <xf numFmtId="49" fontId="0" fillId="0" borderId="0" xfId="0" applyNumberFormat="1" applyAlignment="1">
      <alignment horizontal="center" wrapText="1"/>
    </xf>
    <xf numFmtId="165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66" fontId="0" fillId="0" borderId="0" xfId="0" applyNumberFormat="1"/>
    <xf numFmtId="0" fontId="0" fillId="0" borderId="0" xfId="0" applyAlignment="1">
      <alignment horizontal="center" wrapText="1"/>
    </xf>
    <xf numFmtId="166" fontId="0" fillId="0" borderId="1" xfId="0" applyNumberFormat="1" applyBorder="1"/>
    <xf numFmtId="0" fontId="0" fillId="2" borderId="0" xfId="0" applyFill="1"/>
    <xf numFmtId="167" fontId="0" fillId="0" borderId="1" xfId="0" applyNumberForma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Expected Total Inventory Cost As</a:t>
            </a:r>
            <a:r>
              <a:rPr lang="en-US" baseline="0"/>
              <a:t> Function of </a:t>
            </a:r>
            <a:br>
              <a:rPr lang="en-US" baseline="0"/>
            </a:br>
            <a:r>
              <a:rPr lang="en-US" baseline="0"/>
              <a:t>NA Pack Center Stage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With supply warehouse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numRef>
              <c:f>'NA sw analysis'!$G$27:$G$47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'NA sw analysis'!$H$27:$H$47</c:f>
              <c:numCache>
                <c:formatCode>"$"#,##0_);[Red]\("$"#,##0\)</c:formatCode>
                <c:ptCount val="21"/>
                <c:pt idx="0">
                  <c:v>82671.174818768341</c:v>
                </c:pt>
                <c:pt idx="1">
                  <c:v>84819.767978070813</c:v>
                </c:pt>
                <c:pt idx="2">
                  <c:v>86933.148689727896</c:v>
                </c:pt>
                <c:pt idx="3">
                  <c:v>89016.486699930247</c:v>
                </c:pt>
                <c:pt idx="4">
                  <c:v>91073.798387218485</c:v>
                </c:pt>
                <c:pt idx="5">
                  <c:v>93108.277766603045</c:v>
                </c:pt>
                <c:pt idx="6">
                  <c:v>95122.514533175825</c:v>
                </c:pt>
                <c:pt idx="7">
                  <c:v>97118.642967005304</c:v>
                </c:pt>
                <c:pt idx="8">
                  <c:v>99098.446743699547</c:v>
                </c:pt>
                <c:pt idx="9">
                  <c:v>101063.43463140322</c:v>
                </c:pt>
                <c:pt idx="10">
                  <c:v>103014.89638756018</c:v>
                </c:pt>
                <c:pt idx="11">
                  <c:v>104953.9448400688</c:v>
                </c:pt>
                <c:pt idx="12">
                  <c:v>106881.54811039631</c:v>
                </c:pt>
                <c:pt idx="13">
                  <c:v>108798.55466236587</c:v>
                </c:pt>
                <c:pt idx="14">
                  <c:v>110705.71303738488</c:v>
                </c:pt>
                <c:pt idx="15">
                  <c:v>112603.68759206453</c:v>
                </c:pt>
                <c:pt idx="16">
                  <c:v>114493.07118552955</c:v>
                </c:pt>
                <c:pt idx="17">
                  <c:v>116374.39550932826</c:v>
                </c:pt>
                <c:pt idx="18">
                  <c:v>118248.13957417657</c:v>
                </c:pt>
                <c:pt idx="19">
                  <c:v>120114.73674023541</c:v>
                </c:pt>
                <c:pt idx="20">
                  <c:v>121974.58058524734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E4-5B40-A12E-633F9B53C8EC}"/>
            </c:ext>
          </c:extLst>
        </c:ser>
        <c:ser>
          <c:idx val="2"/>
          <c:order val="1"/>
          <c:tx>
            <c:v>Without supply warehouse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'NA sw analysis'!$G$27:$G$47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'NA sw analysis'!$I$27:$I$47</c:f>
              <c:numCache>
                <c:formatCode>"$"#,##0_);[Red]\("$"#,##0\)</c:formatCode>
                <c:ptCount val="21"/>
                <c:pt idx="0">
                  <c:v>74981.636649259264</c:v>
                </c:pt>
                <c:pt idx="1">
                  <c:v>77867.382974805223</c:v>
                </c:pt>
                <c:pt idx="2">
                  <c:v>80707.440174089003</c:v>
                </c:pt>
                <c:pt idx="3">
                  <c:v>83506.3427358068</c:v>
                </c:pt>
                <c:pt idx="4">
                  <c:v>86267.920126037207</c:v>
                </c:pt>
                <c:pt idx="5">
                  <c:v>88995.441542434521</c:v>
                </c:pt>
                <c:pt idx="6">
                  <c:v>91691.7245120843</c:v>
                </c:pt>
                <c:pt idx="7">
                  <c:v>94359.21780643551</c:v>
                </c:pt>
                <c:pt idx="8">
                  <c:v>97000.065736000222</c:v>
                </c:pt>
                <c:pt idx="9">
                  <c:v>99616.158698754152</c:v>
                </c:pt>
                <c:pt idx="10">
                  <c:v>102209.17341530051</c:v>
                </c:pt>
                <c:pt idx="11">
                  <c:v>104780.60531358796</c:v>
                </c:pt>
                <c:pt idx="12">
                  <c:v>107331.79485921768</c:v>
                </c:pt>
                <c:pt idx="13">
                  <c:v>109863.94916074889</c:v>
                </c:pt>
                <c:pt idx="14">
                  <c:v>112378.1598474044</c:v>
                </c:pt>
                <c:pt idx="15">
                  <c:v>114875.41797677123</c:v>
                </c:pt>
                <c:pt idx="16">
                  <c:v>117356.62655448483</c:v>
                </c:pt>
                <c:pt idx="17">
                  <c:v>119822.61111765701</c:v>
                </c:pt>
                <c:pt idx="18">
                  <c:v>122274.12873610566</c:v>
                </c:pt>
                <c:pt idx="19">
                  <c:v>124711.87571134941</c:v>
                </c:pt>
                <c:pt idx="20">
                  <c:v>127136.49419658021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E4-5B40-A12E-633F9B53C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7972944"/>
        <c:axId val="1977974624"/>
      </c:lineChart>
      <c:catAx>
        <c:axId val="19779729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Pack Center</a:t>
                </a:r>
                <a:r>
                  <a:rPr lang="en-US" baseline="0"/>
                  <a:t> Stage Time (days)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4624"/>
        <c:crosses val="autoZero"/>
        <c:auto val="1"/>
        <c:lblAlgn val="ctr"/>
        <c:lblOffset val="100"/>
        <c:noMultiLvlLbl val="0"/>
      </c:catAx>
      <c:valAx>
        <c:axId val="1977974624"/>
        <c:scaling>
          <c:orientation val="minMax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9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749300</xdr:colOff>
      <xdr:row>25</xdr:row>
      <xdr:rowOff>127000</xdr:rowOff>
    </xdr:from>
    <xdr:to>
      <xdr:col>17</xdr:col>
      <xdr:colOff>508000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BCF87-7F54-4943-AAE5-013432E760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8BB29-4979-9447-9741-4AC2FCF62656}">
  <dimension ref="A1:X54"/>
  <sheetViews>
    <sheetView showGridLines="0" tabSelected="1" workbookViewId="0">
      <selection activeCell="G29" sqref="G29"/>
    </sheetView>
  </sheetViews>
  <sheetFormatPr defaultColWidth="11.19921875" defaultRowHeight="15.6" x14ac:dyDescent="0.3"/>
  <cols>
    <col min="1" max="1" width="19.5" customWidth="1"/>
    <col min="19" max="19" width="11.796875" bestFit="1" customWidth="1"/>
  </cols>
  <sheetData>
    <row r="1" spans="1:24" x14ac:dyDescent="0.3">
      <c r="A1" t="s">
        <v>47</v>
      </c>
      <c r="U1" s="20"/>
      <c r="V1" t="s">
        <v>46</v>
      </c>
    </row>
    <row r="2" spans="1:24" x14ac:dyDescent="0.3">
      <c r="A2" t="s">
        <v>33</v>
      </c>
    </row>
    <row r="3" spans="1:24" ht="31.2" x14ac:dyDescent="0.3"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4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29</v>
      </c>
      <c r="O3" s="13" t="s">
        <v>27</v>
      </c>
      <c r="P3" s="13" t="s">
        <v>28</v>
      </c>
      <c r="Q3" s="13" t="s">
        <v>30</v>
      </c>
      <c r="R3" s="13" t="s">
        <v>31</v>
      </c>
      <c r="S3" s="13" t="s">
        <v>32</v>
      </c>
    </row>
    <row r="4" spans="1:24" x14ac:dyDescent="0.3">
      <c r="A4" s="9" t="s">
        <v>34</v>
      </c>
      <c r="B4" s="5">
        <v>20</v>
      </c>
      <c r="C4" s="5">
        <v>5</v>
      </c>
      <c r="D4" s="14">
        <v>0.95</v>
      </c>
      <c r="E4" s="14">
        <f>D4</f>
        <v>0.95</v>
      </c>
      <c r="F4" s="7">
        <f>F5</f>
        <v>3411</v>
      </c>
      <c r="G4" s="7">
        <f>G5</f>
        <v>2460.9656641245524</v>
      </c>
      <c r="H4" s="21">
        <f t="shared" ref="H4:H12" si="0">G4/F4</f>
        <v>0.72147923310599604</v>
      </c>
      <c r="I4" s="6">
        <v>0.99</v>
      </c>
      <c r="J4" s="15">
        <v>0.3</v>
      </c>
      <c r="K4" s="5">
        <v>0</v>
      </c>
      <c r="L4" s="5">
        <v>0</v>
      </c>
      <c r="M4" s="5">
        <f>K4+B4+C4-L4</f>
        <v>25</v>
      </c>
      <c r="N4" s="7">
        <f>C4*F4/2</f>
        <v>8527.5</v>
      </c>
      <c r="O4" s="7">
        <f>B4*F4</f>
        <v>68220</v>
      </c>
      <c r="P4" s="7">
        <f>NORMSINV(I4)*G4*SQRT(M4)</f>
        <v>28625.311204118294</v>
      </c>
      <c r="Q4" s="11">
        <f>J4*E4*N4</f>
        <v>2430.3374999999996</v>
      </c>
      <c r="R4" s="11">
        <f>J4*(E4-D4/2)*O4</f>
        <v>9721.3499999999985</v>
      </c>
      <c r="S4" s="11">
        <f>J4*E4*P4</f>
        <v>8158.2136931737132</v>
      </c>
      <c r="U4" t="str">
        <f>"Pack center stage time "&amp;B5&amp;" and review period "&amp;C5</f>
        <v>Pack center stage time 18 and review period 5</v>
      </c>
    </row>
    <row r="5" spans="1:24" x14ac:dyDescent="0.3">
      <c r="A5" s="9" t="s">
        <v>37</v>
      </c>
      <c r="B5" s="16">
        <v>18</v>
      </c>
      <c r="C5" s="5">
        <v>5</v>
      </c>
      <c r="D5" s="14">
        <v>0.45</v>
      </c>
      <c r="E5" s="14">
        <f>E4+D5</f>
        <v>1.4</v>
      </c>
      <c r="F5" s="7">
        <f>F6</f>
        <v>3411</v>
      </c>
      <c r="G5" s="7">
        <f>G6</f>
        <v>2460.9656641245524</v>
      </c>
      <c r="H5" s="21">
        <f t="shared" si="0"/>
        <v>0.72147923310599604</v>
      </c>
      <c r="I5" s="6">
        <v>0.99</v>
      </c>
      <c r="J5" s="15">
        <v>0.3</v>
      </c>
      <c r="K5" s="5">
        <f>L4</f>
        <v>0</v>
      </c>
      <c r="L5" s="5">
        <f>B5+C5</f>
        <v>23</v>
      </c>
      <c r="M5" s="5">
        <f t="shared" ref="M5:M12" si="1">K5+B5+C5-L5</f>
        <v>0</v>
      </c>
      <c r="N5" s="7">
        <f t="shared" ref="N5:N12" si="2">C5*F5/2</f>
        <v>8527.5</v>
      </c>
      <c r="O5" s="7">
        <f t="shared" ref="O5:O12" si="3">B5*F5</f>
        <v>61398</v>
      </c>
      <c r="P5" s="7">
        <f t="shared" ref="P5:P12" si="4">NORMSINV(I5)*G5*SQRT(M5)</f>
        <v>0</v>
      </c>
      <c r="Q5" s="11">
        <f t="shared" ref="Q5:Q12" si="5">J5*E5*N5</f>
        <v>3581.5499999999997</v>
      </c>
      <c r="R5" s="11">
        <f t="shared" ref="R5:R12" si="6">J5*(E5-D5/2)*O5</f>
        <v>21642.794999999995</v>
      </c>
      <c r="S5" s="11">
        <f t="shared" ref="S5:S12" si="7">J5*E5*P5</f>
        <v>0</v>
      </c>
      <c r="W5" s="4" t="s">
        <v>13</v>
      </c>
      <c r="X5" s="4" t="s">
        <v>14</v>
      </c>
    </row>
    <row r="6" spans="1:24" x14ac:dyDescent="0.3">
      <c r="A6" s="9" t="s">
        <v>36</v>
      </c>
      <c r="B6" s="5">
        <v>2</v>
      </c>
      <c r="C6" s="5">
        <v>1</v>
      </c>
      <c r="D6" s="14">
        <v>0.14000000000000001</v>
      </c>
      <c r="E6" s="22">
        <f>E5+D6</f>
        <v>1.54</v>
      </c>
      <c r="F6" s="7">
        <f>SUM(F7:F12)</f>
        <v>3411</v>
      </c>
      <c r="G6" s="7">
        <f>SQRT(SUMPRODUCT(G7:G12,G7:G12))</f>
        <v>2460.9656641245524</v>
      </c>
      <c r="H6" s="21">
        <f t="shared" si="0"/>
        <v>0.72147923310599604</v>
      </c>
      <c r="I6" s="6">
        <v>0.99</v>
      </c>
      <c r="J6" s="15">
        <v>0.3</v>
      </c>
      <c r="K6" s="5">
        <f>L5</f>
        <v>23</v>
      </c>
      <c r="L6" s="5">
        <v>0</v>
      </c>
      <c r="M6" s="5">
        <f t="shared" si="1"/>
        <v>26</v>
      </c>
      <c r="N6" s="7">
        <f t="shared" si="2"/>
        <v>1705.5</v>
      </c>
      <c r="O6" s="7">
        <f t="shared" si="3"/>
        <v>6822</v>
      </c>
      <c r="P6" s="7">
        <f t="shared" si="4"/>
        <v>29192.20408249307</v>
      </c>
      <c r="Q6" s="11">
        <f t="shared" si="5"/>
        <v>787.94099999999992</v>
      </c>
      <c r="R6" s="11">
        <f t="shared" si="6"/>
        <v>3008.502</v>
      </c>
      <c r="S6" s="11">
        <f t="shared" si="7"/>
        <v>13486.798286111798</v>
      </c>
      <c r="V6" s="9" t="s">
        <v>9</v>
      </c>
      <c r="W6" s="11">
        <f>SUM(Q4:Q12)</f>
        <v>13111.475999999997</v>
      </c>
      <c r="X6" s="11">
        <f>SUM(Q16:Q23)</f>
        <v>12681.689999999999</v>
      </c>
    </row>
    <row r="7" spans="1:24" x14ac:dyDescent="0.3">
      <c r="A7" s="9" t="s">
        <v>35</v>
      </c>
      <c r="B7" s="5">
        <v>6</v>
      </c>
      <c r="C7" s="5">
        <v>5</v>
      </c>
      <c r="D7" s="14">
        <v>0.76</v>
      </c>
      <c r="E7" s="14">
        <f>E6+D7</f>
        <v>2.2999999999999998</v>
      </c>
      <c r="F7" s="7">
        <v>930</v>
      </c>
      <c r="G7" s="7">
        <v>1674</v>
      </c>
      <c r="H7" s="21">
        <f t="shared" si="0"/>
        <v>1.8</v>
      </c>
      <c r="I7" s="6">
        <v>0.99</v>
      </c>
      <c r="J7" s="15">
        <v>0.3</v>
      </c>
      <c r="K7" s="5">
        <f>L6</f>
        <v>0</v>
      </c>
      <c r="L7" s="5">
        <v>0</v>
      </c>
      <c r="M7" s="5">
        <f t="shared" si="1"/>
        <v>11</v>
      </c>
      <c r="N7" s="7">
        <f t="shared" si="2"/>
        <v>2325</v>
      </c>
      <c r="O7" s="7">
        <f t="shared" si="3"/>
        <v>5580</v>
      </c>
      <c r="P7" s="7">
        <f t="shared" si="4"/>
        <v>12915.952952277641</v>
      </c>
      <c r="Q7" s="11">
        <f t="shared" si="5"/>
        <v>1604.2499999999998</v>
      </c>
      <c r="R7" s="11">
        <f t="shared" si="6"/>
        <v>3214.08</v>
      </c>
      <c r="S7" s="11">
        <f t="shared" si="7"/>
        <v>8912.0075370715713</v>
      </c>
      <c r="V7" s="9" t="s">
        <v>10</v>
      </c>
      <c r="W7" s="11">
        <f>SUM(R4:R12)</f>
        <v>47708.603999999985</v>
      </c>
      <c r="X7" s="11">
        <f>SUM(R16:R23)</f>
        <v>45989.459999999992</v>
      </c>
    </row>
    <row r="8" spans="1:24" x14ac:dyDescent="0.3">
      <c r="A8" s="9" t="s">
        <v>38</v>
      </c>
      <c r="B8" s="5">
        <v>6</v>
      </c>
      <c r="C8" s="5">
        <v>5</v>
      </c>
      <c r="D8" s="14">
        <v>0.85</v>
      </c>
      <c r="E8" s="14">
        <f>E6+D8</f>
        <v>2.39</v>
      </c>
      <c r="F8" s="7">
        <v>517</v>
      </c>
      <c r="G8" s="7">
        <v>672</v>
      </c>
      <c r="H8" s="21">
        <f t="shared" si="0"/>
        <v>1.299806576402321</v>
      </c>
      <c r="I8" s="6">
        <v>0.99</v>
      </c>
      <c r="J8" s="15">
        <v>0.3</v>
      </c>
      <c r="K8" s="5">
        <f>L6</f>
        <v>0</v>
      </c>
      <c r="L8" s="5">
        <v>0</v>
      </c>
      <c r="M8" s="5">
        <f t="shared" si="1"/>
        <v>11</v>
      </c>
      <c r="N8" s="7">
        <f t="shared" si="2"/>
        <v>1292.5</v>
      </c>
      <c r="O8" s="7">
        <f t="shared" si="3"/>
        <v>3102</v>
      </c>
      <c r="P8" s="7">
        <f t="shared" si="4"/>
        <v>5184.8986761831393</v>
      </c>
      <c r="Q8" s="11">
        <f t="shared" si="5"/>
        <v>926.72249999999997</v>
      </c>
      <c r="R8" s="11">
        <f t="shared" si="6"/>
        <v>1828.6290000000001</v>
      </c>
      <c r="S8" s="11">
        <f t="shared" si="7"/>
        <v>3717.5723508233109</v>
      </c>
      <c r="V8" s="9" t="s">
        <v>11</v>
      </c>
      <c r="W8" s="11">
        <f>SUM(S4:S12)</f>
        <v>53376.161578230567</v>
      </c>
      <c r="X8" s="11">
        <f>SUM(S16:S23)</f>
        <v>63127.608064527223</v>
      </c>
    </row>
    <row r="9" spans="1:24" x14ac:dyDescent="0.3">
      <c r="A9" s="9" t="s">
        <v>39</v>
      </c>
      <c r="B9" s="5">
        <v>4</v>
      </c>
      <c r="C9" s="5">
        <v>5</v>
      </c>
      <c r="D9" s="14">
        <v>0.86</v>
      </c>
      <c r="E9" s="14">
        <f>E6+D9</f>
        <v>2.4</v>
      </c>
      <c r="F9" s="7">
        <v>586</v>
      </c>
      <c r="G9" s="7">
        <v>879</v>
      </c>
      <c r="H9" s="21">
        <f t="shared" si="0"/>
        <v>1.5</v>
      </c>
      <c r="I9" s="6">
        <v>0.99</v>
      </c>
      <c r="J9" s="15">
        <v>0.3</v>
      </c>
      <c r="K9" s="5">
        <f>L6</f>
        <v>0</v>
      </c>
      <c r="L9" s="5">
        <v>0</v>
      </c>
      <c r="M9" s="5">
        <f t="shared" si="1"/>
        <v>9</v>
      </c>
      <c r="N9" s="7">
        <f t="shared" si="2"/>
        <v>1465</v>
      </c>
      <c r="O9" s="7">
        <f t="shared" si="3"/>
        <v>2344</v>
      </c>
      <c r="P9" s="7">
        <f t="shared" si="4"/>
        <v>6134.5793438456976</v>
      </c>
      <c r="Q9" s="11">
        <f t="shared" si="5"/>
        <v>1054.8</v>
      </c>
      <c r="R9" s="11">
        <f t="shared" si="6"/>
        <v>1385.3039999999999</v>
      </c>
      <c r="S9" s="11">
        <f t="shared" si="7"/>
        <v>4416.8971275689019</v>
      </c>
      <c r="V9" s="9" t="s">
        <v>12</v>
      </c>
      <c r="W9" s="3">
        <f>SUM(W6:W8)</f>
        <v>114196.24157823055</v>
      </c>
      <c r="X9" s="3">
        <f>SUM(X6:X8)</f>
        <v>121798.75806452721</v>
      </c>
    </row>
    <row r="10" spans="1:24" x14ac:dyDescent="0.3">
      <c r="A10" s="9" t="s">
        <v>40</v>
      </c>
      <c r="B10" s="5">
        <v>8</v>
      </c>
      <c r="C10" s="5">
        <v>5</v>
      </c>
      <c r="D10" s="14">
        <v>0.96</v>
      </c>
      <c r="E10" s="14">
        <f>E6+D10</f>
        <v>2.5</v>
      </c>
      <c r="F10" s="7">
        <v>173</v>
      </c>
      <c r="G10" s="7">
        <v>329</v>
      </c>
      <c r="H10" s="21">
        <f t="shared" si="0"/>
        <v>1.9017341040462428</v>
      </c>
      <c r="I10" s="6">
        <v>0.99</v>
      </c>
      <c r="J10" s="15">
        <v>0.3</v>
      </c>
      <c r="K10" s="5">
        <f>L6</f>
        <v>0</v>
      </c>
      <c r="L10" s="5">
        <v>0</v>
      </c>
      <c r="M10" s="5">
        <f t="shared" si="1"/>
        <v>13</v>
      </c>
      <c r="N10" s="7">
        <f t="shared" si="2"/>
        <v>432.5</v>
      </c>
      <c r="O10" s="7">
        <f t="shared" si="3"/>
        <v>1384</v>
      </c>
      <c r="P10" s="7">
        <f t="shared" si="4"/>
        <v>2759.5751931144737</v>
      </c>
      <c r="Q10" s="11">
        <f t="shared" si="5"/>
        <v>324.375</v>
      </c>
      <c r="R10" s="11">
        <f t="shared" si="6"/>
        <v>838.70399999999995</v>
      </c>
      <c r="S10" s="11">
        <f t="shared" si="7"/>
        <v>2069.6813948358554</v>
      </c>
      <c r="V10" s="9" t="s">
        <v>15</v>
      </c>
      <c r="W10" s="12">
        <f>(W9-X9)/W9</f>
        <v>-6.6574139229341731E-2</v>
      </c>
    </row>
    <row r="11" spans="1:24" x14ac:dyDescent="0.3">
      <c r="A11" s="9" t="s">
        <v>41</v>
      </c>
      <c r="B11" s="5">
        <v>8</v>
      </c>
      <c r="C11" s="5">
        <v>5</v>
      </c>
      <c r="D11" s="14">
        <v>0.96</v>
      </c>
      <c r="E11" s="14">
        <f>E6+D11</f>
        <v>2.5</v>
      </c>
      <c r="F11" s="7">
        <v>447</v>
      </c>
      <c r="G11" s="7">
        <v>671</v>
      </c>
      <c r="H11" s="21">
        <f t="shared" si="0"/>
        <v>1.5011185682326622</v>
      </c>
      <c r="I11" s="6">
        <v>0.99</v>
      </c>
      <c r="J11" s="15">
        <v>0.3</v>
      </c>
      <c r="K11" s="5">
        <f>L6</f>
        <v>0</v>
      </c>
      <c r="L11" s="5">
        <v>0</v>
      </c>
      <c r="M11" s="5">
        <f t="shared" si="1"/>
        <v>13</v>
      </c>
      <c r="N11" s="7">
        <f t="shared" si="2"/>
        <v>1117.5</v>
      </c>
      <c r="O11" s="7">
        <f t="shared" si="3"/>
        <v>3576</v>
      </c>
      <c r="P11" s="7">
        <f t="shared" si="4"/>
        <v>5628.1913513064192</v>
      </c>
      <c r="Q11" s="11">
        <f t="shared" si="5"/>
        <v>838.125</v>
      </c>
      <c r="R11" s="11">
        <f t="shared" si="6"/>
        <v>2167.056</v>
      </c>
      <c r="S11" s="11">
        <f t="shared" si="7"/>
        <v>4221.1435134798139</v>
      </c>
    </row>
    <row r="12" spans="1:24" x14ac:dyDescent="0.3">
      <c r="A12" s="9" t="s">
        <v>42</v>
      </c>
      <c r="B12" s="5">
        <v>8</v>
      </c>
      <c r="C12" s="5">
        <v>5</v>
      </c>
      <c r="D12" s="14">
        <v>1.21</v>
      </c>
      <c r="E12" s="14">
        <f>E6+D12</f>
        <v>2.75</v>
      </c>
      <c r="F12" s="7">
        <v>758</v>
      </c>
      <c r="G12" s="7">
        <v>1213</v>
      </c>
      <c r="H12" s="21">
        <f t="shared" si="0"/>
        <v>1.6002638522427441</v>
      </c>
      <c r="I12" s="6">
        <v>0.99</v>
      </c>
      <c r="J12" s="15">
        <v>0.3</v>
      </c>
      <c r="K12" s="5">
        <f>L6</f>
        <v>0</v>
      </c>
      <c r="L12" s="5">
        <v>0</v>
      </c>
      <c r="M12" s="5">
        <f t="shared" si="1"/>
        <v>13</v>
      </c>
      <c r="N12" s="7">
        <f t="shared" si="2"/>
        <v>1895</v>
      </c>
      <c r="O12" s="7">
        <f t="shared" si="3"/>
        <v>6064</v>
      </c>
      <c r="P12" s="7">
        <f t="shared" si="4"/>
        <v>10174.360818382542</v>
      </c>
      <c r="Q12" s="11">
        <f t="shared" si="5"/>
        <v>1563.375</v>
      </c>
      <c r="R12" s="11">
        <f t="shared" si="6"/>
        <v>3902.1839999999997</v>
      </c>
      <c r="S12" s="11">
        <f t="shared" si="7"/>
        <v>8393.8476751655962</v>
      </c>
    </row>
    <row r="13" spans="1:24" x14ac:dyDescent="0.3">
      <c r="A13" s="9"/>
    </row>
    <row r="14" spans="1:24" x14ac:dyDescent="0.3">
      <c r="A14" t="s">
        <v>49</v>
      </c>
    </row>
    <row r="15" spans="1:24" ht="31.2" x14ac:dyDescent="0.3">
      <c r="A15" s="9"/>
      <c r="B15" s="13" t="s">
        <v>16</v>
      </c>
      <c r="C15" s="13" t="s">
        <v>17</v>
      </c>
      <c r="D15" s="13" t="s">
        <v>18</v>
      </c>
      <c r="E15" s="13" t="s">
        <v>19</v>
      </c>
      <c r="F15" s="13" t="s">
        <v>20</v>
      </c>
      <c r="G15" s="13" t="s">
        <v>21</v>
      </c>
      <c r="H15" s="13" t="s">
        <v>4</v>
      </c>
      <c r="I15" s="13" t="s">
        <v>22</v>
      </c>
      <c r="J15" s="13" t="s">
        <v>23</v>
      </c>
      <c r="K15" s="13" t="s">
        <v>24</v>
      </c>
      <c r="L15" s="13" t="s">
        <v>25</v>
      </c>
      <c r="M15" s="13" t="s">
        <v>26</v>
      </c>
      <c r="N15" s="13" t="s">
        <v>29</v>
      </c>
      <c r="O15" s="13" t="s">
        <v>27</v>
      </c>
      <c r="P15" s="13" t="s">
        <v>28</v>
      </c>
      <c r="Q15" s="13" t="s">
        <v>30</v>
      </c>
      <c r="R15" s="13" t="s">
        <v>31</v>
      </c>
      <c r="S15" s="13" t="s">
        <v>32</v>
      </c>
    </row>
    <row r="16" spans="1:24" x14ac:dyDescent="0.3">
      <c r="A16" s="9" t="s">
        <v>34</v>
      </c>
      <c r="B16" s="5">
        <v>20</v>
      </c>
      <c r="C16" s="5">
        <v>5</v>
      </c>
      <c r="D16" s="14">
        <f>D4</f>
        <v>0.95</v>
      </c>
      <c r="E16" s="14">
        <v>0.95</v>
      </c>
      <c r="F16" s="7">
        <f>F17</f>
        <v>3411</v>
      </c>
      <c r="G16" s="7">
        <f>G17</f>
        <v>2460.9656641245524</v>
      </c>
      <c r="H16" s="21">
        <f t="shared" ref="H16:H23" si="8">G16/F16</f>
        <v>0.72147923310599604</v>
      </c>
      <c r="I16" s="6">
        <v>0.99</v>
      </c>
      <c r="J16" s="15">
        <v>0.3</v>
      </c>
      <c r="K16" s="5">
        <v>0</v>
      </c>
      <c r="L16" s="5">
        <v>0</v>
      </c>
      <c r="M16" s="5">
        <f>K16+B16+C16-L16</f>
        <v>25</v>
      </c>
      <c r="N16" s="7">
        <f>C16*F16/2</f>
        <v>8527.5</v>
      </c>
      <c r="O16" s="7">
        <f>B16*F16</f>
        <v>68220</v>
      </c>
      <c r="P16" s="7">
        <f>NORMSINV(I16)*G16*SQRT(M16)</f>
        <v>28625.311204118294</v>
      </c>
      <c r="Q16" s="11">
        <f>J16*E16*N16</f>
        <v>2430.3374999999996</v>
      </c>
      <c r="R16" s="11">
        <f>J16*(E16-D16/2)*O16</f>
        <v>9721.3499999999985</v>
      </c>
      <c r="S16" s="11">
        <f>J16*E16*P16</f>
        <v>8158.2136931737132</v>
      </c>
    </row>
    <row r="17" spans="1:19" x14ac:dyDescent="0.3">
      <c r="A17" s="9" t="s">
        <v>37</v>
      </c>
      <c r="B17" s="5">
        <f>B5</f>
        <v>18</v>
      </c>
      <c r="C17" s="5">
        <v>5</v>
      </c>
      <c r="D17" s="14">
        <f>D5+D6</f>
        <v>0.59000000000000008</v>
      </c>
      <c r="E17" s="14">
        <f>E16+D17</f>
        <v>1.54</v>
      </c>
      <c r="F17" s="7">
        <f>SUM(F18:F23)</f>
        <v>3411</v>
      </c>
      <c r="G17" s="7">
        <f>SQRT(SUMPRODUCT(G18:G23,G18:G23))</f>
        <v>2460.9656641245524</v>
      </c>
      <c r="H17" s="21">
        <f t="shared" si="8"/>
        <v>0.72147923310599604</v>
      </c>
      <c r="I17" s="6">
        <v>0.99</v>
      </c>
      <c r="J17" s="15">
        <v>0.3</v>
      </c>
      <c r="K17" s="5">
        <f>L16</f>
        <v>0</v>
      </c>
      <c r="L17" s="5">
        <f>L16+B17+C17</f>
        <v>23</v>
      </c>
      <c r="M17" s="5">
        <f t="shared" ref="M17:M23" si="9">K17+B17+C17-L17</f>
        <v>0</v>
      </c>
      <c r="N17" s="7">
        <f t="shared" ref="N17:N23" si="10">C17*F17/2</f>
        <v>8527.5</v>
      </c>
      <c r="O17" s="7">
        <f t="shared" ref="O17:O23" si="11">B17*F17</f>
        <v>61398</v>
      </c>
      <c r="P17" s="7">
        <f t="shared" ref="P17:P23" si="12">NORMSINV(I17)*G17*SQRT(M17)</f>
        <v>0</v>
      </c>
      <c r="Q17" s="11">
        <f t="shared" ref="Q17:Q23" si="13">J17*E17*N17</f>
        <v>3939.7049999999999</v>
      </c>
      <c r="R17" s="11">
        <f t="shared" ref="R17:R23" si="14">J17*(E17-D17/2)*O17</f>
        <v>22932.152999999998</v>
      </c>
      <c r="S17" s="11">
        <f t="shared" ref="S17:S23" si="15">J17*E17*P17</f>
        <v>0</v>
      </c>
    </row>
    <row r="18" spans="1:19" x14ac:dyDescent="0.3">
      <c r="A18" s="9" t="s">
        <v>35</v>
      </c>
      <c r="B18" s="5">
        <v>6</v>
      </c>
      <c r="C18" s="5">
        <v>5</v>
      </c>
      <c r="D18" s="14">
        <v>0.76</v>
      </c>
      <c r="E18" s="14">
        <f>E17+D18</f>
        <v>2.2999999999999998</v>
      </c>
      <c r="F18" s="7">
        <v>930</v>
      </c>
      <c r="G18" s="7">
        <v>1674</v>
      </c>
      <c r="H18" s="21">
        <f t="shared" si="8"/>
        <v>1.8</v>
      </c>
      <c r="I18" s="6">
        <v>0.99</v>
      </c>
      <c r="J18" s="15">
        <v>0.3</v>
      </c>
      <c r="K18" s="5">
        <f>L17</f>
        <v>23</v>
      </c>
      <c r="L18" s="5">
        <v>0</v>
      </c>
      <c r="M18" s="5">
        <f t="shared" si="9"/>
        <v>34</v>
      </c>
      <c r="N18" s="7">
        <f t="shared" si="10"/>
        <v>2325</v>
      </c>
      <c r="O18" s="7">
        <f t="shared" si="11"/>
        <v>5580</v>
      </c>
      <c r="P18" s="7">
        <f t="shared" si="12"/>
        <v>22707.51293900382</v>
      </c>
      <c r="Q18" s="11">
        <f t="shared" si="13"/>
        <v>1604.2499999999998</v>
      </c>
      <c r="R18" s="11">
        <f t="shared" si="14"/>
        <v>3214.08</v>
      </c>
      <c r="S18" s="11">
        <f t="shared" si="15"/>
        <v>15668.183927912634</v>
      </c>
    </row>
    <row r="19" spans="1:19" x14ac:dyDescent="0.3">
      <c r="A19" s="9" t="s">
        <v>38</v>
      </c>
      <c r="B19" s="5">
        <v>6</v>
      </c>
      <c r="C19" s="5">
        <v>5</v>
      </c>
      <c r="D19" s="14">
        <v>0.85</v>
      </c>
      <c r="E19" s="14">
        <f>E17+D19</f>
        <v>2.39</v>
      </c>
      <c r="F19" s="7">
        <v>517</v>
      </c>
      <c r="G19" s="7">
        <v>672</v>
      </c>
      <c r="H19" s="21">
        <f t="shared" si="8"/>
        <v>1.299806576402321</v>
      </c>
      <c r="I19" s="6">
        <v>0.99</v>
      </c>
      <c r="J19" s="15">
        <v>0.3</v>
      </c>
      <c r="K19" s="5">
        <f>L17</f>
        <v>23</v>
      </c>
      <c r="L19" s="5">
        <v>0</v>
      </c>
      <c r="M19" s="5">
        <f t="shared" si="9"/>
        <v>34</v>
      </c>
      <c r="N19" s="7">
        <f t="shared" si="10"/>
        <v>1292.5</v>
      </c>
      <c r="O19" s="7">
        <f t="shared" si="11"/>
        <v>3102</v>
      </c>
      <c r="P19" s="7">
        <f t="shared" si="12"/>
        <v>9115.5607497076253</v>
      </c>
      <c r="Q19" s="11">
        <f t="shared" si="13"/>
        <v>926.72249999999997</v>
      </c>
      <c r="R19" s="11">
        <f t="shared" si="14"/>
        <v>1828.6290000000001</v>
      </c>
      <c r="S19" s="11">
        <f t="shared" si="15"/>
        <v>6535.8570575403674</v>
      </c>
    </row>
    <row r="20" spans="1:19" x14ac:dyDescent="0.3">
      <c r="A20" s="9" t="s">
        <v>39</v>
      </c>
      <c r="B20" s="5">
        <v>4</v>
      </c>
      <c r="C20" s="5">
        <v>5</v>
      </c>
      <c r="D20" s="14">
        <v>0.86</v>
      </c>
      <c r="E20" s="14">
        <f>E17+D20</f>
        <v>2.4</v>
      </c>
      <c r="F20" s="7">
        <v>586</v>
      </c>
      <c r="G20" s="7">
        <v>879</v>
      </c>
      <c r="H20" s="21">
        <f t="shared" si="8"/>
        <v>1.5</v>
      </c>
      <c r="I20" s="6">
        <v>0.99</v>
      </c>
      <c r="J20" s="15">
        <v>0.3</v>
      </c>
      <c r="K20" s="5">
        <f>L17</f>
        <v>23</v>
      </c>
      <c r="L20" s="5">
        <v>0</v>
      </c>
      <c r="M20" s="5">
        <f t="shared" si="9"/>
        <v>32</v>
      </c>
      <c r="N20" s="7">
        <f t="shared" si="10"/>
        <v>1465</v>
      </c>
      <c r="O20" s="7">
        <f t="shared" si="11"/>
        <v>2344</v>
      </c>
      <c r="P20" s="7">
        <f t="shared" si="12"/>
        <v>11567.473743360571</v>
      </c>
      <c r="Q20" s="11">
        <f t="shared" si="13"/>
        <v>1054.8</v>
      </c>
      <c r="R20" s="11">
        <f t="shared" si="14"/>
        <v>1385.3039999999999</v>
      </c>
      <c r="S20" s="11">
        <f t="shared" si="15"/>
        <v>8328.5810952196116</v>
      </c>
    </row>
    <row r="21" spans="1:19" x14ac:dyDescent="0.3">
      <c r="A21" s="9" t="s">
        <v>40</v>
      </c>
      <c r="B21" s="5">
        <v>8</v>
      </c>
      <c r="C21" s="5">
        <v>5</v>
      </c>
      <c r="D21" s="14">
        <v>0.96</v>
      </c>
      <c r="E21" s="14">
        <f>E17+D21</f>
        <v>2.5</v>
      </c>
      <c r="F21" s="7">
        <v>173</v>
      </c>
      <c r="G21" s="7">
        <v>329</v>
      </c>
      <c r="H21" s="21">
        <f t="shared" si="8"/>
        <v>1.9017341040462428</v>
      </c>
      <c r="I21" s="6">
        <v>0.99</v>
      </c>
      <c r="J21" s="15">
        <v>0.3</v>
      </c>
      <c r="K21" s="5">
        <f>L17</f>
        <v>23</v>
      </c>
      <c r="L21" s="5">
        <v>0</v>
      </c>
      <c r="M21" s="5">
        <f t="shared" si="9"/>
        <v>36</v>
      </c>
      <c r="N21" s="7">
        <f t="shared" si="10"/>
        <v>432.5</v>
      </c>
      <c r="O21" s="7">
        <f t="shared" si="11"/>
        <v>1384</v>
      </c>
      <c r="P21" s="7">
        <f t="shared" si="12"/>
        <v>4592.2107033566199</v>
      </c>
      <c r="Q21" s="11">
        <f t="shared" si="13"/>
        <v>324.375</v>
      </c>
      <c r="R21" s="11">
        <f t="shared" si="14"/>
        <v>838.70399999999995</v>
      </c>
      <c r="S21" s="11">
        <f t="shared" si="15"/>
        <v>3444.1580275174647</v>
      </c>
    </row>
    <row r="22" spans="1:19" x14ac:dyDescent="0.3">
      <c r="A22" s="9" t="s">
        <v>41</v>
      </c>
      <c r="B22" s="5">
        <v>8</v>
      </c>
      <c r="C22" s="5">
        <v>5</v>
      </c>
      <c r="D22" s="14">
        <v>0.96</v>
      </c>
      <c r="E22" s="14">
        <f>E17+D22</f>
        <v>2.5</v>
      </c>
      <c r="F22" s="7">
        <v>447</v>
      </c>
      <c r="G22" s="7">
        <v>671</v>
      </c>
      <c r="H22" s="21">
        <f t="shared" si="8"/>
        <v>1.5011185682326622</v>
      </c>
      <c r="I22" s="6">
        <v>0.99</v>
      </c>
      <c r="J22" s="15">
        <v>0.3</v>
      </c>
      <c r="K22" s="5">
        <f>L17</f>
        <v>23</v>
      </c>
      <c r="L22" s="5">
        <v>0</v>
      </c>
      <c r="M22" s="5">
        <f t="shared" si="9"/>
        <v>36</v>
      </c>
      <c r="N22" s="7">
        <f t="shared" si="10"/>
        <v>1117.5</v>
      </c>
      <c r="O22" s="7">
        <f t="shared" si="11"/>
        <v>3576</v>
      </c>
      <c r="P22" s="7">
        <f t="shared" si="12"/>
        <v>9365.8765408884246</v>
      </c>
      <c r="Q22" s="11">
        <f t="shared" si="13"/>
        <v>838.125</v>
      </c>
      <c r="R22" s="11">
        <f t="shared" si="14"/>
        <v>2167.056</v>
      </c>
      <c r="S22" s="11">
        <f t="shared" si="15"/>
        <v>7024.4074056663185</v>
      </c>
    </row>
    <row r="23" spans="1:19" x14ac:dyDescent="0.3">
      <c r="A23" s="9" t="s">
        <v>42</v>
      </c>
      <c r="B23" s="5">
        <v>8</v>
      </c>
      <c r="C23" s="5">
        <v>5</v>
      </c>
      <c r="D23" s="14">
        <v>1.21</v>
      </c>
      <c r="E23" s="14">
        <f>E17+D23</f>
        <v>2.75</v>
      </c>
      <c r="F23" s="7">
        <v>758</v>
      </c>
      <c r="G23" s="7">
        <v>1213</v>
      </c>
      <c r="H23" s="21">
        <f t="shared" si="8"/>
        <v>1.6002638522427441</v>
      </c>
      <c r="I23" s="6">
        <v>0.99</v>
      </c>
      <c r="J23" s="15">
        <v>0.3</v>
      </c>
      <c r="K23" s="5">
        <f>L17</f>
        <v>23</v>
      </c>
      <c r="L23" s="5">
        <v>0</v>
      </c>
      <c r="M23" s="5">
        <f t="shared" si="9"/>
        <v>36</v>
      </c>
      <c r="N23" s="7">
        <f t="shared" si="10"/>
        <v>1895</v>
      </c>
      <c r="O23" s="7">
        <f t="shared" si="11"/>
        <v>6064</v>
      </c>
      <c r="P23" s="7">
        <f t="shared" si="12"/>
        <v>16931.159827269239</v>
      </c>
      <c r="Q23" s="11">
        <f t="shared" si="13"/>
        <v>1563.375</v>
      </c>
      <c r="R23" s="11">
        <f t="shared" si="14"/>
        <v>3902.1839999999997</v>
      </c>
      <c r="S23" s="11">
        <f t="shared" si="15"/>
        <v>13968.206857497122</v>
      </c>
    </row>
    <row r="24" spans="1:19" x14ac:dyDescent="0.3">
      <c r="A24" s="9"/>
    </row>
    <row r="29" spans="1:19" x14ac:dyDescent="0.3">
      <c r="A29" t="s">
        <v>50</v>
      </c>
      <c r="M29" s="2"/>
      <c r="N29" s="2"/>
    </row>
    <row r="30" spans="1:19" x14ac:dyDescent="0.3">
      <c r="B30" s="4" t="s">
        <v>7</v>
      </c>
      <c r="C30" s="4" t="s">
        <v>8</v>
      </c>
      <c r="D30" s="4" t="s">
        <v>4</v>
      </c>
      <c r="J30" s="2"/>
      <c r="K30" s="2"/>
    </row>
    <row r="31" spans="1:19" x14ac:dyDescent="0.3">
      <c r="A31" s="8" t="s">
        <v>0</v>
      </c>
      <c r="B31" s="7">
        <f t="shared" ref="B31:B36" si="16">20*F7</f>
        <v>18600</v>
      </c>
      <c r="C31" s="7">
        <f t="shared" ref="C31:C36" si="17">SQRT(20)*G7</f>
        <v>7486.3555886692966</v>
      </c>
      <c r="D31" s="6">
        <f t="shared" ref="D31:D36" si="18">C31/B31</f>
        <v>0.4024922359499622</v>
      </c>
      <c r="J31" s="2"/>
      <c r="K31" s="2"/>
    </row>
    <row r="32" spans="1:19" x14ac:dyDescent="0.3">
      <c r="A32" s="8" t="s">
        <v>1</v>
      </c>
      <c r="B32" s="7">
        <f t="shared" si="16"/>
        <v>10340</v>
      </c>
      <c r="C32" s="7">
        <f t="shared" si="17"/>
        <v>3005.2753617597173</v>
      </c>
      <c r="D32" s="6">
        <f t="shared" si="18"/>
        <v>0.29064558624368642</v>
      </c>
      <c r="J32" s="2"/>
      <c r="K32" s="2"/>
    </row>
    <row r="33" spans="1:11" x14ac:dyDescent="0.3">
      <c r="A33" s="8" t="s">
        <v>2</v>
      </c>
      <c r="B33" s="7">
        <f t="shared" si="16"/>
        <v>11720</v>
      </c>
      <c r="C33" s="7">
        <f t="shared" si="17"/>
        <v>3931.0075044446303</v>
      </c>
      <c r="D33" s="6">
        <f t="shared" si="18"/>
        <v>0.33541019662496846</v>
      </c>
      <c r="J33" s="2"/>
      <c r="K33" s="2"/>
    </row>
    <row r="34" spans="1:11" x14ac:dyDescent="0.3">
      <c r="A34" s="8" t="s">
        <v>3</v>
      </c>
      <c r="B34" s="7">
        <f t="shared" si="16"/>
        <v>3460</v>
      </c>
      <c r="C34" s="7">
        <f t="shared" si="17"/>
        <v>1471.3327291948617</v>
      </c>
      <c r="D34" s="6">
        <f t="shared" si="18"/>
        <v>0.4252406731777057</v>
      </c>
      <c r="J34" s="2"/>
      <c r="K34" s="2"/>
    </row>
    <row r="35" spans="1:11" x14ac:dyDescent="0.3">
      <c r="A35" s="8" t="s">
        <v>5</v>
      </c>
      <c r="B35" s="7">
        <f t="shared" si="16"/>
        <v>8940</v>
      </c>
      <c r="C35" s="7">
        <f t="shared" si="17"/>
        <v>3000.8032258047178</v>
      </c>
      <c r="D35" s="6">
        <f t="shared" si="18"/>
        <v>0.33566031608553892</v>
      </c>
      <c r="J35" s="2"/>
      <c r="K35" s="2"/>
    </row>
    <row r="36" spans="1:11" x14ac:dyDescent="0.3">
      <c r="A36" s="8" t="s">
        <v>6</v>
      </c>
      <c r="B36" s="7">
        <f t="shared" si="16"/>
        <v>15160</v>
      </c>
      <c r="C36" s="7">
        <f t="shared" si="17"/>
        <v>5424.7009134144901</v>
      </c>
      <c r="D36" s="6">
        <f t="shared" si="18"/>
        <v>0.35782987555504553</v>
      </c>
      <c r="J36" s="2"/>
      <c r="K36" s="2"/>
    </row>
    <row r="37" spans="1:11" x14ac:dyDescent="0.3">
      <c r="J37" s="2"/>
      <c r="K37" s="2"/>
    </row>
    <row r="38" spans="1:11" x14ac:dyDescent="0.3">
      <c r="J38" s="2"/>
      <c r="K38" s="2"/>
    </row>
    <row r="39" spans="1:11" x14ac:dyDescent="0.3">
      <c r="J39" s="2"/>
      <c r="K39" s="2"/>
    </row>
    <row r="40" spans="1:11" x14ac:dyDescent="0.3">
      <c r="J40" s="2"/>
      <c r="K40" s="2"/>
    </row>
    <row r="41" spans="1:11" x14ac:dyDescent="0.3">
      <c r="J41" s="2"/>
      <c r="K41" s="2"/>
    </row>
    <row r="42" spans="1:11" x14ac:dyDescent="0.3">
      <c r="J42" s="2"/>
      <c r="K42" s="2"/>
    </row>
    <row r="43" spans="1:11" x14ac:dyDescent="0.3">
      <c r="J43" s="2"/>
      <c r="K43" s="2"/>
    </row>
    <row r="44" spans="1:11" x14ac:dyDescent="0.3">
      <c r="J44" s="2"/>
      <c r="K44" s="2"/>
    </row>
    <row r="45" spans="1:11" x14ac:dyDescent="0.3">
      <c r="J45" s="2"/>
      <c r="K45" s="2"/>
    </row>
    <row r="46" spans="1:11" x14ac:dyDescent="0.3">
      <c r="J46" s="2"/>
      <c r="K46" s="2"/>
    </row>
    <row r="47" spans="1:11" x14ac:dyDescent="0.3">
      <c r="J47" s="2"/>
      <c r="K47" s="2"/>
    </row>
    <row r="48" spans="1:11" x14ac:dyDescent="0.3">
      <c r="J48" s="2"/>
      <c r="K48" s="2"/>
    </row>
    <row r="49" spans="10:11" x14ac:dyDescent="0.3">
      <c r="J49" s="2"/>
      <c r="K49" s="2"/>
    </row>
    <row r="50" spans="10:11" x14ac:dyDescent="0.3">
      <c r="J50" s="2"/>
      <c r="K50" s="2"/>
    </row>
    <row r="51" spans="10:11" x14ac:dyDescent="0.3">
      <c r="J51" s="2"/>
      <c r="K51" s="2"/>
    </row>
    <row r="52" spans="10:11" x14ac:dyDescent="0.3">
      <c r="J52" s="2"/>
      <c r="K52" s="2"/>
    </row>
    <row r="53" spans="10:11" x14ac:dyDescent="0.3">
      <c r="J53" s="2"/>
      <c r="K53" s="2"/>
    </row>
    <row r="54" spans="10:11" x14ac:dyDescent="0.3">
      <c r="J54" s="2"/>
      <c r="K54" s="2"/>
    </row>
  </sheetData>
  <pageMargins left="0.45" right="0.45" top="0.5" bottom="0.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5314-6416-2840-B6E3-C1EAAA8FCE0C}">
  <dimension ref="A1:X51"/>
  <sheetViews>
    <sheetView showGridLines="0" workbookViewId="0"/>
  </sheetViews>
  <sheetFormatPr defaultColWidth="11.19921875" defaultRowHeight="15.6" x14ac:dyDescent="0.3"/>
  <cols>
    <col min="1" max="1" width="19.5" customWidth="1"/>
    <col min="19" max="19" width="11.796875" bestFit="1" customWidth="1"/>
  </cols>
  <sheetData>
    <row r="1" spans="1:24" x14ac:dyDescent="0.3">
      <c r="A1" t="s">
        <v>48</v>
      </c>
      <c r="U1" s="20"/>
      <c r="V1" t="s">
        <v>46</v>
      </c>
    </row>
    <row r="2" spans="1:24" x14ac:dyDescent="0.3">
      <c r="A2" t="s">
        <v>33</v>
      </c>
    </row>
    <row r="3" spans="1:24" ht="31.2" x14ac:dyDescent="0.3">
      <c r="B3" s="13" t="s">
        <v>16</v>
      </c>
      <c r="C3" s="13" t="s">
        <v>17</v>
      </c>
      <c r="D3" s="13" t="s">
        <v>18</v>
      </c>
      <c r="E3" s="13" t="s">
        <v>19</v>
      </c>
      <c r="F3" s="13" t="s">
        <v>20</v>
      </c>
      <c r="G3" s="13" t="s">
        <v>21</v>
      </c>
      <c r="H3" s="13" t="s">
        <v>4</v>
      </c>
      <c r="I3" s="13" t="s">
        <v>22</v>
      </c>
      <c r="J3" s="13" t="s">
        <v>23</v>
      </c>
      <c r="K3" s="13" t="s">
        <v>24</v>
      </c>
      <c r="L3" s="13" t="s">
        <v>25</v>
      </c>
      <c r="M3" s="13" t="s">
        <v>26</v>
      </c>
      <c r="N3" s="13" t="s">
        <v>29</v>
      </c>
      <c r="O3" s="13" t="s">
        <v>27</v>
      </c>
      <c r="P3" s="13" t="s">
        <v>28</v>
      </c>
      <c r="Q3" s="13" t="s">
        <v>30</v>
      </c>
      <c r="R3" s="13" t="s">
        <v>31</v>
      </c>
      <c r="S3" s="13" t="s">
        <v>32</v>
      </c>
    </row>
    <row r="4" spans="1:24" x14ac:dyDescent="0.3">
      <c r="A4" s="9" t="s">
        <v>34</v>
      </c>
      <c r="B4" s="5">
        <v>15</v>
      </c>
      <c r="C4" s="5">
        <v>5</v>
      </c>
      <c r="D4" s="14">
        <v>1</v>
      </c>
      <c r="E4" s="14">
        <f>D4</f>
        <v>1</v>
      </c>
      <c r="F4" s="7">
        <f>F5</f>
        <v>3918</v>
      </c>
      <c r="G4" s="7">
        <f>G5</f>
        <v>3174.2764529889328</v>
      </c>
      <c r="H4" s="21">
        <f t="shared" ref="H4:H10" si="0">G4/F4</f>
        <v>0.81017775727129471</v>
      </c>
      <c r="I4" s="6">
        <v>0.99</v>
      </c>
      <c r="J4" s="15">
        <v>0.3</v>
      </c>
      <c r="K4" s="5">
        <v>0</v>
      </c>
      <c r="L4" s="5">
        <v>0</v>
      </c>
      <c r="M4" s="5">
        <f>K4+B4+C4-L4</f>
        <v>20</v>
      </c>
      <c r="N4" s="7">
        <f>C4*F4/2</f>
        <v>9795</v>
      </c>
      <c r="O4" s="7">
        <f>B4*F4</f>
        <v>58770</v>
      </c>
      <c r="P4" s="7">
        <f>NORMSINV(I4)*G4*SQRT(M4)</f>
        <v>33024.359511133865</v>
      </c>
      <c r="Q4" s="11">
        <f>J4*E4*N4</f>
        <v>2938.5</v>
      </c>
      <c r="R4" s="11">
        <f>J4*(E4-D4/2)*O4</f>
        <v>8815.5</v>
      </c>
      <c r="S4" s="11">
        <f>J4*E4*P4</f>
        <v>9907.3078533401585</v>
      </c>
      <c r="U4" t="str">
        <f>"Pack center stage time "&amp;B5&amp;" and review period "&amp;C5</f>
        <v>Pack center stage time 5 and review period 5</v>
      </c>
    </row>
    <row r="5" spans="1:24" x14ac:dyDescent="0.3">
      <c r="A5" s="9" t="s">
        <v>37</v>
      </c>
      <c r="B5" s="16">
        <v>5</v>
      </c>
      <c r="C5" s="5">
        <v>5</v>
      </c>
      <c r="D5" s="14">
        <v>0.55000000000000004</v>
      </c>
      <c r="E5" s="14">
        <f>E4+D5</f>
        <v>1.55</v>
      </c>
      <c r="F5" s="7">
        <f>F6</f>
        <v>3918</v>
      </c>
      <c r="G5" s="7">
        <f>G6</f>
        <v>3174.2764529889328</v>
      </c>
      <c r="H5" s="21">
        <f t="shared" si="0"/>
        <v>0.81017775727129471</v>
      </c>
      <c r="I5" s="6">
        <v>0.99</v>
      </c>
      <c r="J5" s="15">
        <v>0.3</v>
      </c>
      <c r="K5" s="5">
        <f>L4</f>
        <v>0</v>
      </c>
      <c r="L5" s="5">
        <f>B5+C5</f>
        <v>10</v>
      </c>
      <c r="M5" s="5">
        <f t="shared" ref="M5:M10" si="1">K5+B5+C5-L5</f>
        <v>0</v>
      </c>
      <c r="N5" s="7">
        <f t="shared" ref="N5:N10" si="2">C5*F5/2</f>
        <v>9795</v>
      </c>
      <c r="O5" s="7">
        <f t="shared" ref="O5:O10" si="3">B5*F5</f>
        <v>19590</v>
      </c>
      <c r="P5" s="7">
        <f t="shared" ref="P5:P10" si="4">NORMSINV(I5)*G5*SQRT(M5)</f>
        <v>0</v>
      </c>
      <c r="Q5" s="11">
        <f t="shared" ref="Q5:Q10" si="5">J5*E5*N5</f>
        <v>4554.6749999999993</v>
      </c>
      <c r="R5" s="11">
        <f t="shared" ref="R5:R10" si="6">J5*(E5-D5/2)*O5</f>
        <v>7493.1749999999993</v>
      </c>
      <c r="S5" s="11">
        <f t="shared" ref="S5:S10" si="7">J5*E5*P5</f>
        <v>0</v>
      </c>
      <c r="W5" s="4" t="s">
        <v>13</v>
      </c>
      <c r="X5" s="4" t="s">
        <v>14</v>
      </c>
    </row>
    <row r="6" spans="1:24" x14ac:dyDescent="0.3">
      <c r="A6" s="9" t="s">
        <v>36</v>
      </c>
      <c r="B6" s="5">
        <v>2</v>
      </c>
      <c r="C6" s="5">
        <v>1</v>
      </c>
      <c r="D6" s="14">
        <v>0.16</v>
      </c>
      <c r="E6" s="14">
        <f>E5+D6</f>
        <v>1.71</v>
      </c>
      <c r="F6" s="7">
        <f>SUM(F7:F10)</f>
        <v>3918</v>
      </c>
      <c r="G6" s="7">
        <f>SQRT(SUMPRODUCT(G7:G10,G7:G10))</f>
        <v>3174.2764529889328</v>
      </c>
      <c r="H6" s="21">
        <f t="shared" si="0"/>
        <v>0.81017775727129471</v>
      </c>
      <c r="I6" s="6">
        <v>0.99</v>
      </c>
      <c r="J6" s="15">
        <v>0.3</v>
      </c>
      <c r="K6" s="5">
        <f>L5</f>
        <v>10</v>
      </c>
      <c r="L6" s="5">
        <v>0</v>
      </c>
      <c r="M6" s="5">
        <f t="shared" si="1"/>
        <v>13</v>
      </c>
      <c r="N6" s="7">
        <f t="shared" si="2"/>
        <v>1959</v>
      </c>
      <c r="O6" s="7">
        <f t="shared" si="3"/>
        <v>7836</v>
      </c>
      <c r="P6" s="7">
        <f t="shared" si="4"/>
        <v>26625.089835123588</v>
      </c>
      <c r="Q6" s="11">
        <f t="shared" si="5"/>
        <v>1004.967</v>
      </c>
      <c r="R6" s="11">
        <f t="shared" si="6"/>
        <v>3831.8039999999996</v>
      </c>
      <c r="S6" s="11">
        <f t="shared" si="7"/>
        <v>13658.6710854184</v>
      </c>
      <c r="V6" s="9" t="s">
        <v>9</v>
      </c>
      <c r="W6" s="11">
        <f>SUM(Q4:Q10)</f>
        <v>15551.486999999999</v>
      </c>
      <c r="X6" s="11">
        <f>SUM(Q14:Q19)</f>
        <v>15016.68</v>
      </c>
    </row>
    <row r="7" spans="1:24" x14ac:dyDescent="0.3">
      <c r="A7" s="9" t="s">
        <v>55</v>
      </c>
      <c r="B7" s="5">
        <v>3</v>
      </c>
      <c r="C7" s="5">
        <v>5</v>
      </c>
      <c r="D7" s="14">
        <v>0.56000000000000005</v>
      </c>
      <c r="E7" s="14">
        <f>E6+D7</f>
        <v>2.27</v>
      </c>
      <c r="F7" s="7">
        <v>367</v>
      </c>
      <c r="G7" s="7">
        <v>661</v>
      </c>
      <c r="H7" s="21">
        <f t="shared" si="0"/>
        <v>1.8010899182561309</v>
      </c>
      <c r="I7" s="6">
        <v>0.99</v>
      </c>
      <c r="J7" s="15">
        <v>0.3</v>
      </c>
      <c r="K7" s="5">
        <f>L6</f>
        <v>0</v>
      </c>
      <c r="L7" s="5">
        <v>0</v>
      </c>
      <c r="M7" s="5">
        <f t="shared" si="1"/>
        <v>8</v>
      </c>
      <c r="N7" s="7">
        <f t="shared" si="2"/>
        <v>917.5</v>
      </c>
      <c r="O7" s="7">
        <f t="shared" si="3"/>
        <v>1101</v>
      </c>
      <c r="P7" s="7">
        <f t="shared" si="4"/>
        <v>4349.3174882601461</v>
      </c>
      <c r="Q7" s="11">
        <f t="shared" si="5"/>
        <v>624.8175</v>
      </c>
      <c r="R7" s="11">
        <f t="shared" si="6"/>
        <v>657.29700000000003</v>
      </c>
      <c r="S7" s="11">
        <f t="shared" si="7"/>
        <v>2961.8852095051593</v>
      </c>
      <c r="V7" s="9" t="s">
        <v>10</v>
      </c>
      <c r="W7" s="11">
        <f>SUM(R4:R10)</f>
        <v>27270.137999999999</v>
      </c>
      <c r="X7" s="11">
        <f>SUM(R14:R19)</f>
        <v>23908.493999999999</v>
      </c>
    </row>
    <row r="8" spans="1:24" x14ac:dyDescent="0.3">
      <c r="A8" s="9" t="s">
        <v>56</v>
      </c>
      <c r="B8" s="5">
        <v>3</v>
      </c>
      <c r="C8" s="5">
        <v>5</v>
      </c>
      <c r="D8" s="14">
        <v>0.66</v>
      </c>
      <c r="E8" s="14">
        <f>E6+D8</f>
        <v>2.37</v>
      </c>
      <c r="F8" s="7">
        <v>1996</v>
      </c>
      <c r="G8" s="7">
        <v>2595</v>
      </c>
      <c r="H8" s="21">
        <f t="shared" si="0"/>
        <v>1.3001002004008015</v>
      </c>
      <c r="I8" s="6">
        <v>0.99</v>
      </c>
      <c r="J8" s="15">
        <v>0.3</v>
      </c>
      <c r="K8" s="5">
        <f>L6</f>
        <v>0</v>
      </c>
      <c r="L8" s="5">
        <v>0</v>
      </c>
      <c r="M8" s="5">
        <f t="shared" si="1"/>
        <v>8</v>
      </c>
      <c r="N8" s="7">
        <f t="shared" si="2"/>
        <v>4990</v>
      </c>
      <c r="O8" s="7">
        <f t="shared" si="3"/>
        <v>5988</v>
      </c>
      <c r="P8" s="7">
        <f t="shared" si="4"/>
        <v>17074.854587042479</v>
      </c>
      <c r="Q8" s="11">
        <f t="shared" si="5"/>
        <v>3547.89</v>
      </c>
      <c r="R8" s="11">
        <f t="shared" si="6"/>
        <v>3664.6559999999999</v>
      </c>
      <c r="S8" s="11">
        <f t="shared" si="7"/>
        <v>12140.221611387202</v>
      </c>
      <c r="V8" s="9" t="s">
        <v>11</v>
      </c>
      <c r="W8" s="11">
        <f>SUM(S4:S10)</f>
        <v>50286.652766603038</v>
      </c>
      <c r="X8" s="11">
        <f>SUM(S14:S19)</f>
        <v>50070.267542434522</v>
      </c>
    </row>
    <row r="9" spans="1:24" x14ac:dyDescent="0.3">
      <c r="A9" s="9" t="s">
        <v>57</v>
      </c>
      <c r="B9" s="5">
        <v>2</v>
      </c>
      <c r="C9" s="5">
        <v>5</v>
      </c>
      <c r="D9" s="14">
        <v>0.76</v>
      </c>
      <c r="E9" s="14">
        <f>E6+D9</f>
        <v>2.4699999999999998</v>
      </c>
      <c r="F9" s="7">
        <v>871</v>
      </c>
      <c r="G9" s="7">
        <v>1307</v>
      </c>
      <c r="H9" s="21">
        <f t="shared" si="0"/>
        <v>1.5005740528128588</v>
      </c>
      <c r="I9" s="6">
        <v>0.99</v>
      </c>
      <c r="J9" s="15">
        <v>0.3</v>
      </c>
      <c r="K9" s="5">
        <f>L6</f>
        <v>0</v>
      </c>
      <c r="L9" s="5">
        <v>0</v>
      </c>
      <c r="M9" s="5">
        <f t="shared" si="1"/>
        <v>7</v>
      </c>
      <c r="N9" s="7">
        <f t="shared" si="2"/>
        <v>2177.5</v>
      </c>
      <c r="O9" s="7">
        <f t="shared" si="3"/>
        <v>1742</v>
      </c>
      <c r="P9" s="7">
        <f t="shared" si="4"/>
        <v>8044.5038846207917</v>
      </c>
      <c r="Q9" s="11">
        <f t="shared" si="5"/>
        <v>1613.5274999999997</v>
      </c>
      <c r="R9" s="11">
        <f t="shared" si="6"/>
        <v>1092.2339999999997</v>
      </c>
      <c r="S9" s="11">
        <f t="shared" si="7"/>
        <v>5960.9773785040061</v>
      </c>
      <c r="V9" s="9" t="s">
        <v>12</v>
      </c>
      <c r="W9" s="3">
        <f>SUM(W6:W8)</f>
        <v>93108.277766603045</v>
      </c>
      <c r="X9" s="3">
        <f>SUM(X6:X8)</f>
        <v>88995.441542434521</v>
      </c>
    </row>
    <row r="10" spans="1:24" x14ac:dyDescent="0.3">
      <c r="A10" s="9" t="s">
        <v>58</v>
      </c>
      <c r="B10" s="5">
        <v>4</v>
      </c>
      <c r="C10" s="5">
        <v>5</v>
      </c>
      <c r="D10" s="14">
        <v>0.76</v>
      </c>
      <c r="E10" s="14">
        <f>E6+D10</f>
        <v>2.4699999999999998</v>
      </c>
      <c r="F10" s="7">
        <v>684</v>
      </c>
      <c r="G10" s="7">
        <v>1094</v>
      </c>
      <c r="H10" s="21">
        <f t="shared" si="0"/>
        <v>1.5994152046783625</v>
      </c>
      <c r="I10" s="6">
        <v>0.99</v>
      </c>
      <c r="J10" s="15">
        <v>0.3</v>
      </c>
      <c r="K10" s="5">
        <f>L6</f>
        <v>0</v>
      </c>
      <c r="L10" s="5">
        <v>0</v>
      </c>
      <c r="M10" s="5">
        <f t="shared" si="1"/>
        <v>9</v>
      </c>
      <c r="N10" s="7">
        <f t="shared" si="2"/>
        <v>1710</v>
      </c>
      <c r="O10" s="7">
        <f t="shared" si="3"/>
        <v>2736</v>
      </c>
      <c r="P10" s="7">
        <f t="shared" si="4"/>
        <v>7635.0737226020392</v>
      </c>
      <c r="Q10" s="11">
        <f t="shared" si="5"/>
        <v>1267.1099999999999</v>
      </c>
      <c r="R10" s="11">
        <f t="shared" si="6"/>
        <v>1715.4719999999998</v>
      </c>
      <c r="S10" s="11">
        <f t="shared" si="7"/>
        <v>5657.5896284481105</v>
      </c>
      <c r="V10" s="9" t="s">
        <v>15</v>
      </c>
      <c r="W10" s="12">
        <f>(W9-X9)/W9</f>
        <v>4.4172616257367348E-2</v>
      </c>
    </row>
    <row r="12" spans="1:24" x14ac:dyDescent="0.3">
      <c r="A12" t="s">
        <v>49</v>
      </c>
    </row>
    <row r="13" spans="1:24" ht="31.2" x14ac:dyDescent="0.3">
      <c r="B13" s="13" t="s">
        <v>16</v>
      </c>
      <c r="C13" s="13" t="s">
        <v>17</v>
      </c>
      <c r="D13" s="13" t="s">
        <v>18</v>
      </c>
      <c r="E13" s="13" t="s">
        <v>19</v>
      </c>
      <c r="F13" s="13" t="s">
        <v>20</v>
      </c>
      <c r="G13" s="13" t="s">
        <v>21</v>
      </c>
      <c r="H13" s="13" t="s">
        <v>4</v>
      </c>
      <c r="I13" s="13" t="s">
        <v>22</v>
      </c>
      <c r="J13" s="13" t="s">
        <v>23</v>
      </c>
      <c r="K13" s="13" t="s">
        <v>24</v>
      </c>
      <c r="L13" s="13" t="s">
        <v>25</v>
      </c>
      <c r="M13" s="13" t="s">
        <v>26</v>
      </c>
      <c r="N13" s="13" t="s">
        <v>29</v>
      </c>
      <c r="O13" s="13" t="s">
        <v>27</v>
      </c>
      <c r="P13" s="13" t="s">
        <v>28</v>
      </c>
      <c r="Q13" s="13" t="s">
        <v>30</v>
      </c>
      <c r="R13" s="13" t="s">
        <v>31</v>
      </c>
      <c r="S13" s="13" t="s">
        <v>32</v>
      </c>
    </row>
    <row r="14" spans="1:24" x14ac:dyDescent="0.3">
      <c r="A14" s="9" t="s">
        <v>34</v>
      </c>
      <c r="B14" s="5">
        <v>15</v>
      </c>
      <c r="C14" s="5">
        <v>5</v>
      </c>
      <c r="D14" s="14">
        <v>1</v>
      </c>
      <c r="E14" s="14">
        <f>D14</f>
        <v>1</v>
      </c>
      <c r="F14" s="7">
        <f>F15</f>
        <v>3918</v>
      </c>
      <c r="G14" s="7">
        <f>G15</f>
        <v>3174.2764529889328</v>
      </c>
      <c r="H14" s="21">
        <f t="shared" ref="H14:H19" si="8">G14/F14</f>
        <v>0.81017775727129471</v>
      </c>
      <c r="I14" s="6">
        <v>0.99</v>
      </c>
      <c r="J14" s="15">
        <v>0.3</v>
      </c>
      <c r="K14" s="5">
        <v>0</v>
      </c>
      <c r="L14" s="5">
        <v>0</v>
      </c>
      <c r="M14" s="5">
        <f>K14+B14+C14-L14</f>
        <v>20</v>
      </c>
      <c r="N14" s="7">
        <f>C14*F14/2</f>
        <v>9795</v>
      </c>
      <c r="O14" s="7">
        <f>B14*F14</f>
        <v>58770</v>
      </c>
      <c r="P14" s="7">
        <f>NORMSINV(I14)*G14*SQRT(M14)</f>
        <v>33024.359511133865</v>
      </c>
      <c r="Q14" s="11">
        <f>J14*E14*N14</f>
        <v>2938.5</v>
      </c>
      <c r="R14" s="11">
        <f>J14*(E14-D14/2)*O14</f>
        <v>8815.5</v>
      </c>
      <c r="S14" s="11">
        <f>J14*E14*P14</f>
        <v>9907.3078533401585</v>
      </c>
    </row>
    <row r="15" spans="1:24" x14ac:dyDescent="0.3">
      <c r="A15" s="9" t="s">
        <v>37</v>
      </c>
      <c r="B15" s="5">
        <f>B5</f>
        <v>5</v>
      </c>
      <c r="C15" s="5">
        <v>5</v>
      </c>
      <c r="D15" s="14">
        <f>D5+D6</f>
        <v>0.71000000000000008</v>
      </c>
      <c r="E15" s="14">
        <f>E14+D15</f>
        <v>1.71</v>
      </c>
      <c r="F15" s="7">
        <f>SUM(F16:F19)</f>
        <v>3918</v>
      </c>
      <c r="G15" s="7">
        <f>SQRT(SUMPRODUCT(G16:G19,G16:G19))</f>
        <v>3174.2764529889328</v>
      </c>
      <c r="H15" s="21">
        <f t="shared" si="8"/>
        <v>0.81017775727129471</v>
      </c>
      <c r="I15" s="6">
        <v>0.99</v>
      </c>
      <c r="J15" s="15">
        <v>0.3</v>
      </c>
      <c r="K15" s="5">
        <f>L14</f>
        <v>0</v>
      </c>
      <c r="L15" s="5">
        <f>L14+B15+C15</f>
        <v>10</v>
      </c>
      <c r="M15" s="5">
        <f t="shared" ref="M15:M19" si="9">K15+B15+C15-L15</f>
        <v>0</v>
      </c>
      <c r="N15" s="7">
        <f t="shared" ref="N15:N19" si="10">C15*F15/2</f>
        <v>9795</v>
      </c>
      <c r="O15" s="7">
        <f t="shared" ref="O15:O19" si="11">B15*F15</f>
        <v>19590</v>
      </c>
      <c r="P15" s="7">
        <f t="shared" ref="P15:P19" si="12">NORMSINV(I15)*G15*SQRT(M15)</f>
        <v>0</v>
      </c>
      <c r="Q15" s="11">
        <f t="shared" ref="Q15:Q19" si="13">J15*E15*N15</f>
        <v>5024.835</v>
      </c>
      <c r="R15" s="11">
        <f t="shared" ref="R15:R19" si="14">J15*(E15-D15/2)*O15</f>
        <v>7963.3349999999991</v>
      </c>
      <c r="S15" s="11">
        <f t="shared" ref="S15:S19" si="15">J15*E15*P15</f>
        <v>0</v>
      </c>
    </row>
    <row r="16" spans="1:24" x14ac:dyDescent="0.3">
      <c r="A16" s="9" t="s">
        <v>55</v>
      </c>
      <c r="B16" s="5">
        <v>3</v>
      </c>
      <c r="C16" s="5">
        <v>5</v>
      </c>
      <c r="D16" s="14">
        <v>0.56000000000000005</v>
      </c>
      <c r="E16" s="14">
        <f>E15+D16</f>
        <v>2.27</v>
      </c>
      <c r="F16" s="7">
        <v>367</v>
      </c>
      <c r="G16" s="7">
        <v>661</v>
      </c>
      <c r="H16" s="21">
        <f t="shared" si="8"/>
        <v>1.8010899182561309</v>
      </c>
      <c r="I16" s="6">
        <v>0.99</v>
      </c>
      <c r="J16" s="15">
        <v>0.3</v>
      </c>
      <c r="K16" s="5">
        <f>L15</f>
        <v>10</v>
      </c>
      <c r="L16" s="5">
        <v>0</v>
      </c>
      <c r="M16" s="5">
        <f t="shared" si="9"/>
        <v>18</v>
      </c>
      <c r="N16" s="7">
        <f t="shared" si="10"/>
        <v>917.5</v>
      </c>
      <c r="O16" s="7">
        <f t="shared" si="11"/>
        <v>1101</v>
      </c>
      <c r="P16" s="7">
        <f t="shared" si="12"/>
        <v>6523.9762323902187</v>
      </c>
      <c r="Q16" s="11">
        <f t="shared" si="13"/>
        <v>624.8175</v>
      </c>
      <c r="R16" s="11">
        <f t="shared" si="14"/>
        <v>657.29700000000003</v>
      </c>
      <c r="S16" s="11">
        <f t="shared" si="15"/>
        <v>4442.8278142577383</v>
      </c>
    </row>
    <row r="17" spans="1:19" x14ac:dyDescent="0.3">
      <c r="A17" s="9" t="s">
        <v>56</v>
      </c>
      <c r="B17" s="5">
        <v>3</v>
      </c>
      <c r="C17" s="5">
        <v>5</v>
      </c>
      <c r="D17" s="14">
        <v>0.66</v>
      </c>
      <c r="E17" s="14">
        <f>E15+D17</f>
        <v>2.37</v>
      </c>
      <c r="F17" s="7">
        <v>1996</v>
      </c>
      <c r="G17" s="7">
        <v>2595</v>
      </c>
      <c r="H17" s="21">
        <f t="shared" si="8"/>
        <v>1.3001002004008015</v>
      </c>
      <c r="I17" s="6">
        <v>0.99</v>
      </c>
      <c r="J17" s="15">
        <v>0.3</v>
      </c>
      <c r="K17" s="5">
        <f>L15</f>
        <v>10</v>
      </c>
      <c r="L17" s="5">
        <v>0</v>
      </c>
      <c r="M17" s="5">
        <f t="shared" si="9"/>
        <v>18</v>
      </c>
      <c r="N17" s="7">
        <f t="shared" si="10"/>
        <v>4990</v>
      </c>
      <c r="O17" s="7">
        <f t="shared" si="11"/>
        <v>5988</v>
      </c>
      <c r="P17" s="7">
        <f t="shared" si="12"/>
        <v>25612.281880563714</v>
      </c>
      <c r="Q17" s="11">
        <f t="shared" si="13"/>
        <v>3547.89</v>
      </c>
      <c r="R17" s="11">
        <f t="shared" si="14"/>
        <v>3664.6559999999999</v>
      </c>
      <c r="S17" s="11">
        <f t="shared" si="15"/>
        <v>18210.332417080801</v>
      </c>
    </row>
    <row r="18" spans="1:19" x14ac:dyDescent="0.3">
      <c r="A18" s="9" t="s">
        <v>57</v>
      </c>
      <c r="B18" s="5">
        <v>2</v>
      </c>
      <c r="C18" s="5">
        <v>5</v>
      </c>
      <c r="D18" s="14">
        <v>0.76</v>
      </c>
      <c r="E18" s="14">
        <f>E15+D18</f>
        <v>2.4699999999999998</v>
      </c>
      <c r="F18" s="7">
        <v>871</v>
      </c>
      <c r="G18" s="7">
        <v>1307</v>
      </c>
      <c r="H18" s="21">
        <f t="shared" si="8"/>
        <v>1.5005740528128588</v>
      </c>
      <c r="I18" s="6">
        <v>0.99</v>
      </c>
      <c r="J18" s="15">
        <v>0.3</v>
      </c>
      <c r="K18" s="5">
        <f>L15</f>
        <v>10</v>
      </c>
      <c r="L18" s="5">
        <v>0</v>
      </c>
      <c r="M18" s="5">
        <f t="shared" si="9"/>
        <v>17</v>
      </c>
      <c r="N18" s="7">
        <f t="shared" si="10"/>
        <v>2177.5</v>
      </c>
      <c r="O18" s="7">
        <f t="shared" si="11"/>
        <v>1742</v>
      </c>
      <c r="P18" s="7">
        <f t="shared" si="12"/>
        <v>12536.453854628127</v>
      </c>
      <c r="Q18" s="11">
        <f t="shared" si="13"/>
        <v>1613.5274999999997</v>
      </c>
      <c r="R18" s="11">
        <f t="shared" si="14"/>
        <v>1092.2339999999997</v>
      </c>
      <c r="S18" s="11">
        <f t="shared" si="15"/>
        <v>9289.512306279441</v>
      </c>
    </row>
    <row r="19" spans="1:19" x14ac:dyDescent="0.3">
      <c r="A19" s="9" t="s">
        <v>58</v>
      </c>
      <c r="B19" s="5">
        <v>4</v>
      </c>
      <c r="C19" s="5">
        <v>5</v>
      </c>
      <c r="D19" s="14">
        <v>0.76</v>
      </c>
      <c r="E19" s="14">
        <f>E15+D19</f>
        <v>2.4699999999999998</v>
      </c>
      <c r="F19" s="7">
        <v>684</v>
      </c>
      <c r="G19" s="7">
        <v>1094</v>
      </c>
      <c r="H19" s="21">
        <f t="shared" si="8"/>
        <v>1.5994152046783625</v>
      </c>
      <c r="I19" s="6">
        <v>0.99</v>
      </c>
      <c r="J19" s="15">
        <v>0.3</v>
      </c>
      <c r="K19" s="5">
        <f>L15</f>
        <v>10</v>
      </c>
      <c r="L19" s="5">
        <v>0</v>
      </c>
      <c r="M19" s="5">
        <f t="shared" si="9"/>
        <v>19</v>
      </c>
      <c r="N19" s="7">
        <f t="shared" si="10"/>
        <v>1710</v>
      </c>
      <c r="O19" s="7">
        <f t="shared" si="11"/>
        <v>2736</v>
      </c>
      <c r="P19" s="7">
        <f t="shared" si="12"/>
        <v>11093.504927768396</v>
      </c>
      <c r="Q19" s="11">
        <f t="shared" si="13"/>
        <v>1267.1099999999999</v>
      </c>
      <c r="R19" s="11">
        <f t="shared" si="14"/>
        <v>1715.4719999999998</v>
      </c>
      <c r="S19" s="11">
        <f t="shared" si="15"/>
        <v>8220.2871514763792</v>
      </c>
    </row>
    <row r="20" spans="1:19" x14ac:dyDescent="0.3">
      <c r="A20" s="9"/>
    </row>
    <row r="25" spans="1:19" ht="46.8" x14ac:dyDescent="0.3">
      <c r="G25" s="18" t="s">
        <v>43</v>
      </c>
      <c r="H25" s="18" t="s">
        <v>44</v>
      </c>
      <c r="I25" s="18" t="s">
        <v>45</v>
      </c>
      <c r="J25" s="18" t="s">
        <v>15</v>
      </c>
    </row>
    <row r="26" spans="1:19" x14ac:dyDescent="0.3">
      <c r="F26" s="2"/>
      <c r="H26" s="2">
        <f>W9</f>
        <v>93108.277766603045</v>
      </c>
      <c r="I26" s="2">
        <f>X9</f>
        <v>88995.441542434521</v>
      </c>
      <c r="J26" s="17">
        <f>W10</f>
        <v>4.4172616257367348E-2</v>
      </c>
    </row>
    <row r="27" spans="1:19" x14ac:dyDescent="0.3">
      <c r="G27" s="1">
        <v>0</v>
      </c>
      <c r="H27" s="10">
        <f t="dataTable" ref="H27:J47" dt2D="0" dtr="0" r1="B5"/>
        <v>82671.174818768341</v>
      </c>
      <c r="I27" s="10">
        <v>74981.636649259264</v>
      </c>
      <c r="J27" s="19">
        <v>9.3013534480017659E-2</v>
      </c>
    </row>
    <row r="28" spans="1:19" x14ac:dyDescent="0.3">
      <c r="G28" s="1">
        <v>1</v>
      </c>
      <c r="H28" s="10">
        <v>84819.767978070813</v>
      </c>
      <c r="I28" s="10">
        <v>77867.382974805223</v>
      </c>
      <c r="J28" s="19">
        <v>8.1966564740698772E-2</v>
      </c>
    </row>
    <row r="29" spans="1:19" x14ac:dyDescent="0.3">
      <c r="G29" s="1">
        <v>2</v>
      </c>
      <c r="H29" s="10">
        <v>86933.148689727896</v>
      </c>
      <c r="I29" s="10">
        <v>80707.440174089003</v>
      </c>
      <c r="J29" s="19">
        <v>7.1614897302972408E-2</v>
      </c>
    </row>
    <row r="30" spans="1:19" x14ac:dyDescent="0.3">
      <c r="G30" s="1">
        <v>3</v>
      </c>
      <c r="H30" s="10">
        <v>89016.486699930247</v>
      </c>
      <c r="I30" s="10">
        <v>83506.3427358068</v>
      </c>
      <c r="J30" s="19">
        <v>6.1900263292774552E-2</v>
      </c>
    </row>
    <row r="31" spans="1:19" x14ac:dyDescent="0.3">
      <c r="G31" s="1">
        <v>4</v>
      </c>
      <c r="H31" s="10">
        <v>91073.798387218485</v>
      </c>
      <c r="I31" s="10">
        <v>86267.920126037207</v>
      </c>
      <c r="J31" s="19">
        <v>5.2769054835597448E-2</v>
      </c>
    </row>
    <row r="32" spans="1:19" x14ac:dyDescent="0.3">
      <c r="A32" t="s">
        <v>50</v>
      </c>
      <c r="G32" s="1">
        <v>5</v>
      </c>
      <c r="H32" s="10">
        <v>93108.277766603045</v>
      </c>
      <c r="I32" s="10">
        <v>88995.441542434521</v>
      </c>
      <c r="J32" s="19">
        <v>4.4172616257367348E-2</v>
      </c>
    </row>
    <row r="33" spans="1:10" x14ac:dyDescent="0.3">
      <c r="B33" s="4" t="s">
        <v>7</v>
      </c>
      <c r="C33" s="4" t="s">
        <v>8</v>
      </c>
      <c r="D33" s="4" t="s">
        <v>4</v>
      </c>
      <c r="G33" s="1">
        <v>6</v>
      </c>
      <c r="H33" s="10">
        <v>95122.514533175825</v>
      </c>
      <c r="I33" s="10">
        <v>91691.7245120843</v>
      </c>
      <c r="J33" s="19">
        <v>3.6067066119188536E-2</v>
      </c>
    </row>
    <row r="34" spans="1:10" x14ac:dyDescent="0.3">
      <c r="A34" s="8" t="s">
        <v>51</v>
      </c>
      <c r="B34" s="7">
        <f>20*F7</f>
        <v>7340</v>
      </c>
      <c r="C34" s="7">
        <f>SQRT(20)*G7</f>
        <v>2956.0818662547222</v>
      </c>
      <c r="D34" s="6">
        <f>C34/B34</f>
        <v>0.40273594908102484</v>
      </c>
      <c r="G34" s="1">
        <v>7</v>
      </c>
      <c r="H34" s="10">
        <v>97118.642967005304</v>
      </c>
      <c r="I34" s="10">
        <v>94359.21780643551</v>
      </c>
      <c r="J34" s="19">
        <v>2.8412929549553833E-2</v>
      </c>
    </row>
    <row r="35" spans="1:10" x14ac:dyDescent="0.3">
      <c r="A35" s="8" t="s">
        <v>52</v>
      </c>
      <c r="B35" s="7">
        <f>20*F8</f>
        <v>39920</v>
      </c>
      <c r="C35" s="7">
        <f>SQRT(20)*G8</f>
        <v>11605.192803223908</v>
      </c>
      <c r="D35" s="6">
        <f>C35/B35</f>
        <v>0.29071124256572917</v>
      </c>
      <c r="G35" s="1">
        <v>8</v>
      </c>
      <c r="H35" s="10">
        <v>99098.446743699547</v>
      </c>
      <c r="I35" s="10">
        <v>97000.065736000222</v>
      </c>
      <c r="J35" s="19">
        <v>2.1174711376924133E-2</v>
      </c>
    </row>
    <row r="36" spans="1:10" x14ac:dyDescent="0.3">
      <c r="A36" s="8" t="s">
        <v>53</v>
      </c>
      <c r="B36" s="7">
        <f>20*F9</f>
        <v>17420</v>
      </c>
      <c r="C36" s="7">
        <f>SQRT(20)*G9</f>
        <v>5845.0816931844502</v>
      </c>
      <c r="D36" s="6">
        <f>C36/B36</f>
        <v>0.33553855873619115</v>
      </c>
      <c r="G36" s="1">
        <v>9</v>
      </c>
      <c r="H36" s="10">
        <v>101063.43463140322</v>
      </c>
      <c r="I36" s="10">
        <v>99616.158698754152</v>
      </c>
      <c r="J36" s="19">
        <v>1.432047048398407E-2</v>
      </c>
    </row>
    <row r="37" spans="1:10" x14ac:dyDescent="0.3">
      <c r="A37" s="8" t="s">
        <v>54</v>
      </c>
      <c r="B37" s="7">
        <f>20*F10</f>
        <v>13680</v>
      </c>
      <c r="C37" s="7">
        <f>SQRT(20)*G10</f>
        <v>4892.5167347695397</v>
      </c>
      <c r="D37" s="6">
        <f>C37/B37</f>
        <v>0.35764011219075581</v>
      </c>
      <c r="G37" s="1">
        <v>10</v>
      </c>
      <c r="H37" s="10">
        <v>103014.89638756018</v>
      </c>
      <c r="I37" s="10">
        <v>102209.17341530051</v>
      </c>
      <c r="J37" s="19">
        <v>7.8214219546306769E-3</v>
      </c>
    </row>
    <row r="38" spans="1:10" x14ac:dyDescent="0.3">
      <c r="G38" s="1">
        <v>11</v>
      </c>
      <c r="H38" s="10">
        <v>104953.9448400688</v>
      </c>
      <c r="I38" s="10">
        <v>104780.60531358796</v>
      </c>
      <c r="J38" s="19">
        <v>1.651577048818639E-3</v>
      </c>
    </row>
    <row r="39" spans="1:10" x14ac:dyDescent="0.3">
      <c r="G39" s="1">
        <v>12</v>
      </c>
      <c r="H39" s="10">
        <v>106881.54811039631</v>
      </c>
      <c r="I39" s="10">
        <v>107331.79485921768</v>
      </c>
      <c r="J39" s="19">
        <v>-4.2125769768634001E-3</v>
      </c>
    </row>
    <row r="40" spans="1:10" x14ac:dyDescent="0.3">
      <c r="G40" s="1">
        <v>13</v>
      </c>
      <c r="H40" s="10">
        <v>108798.55466236587</v>
      </c>
      <c r="I40" s="10">
        <v>109863.94916074889</v>
      </c>
      <c r="J40" s="19">
        <v>-9.7923589305873564E-3</v>
      </c>
    </row>
    <row r="41" spans="1:10" x14ac:dyDescent="0.3">
      <c r="G41" s="1">
        <v>14</v>
      </c>
      <c r="H41" s="10">
        <v>110705.71303738488</v>
      </c>
      <c r="I41" s="10">
        <v>112378.1598474044</v>
      </c>
      <c r="J41" s="19">
        <v>-1.510714094271489E-2</v>
      </c>
    </row>
    <row r="42" spans="1:10" x14ac:dyDescent="0.3">
      <c r="G42" s="1">
        <v>15</v>
      </c>
      <c r="H42" s="10">
        <v>112603.68759206453</v>
      </c>
      <c r="I42" s="10">
        <v>114875.41797677123</v>
      </c>
      <c r="J42" s="19">
        <v>-2.0174564734830262E-2</v>
      </c>
    </row>
    <row r="43" spans="1:10" x14ac:dyDescent="0.3">
      <c r="G43" s="1">
        <v>16</v>
      </c>
      <c r="H43" s="10">
        <v>114493.07118552955</v>
      </c>
      <c r="I43" s="10">
        <v>117356.62655448483</v>
      </c>
      <c r="J43" s="19">
        <v>-2.501073068705657E-2</v>
      </c>
    </row>
    <row r="44" spans="1:10" x14ac:dyDescent="0.3">
      <c r="G44" s="1">
        <v>17</v>
      </c>
      <c r="H44" s="10">
        <v>116374.39550932826</v>
      </c>
      <c r="I44" s="10">
        <v>119822.61111765701</v>
      </c>
      <c r="J44" s="19">
        <v>-2.9630363218963882E-2</v>
      </c>
    </row>
    <row r="45" spans="1:10" x14ac:dyDescent="0.3">
      <c r="G45" s="1">
        <v>18</v>
      </c>
      <c r="H45" s="10">
        <v>118248.13957417657</v>
      </c>
      <c r="I45" s="10">
        <v>122274.12873610566</v>
      </c>
      <c r="J45" s="19">
        <v>-3.4046955634372579E-2</v>
      </c>
    </row>
    <row r="46" spans="1:10" x14ac:dyDescent="0.3">
      <c r="G46" s="1">
        <v>19</v>
      </c>
      <c r="H46" s="10">
        <v>120114.73674023541</v>
      </c>
      <c r="I46" s="10">
        <v>124711.87571134941</v>
      </c>
      <c r="J46" s="19">
        <v>-3.8272897197085286E-2</v>
      </c>
    </row>
    <row r="47" spans="1:10" x14ac:dyDescent="0.3">
      <c r="G47" s="1">
        <v>20</v>
      </c>
      <c r="H47" s="10">
        <v>121974.58058524734</v>
      </c>
      <c r="I47" s="10">
        <v>127136.49419658021</v>
      </c>
      <c r="J47" s="19">
        <v>-4.2319584839443161E-2</v>
      </c>
    </row>
    <row r="50" spans="10:11" x14ac:dyDescent="0.3">
      <c r="J50" s="2"/>
      <c r="K50" s="2"/>
    </row>
    <row r="51" spans="10:11" x14ac:dyDescent="0.3">
      <c r="J51" s="2"/>
      <c r="K51" s="2"/>
    </row>
  </sheetData>
  <pageMargins left="0.45" right="0.45" top="0.5" bottom="0.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EUR sw analysis</vt:lpstr>
      <vt:lpstr>NA sw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Anup Sreekumar</cp:lastModifiedBy>
  <dcterms:created xsi:type="dcterms:W3CDTF">2019-05-12T01:38:15Z</dcterms:created>
  <dcterms:modified xsi:type="dcterms:W3CDTF">2023-03-05T15:46:26Z</dcterms:modified>
</cp:coreProperties>
</file>