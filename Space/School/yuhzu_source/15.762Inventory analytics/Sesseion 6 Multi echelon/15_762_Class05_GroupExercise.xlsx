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5 - Reebok/___GroupExercise/"/>
    </mc:Choice>
  </mc:AlternateContent>
  <xr:revisionPtr revIDLastSave="0" documentId="13_ncr:1_{BDE89D66-5726-0447-ABA5-6AD3A6F89123}" xr6:coauthVersionLast="47" xr6:coauthVersionMax="47" xr10:uidLastSave="{00000000-0000-0000-0000-000000000000}"/>
  <bookViews>
    <workbookView xWindow="13480" yWindow="-31260" windowWidth="28140" windowHeight="21600" xr2:uid="{1EDE032F-DB8E-424C-B0D2-D8C461ED793B}"/>
  </bookViews>
  <sheets>
    <sheet name="Three product examp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2" l="1"/>
  <c r="F29" i="2"/>
  <c r="D30" i="2"/>
  <c r="D29" i="2"/>
  <c r="F22" i="2"/>
  <c r="F26" i="2"/>
  <c r="F24" i="2"/>
  <c r="F20" i="2"/>
  <c r="F18" i="2"/>
  <c r="F16" i="2"/>
  <c r="F14" i="2"/>
  <c r="F12" i="2"/>
  <c r="F10" i="2"/>
  <c r="E26" i="2"/>
  <c r="E24" i="2"/>
  <c r="E20" i="2"/>
  <c r="E18" i="2"/>
  <c r="E14" i="2"/>
  <c r="E12" i="2"/>
  <c r="D26" i="2"/>
  <c r="D24" i="2"/>
  <c r="D14" i="2"/>
  <c r="D28" i="2" s="1"/>
  <c r="D12" i="2"/>
  <c r="D20" i="2"/>
  <c r="D18" i="2"/>
  <c r="D22" i="2"/>
  <c r="D16" i="2"/>
  <c r="D10" i="2"/>
  <c r="E28" i="2" l="1"/>
  <c r="F28" i="2"/>
  <c r="E30" i="2" l="1"/>
  <c r="E29" i="2"/>
</calcChain>
</file>

<file path=xl/sharedStrings.xml><?xml version="1.0" encoding="utf-8"?>
<sst xmlns="http://schemas.openxmlformats.org/spreadsheetml/2006/main" count="28" uniqueCount="28">
  <si>
    <t>ChipCo cost-of-stockout calculations</t>
  </si>
  <si>
    <t>Product A</t>
  </si>
  <si>
    <t>Product B</t>
  </si>
  <si>
    <t>Product C</t>
  </si>
  <si>
    <t>Lost sale</t>
  </si>
  <si>
    <t>Deferred Sale</t>
  </si>
  <si>
    <t>Sales substitution</t>
  </si>
  <si>
    <t>Product unit cost</t>
  </si>
  <si>
    <t>Product unit selling price</t>
  </si>
  <si>
    <t>Annual cost of capital</t>
  </si>
  <si>
    <t>Cost of distributor buy</t>
  </si>
  <si>
    <t>P(distributor buy)</t>
  </si>
  <si>
    <t>P(walk away)</t>
  </si>
  <si>
    <t>Cost of walk away</t>
  </si>
  <si>
    <t>P(one month delay)</t>
  </si>
  <si>
    <t>P(two month delay)</t>
  </si>
  <si>
    <t>Cost of one month delay</t>
  </si>
  <si>
    <t>Cost of two month delay</t>
  </si>
  <si>
    <t>Lost margin from distirbutor buy</t>
  </si>
  <si>
    <t>P(buy up)</t>
  </si>
  <si>
    <t>P(buy down)</t>
  </si>
  <si>
    <t>Cost of buy up</t>
  </si>
  <si>
    <t>Cost of buy down</t>
  </si>
  <si>
    <t>Gained margin from buy up</t>
  </si>
  <si>
    <t>Lost margin from buy down</t>
  </si>
  <si>
    <t>Expected stockout cost</t>
  </si>
  <si>
    <t>Expected stockout cost at % of unit cost</t>
  </si>
  <si>
    <t>Expected stockout cost at % of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</si>
</sst>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6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10</xdr:col>
      <xdr:colOff>166594</xdr:colOff>
      <xdr:row>17</xdr:row>
      <xdr:rowOff>200212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4093CB8-266A-0042-B29B-B29981321852}"/>
            </a:ext>
          </a:extLst>
        </xdr:cNvPr>
        <xdr:cNvGrpSpPr>
          <a:grpSpLocks/>
        </xdr:cNvGrpSpPr>
      </xdr:nvGrpSpPr>
      <xdr:grpSpPr bwMode="auto">
        <a:xfrm>
          <a:off x="6439647" y="403412"/>
          <a:ext cx="2654300" cy="3225800"/>
          <a:chOff x="3237999" y="1739900"/>
          <a:chExt cx="2655912" cy="302019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25A3860F-AE0F-B429-7191-BA86F329BD11}"/>
              </a:ext>
            </a:extLst>
          </xdr:cNvPr>
          <xdr:cNvSpPr txBox="1"/>
        </xdr:nvSpPr>
        <xdr:spPr>
          <a:xfrm>
            <a:off x="3746308" y="4153681"/>
            <a:ext cx="902248" cy="4637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Sales</a:t>
            </a:r>
            <a:br>
              <a:rPr lang="en-US" sz="1200">
                <a:latin typeface="Times New Roman"/>
                <a:cs typeface="Times New Roman"/>
              </a:rPr>
            </a:br>
            <a:r>
              <a:rPr lang="en-US" sz="1200">
                <a:latin typeface="Times New Roman"/>
                <a:cs typeface="Times New Roman"/>
              </a:rPr>
              <a:t>substitution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CCED463F-BDCA-2300-F668-47D73CE0D020}"/>
              </a:ext>
            </a:extLst>
          </xdr:cNvPr>
          <xdr:cNvSpPr txBox="1"/>
        </xdr:nvSpPr>
        <xdr:spPr>
          <a:xfrm>
            <a:off x="3746308" y="1977711"/>
            <a:ext cx="470185" cy="4637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Lost</a:t>
            </a:r>
            <a:br>
              <a:rPr lang="en-US" sz="1200">
                <a:latin typeface="Times New Roman"/>
                <a:cs typeface="Times New Roman"/>
              </a:rPr>
            </a:br>
            <a:r>
              <a:rPr lang="en-US" sz="1200">
                <a:latin typeface="Times New Roman"/>
                <a:cs typeface="Times New Roman"/>
              </a:rPr>
              <a:t>sale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3BA9450-0751-0A0B-B70F-0B23CBFF39CB}"/>
              </a:ext>
            </a:extLst>
          </xdr:cNvPr>
          <xdr:cNvSpPr txBox="1"/>
        </xdr:nvSpPr>
        <xdr:spPr>
          <a:xfrm>
            <a:off x="3746308" y="3107313"/>
            <a:ext cx="737047" cy="4637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Deferred</a:t>
            </a:r>
            <a:br>
              <a:rPr lang="en-US" sz="1200">
                <a:latin typeface="Times New Roman"/>
                <a:cs typeface="Times New Roman"/>
              </a:rPr>
            </a:br>
            <a:r>
              <a:rPr lang="en-US" sz="1200">
                <a:latin typeface="Times New Roman"/>
                <a:cs typeface="Times New Roman"/>
              </a:rPr>
              <a:t>sale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A93D80C-3BA9-D5B5-B030-FA1F4219CFC3}"/>
              </a:ext>
            </a:extLst>
          </xdr:cNvPr>
          <xdr:cNvSpPr txBox="1"/>
        </xdr:nvSpPr>
        <xdr:spPr>
          <a:xfrm>
            <a:off x="4991663" y="1739900"/>
            <a:ext cx="876832" cy="451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Distributor</a:t>
            </a:r>
            <a:br>
              <a:rPr lang="en-US" sz="1200">
                <a:latin typeface="Times New Roman"/>
                <a:cs typeface="Times New Roman"/>
              </a:rPr>
            </a:br>
            <a:r>
              <a:rPr lang="en-US" sz="1200">
                <a:latin typeface="Times New Roman"/>
                <a:cs typeface="Times New Roman"/>
              </a:rPr>
              <a:t>buy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D92C181-9E53-0D1B-BDA8-BF72128BBCC9}"/>
              </a:ext>
            </a:extLst>
          </xdr:cNvPr>
          <xdr:cNvSpPr txBox="1"/>
        </xdr:nvSpPr>
        <xdr:spPr>
          <a:xfrm>
            <a:off x="4991663" y="2203631"/>
            <a:ext cx="533724" cy="4637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Walk</a:t>
            </a:r>
            <a:br>
              <a:rPr lang="en-US" sz="1200">
                <a:latin typeface="Times New Roman"/>
                <a:cs typeface="Times New Roman"/>
              </a:rPr>
            </a:br>
            <a:r>
              <a:rPr lang="en-US" sz="1200">
                <a:latin typeface="Times New Roman"/>
                <a:cs typeface="Times New Roman"/>
              </a:rPr>
              <a:t>away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B994086-07DE-2AB3-047D-9D2C161DC19D}"/>
              </a:ext>
            </a:extLst>
          </xdr:cNvPr>
          <xdr:cNvSpPr txBox="1"/>
        </xdr:nvSpPr>
        <xdr:spPr>
          <a:xfrm>
            <a:off x="5004371" y="2869502"/>
            <a:ext cx="876832" cy="451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One</a:t>
            </a:r>
            <a:r>
              <a:rPr lang="en-US" sz="1200" baseline="0">
                <a:latin typeface="Times New Roman"/>
                <a:cs typeface="Times New Roman"/>
              </a:rPr>
              <a:t> month</a:t>
            </a:r>
          </a:p>
          <a:p>
            <a:r>
              <a:rPr lang="en-US" sz="1200" baseline="0">
                <a:latin typeface="Times New Roman"/>
                <a:cs typeface="Times New Roman"/>
              </a:rPr>
              <a:t>delay</a:t>
            </a:r>
            <a:endParaRPr lang="en-US" sz="1200">
              <a:latin typeface="Times New Roman"/>
              <a:cs typeface="Times New Roman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5C5ACB4-9636-C15B-D189-C99E066665D5}"/>
              </a:ext>
            </a:extLst>
          </xdr:cNvPr>
          <xdr:cNvSpPr txBox="1"/>
        </xdr:nvSpPr>
        <xdr:spPr>
          <a:xfrm>
            <a:off x="4991663" y="3357014"/>
            <a:ext cx="902248" cy="451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Two month</a:t>
            </a:r>
          </a:p>
          <a:p>
            <a:r>
              <a:rPr lang="en-US" sz="1200">
                <a:latin typeface="Times New Roman"/>
                <a:cs typeface="Times New Roman"/>
              </a:rPr>
              <a:t>delay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292A164-8EB4-F56A-06B2-1B8E11E23833}"/>
              </a:ext>
            </a:extLst>
          </xdr:cNvPr>
          <xdr:cNvSpPr txBox="1"/>
        </xdr:nvSpPr>
        <xdr:spPr>
          <a:xfrm>
            <a:off x="5004371" y="4022885"/>
            <a:ext cx="635386" cy="2853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Buy up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9C108DA-4A5A-3268-B56E-9AF9F558D729}"/>
              </a:ext>
            </a:extLst>
          </xdr:cNvPr>
          <xdr:cNvSpPr txBox="1"/>
        </xdr:nvSpPr>
        <xdr:spPr>
          <a:xfrm>
            <a:off x="4991663" y="4486616"/>
            <a:ext cx="826001" cy="27348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>
                <a:latin typeface="Times New Roman"/>
                <a:cs typeface="Times New Roman"/>
              </a:rPr>
              <a:t>Buy down</a:t>
            </a: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AC10ED6F-07D6-7A6D-6FC7-384B094BC73E}"/>
              </a:ext>
            </a:extLst>
          </xdr:cNvPr>
          <xdr:cNvCxnSpPr>
            <a:stCxn id="4" idx="3"/>
            <a:endCxn id="7" idx="1"/>
          </xdr:cNvCxnSpPr>
        </xdr:nvCxnSpPr>
        <xdr:spPr>
          <a:xfrm>
            <a:off x="4216493" y="2203631"/>
            <a:ext cx="775170" cy="237811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A806FD8-AA2F-D513-9F31-E8DB0A0ED904}"/>
              </a:ext>
            </a:extLst>
          </xdr:cNvPr>
          <xdr:cNvCxnSpPr>
            <a:stCxn id="4" idx="3"/>
            <a:endCxn id="6" idx="1"/>
          </xdr:cNvCxnSpPr>
        </xdr:nvCxnSpPr>
        <xdr:spPr>
          <a:xfrm flipV="1">
            <a:off x="4216493" y="1965820"/>
            <a:ext cx="775170" cy="237811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FC47069-BA16-3F7D-CFA2-AAEBE040D670}"/>
              </a:ext>
            </a:extLst>
          </xdr:cNvPr>
          <xdr:cNvCxnSpPr>
            <a:endCxn id="3" idx="1"/>
          </xdr:cNvCxnSpPr>
        </xdr:nvCxnSpPr>
        <xdr:spPr>
          <a:xfrm>
            <a:off x="3237999" y="3333233"/>
            <a:ext cx="508309" cy="1046368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91C2AC9A-B93D-5BD1-CABF-380E236F982E}"/>
              </a:ext>
            </a:extLst>
          </xdr:cNvPr>
          <xdr:cNvCxnSpPr>
            <a:endCxn id="4" idx="1"/>
          </xdr:cNvCxnSpPr>
        </xdr:nvCxnSpPr>
        <xdr:spPr>
          <a:xfrm flipV="1">
            <a:off x="3237999" y="2203631"/>
            <a:ext cx="508309" cy="1129602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4788331A-4647-D3AA-1EB6-1A27290AA715}"/>
              </a:ext>
            </a:extLst>
          </xdr:cNvPr>
          <xdr:cNvCxnSpPr>
            <a:stCxn id="5" idx="3"/>
            <a:endCxn id="9" idx="1"/>
          </xdr:cNvCxnSpPr>
        </xdr:nvCxnSpPr>
        <xdr:spPr>
          <a:xfrm>
            <a:off x="4483355" y="3333233"/>
            <a:ext cx="508309" cy="249701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F5620324-5F8D-DDD6-0854-45F25B9D3C65}"/>
              </a:ext>
            </a:extLst>
          </xdr:cNvPr>
          <xdr:cNvCxnSpPr>
            <a:stCxn id="5" idx="3"/>
            <a:endCxn id="8" idx="1"/>
          </xdr:cNvCxnSpPr>
        </xdr:nvCxnSpPr>
        <xdr:spPr>
          <a:xfrm flipV="1">
            <a:off x="4483355" y="3095422"/>
            <a:ext cx="521016" cy="237811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98F8B350-3C96-1FA0-7212-FACFD2C8BA89}"/>
              </a:ext>
            </a:extLst>
          </xdr:cNvPr>
          <xdr:cNvCxnSpPr>
            <a:stCxn id="3" idx="3"/>
            <a:endCxn id="10" idx="1"/>
          </xdr:cNvCxnSpPr>
        </xdr:nvCxnSpPr>
        <xdr:spPr>
          <a:xfrm flipV="1">
            <a:off x="4648555" y="4165572"/>
            <a:ext cx="355816" cy="214030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2A5A2AB3-5168-FD2E-AB19-02693110B508}"/>
              </a:ext>
            </a:extLst>
          </xdr:cNvPr>
          <xdr:cNvCxnSpPr>
            <a:endCxn id="5" idx="1"/>
          </xdr:cNvCxnSpPr>
        </xdr:nvCxnSpPr>
        <xdr:spPr>
          <a:xfrm>
            <a:off x="3237999" y="3333233"/>
            <a:ext cx="508309" cy="0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68DA75AF-E5D9-639A-544D-A92A2A063FC1}"/>
              </a:ext>
            </a:extLst>
          </xdr:cNvPr>
          <xdr:cNvCxnSpPr>
            <a:stCxn id="3" idx="3"/>
            <a:endCxn id="11" idx="1"/>
          </xdr:cNvCxnSpPr>
        </xdr:nvCxnSpPr>
        <xdr:spPr>
          <a:xfrm>
            <a:off x="4648555" y="4379601"/>
            <a:ext cx="343108" cy="237811"/>
          </a:xfrm>
          <a:prstGeom prst="line">
            <a:avLst/>
          </a:prstGeom>
          <a:ln>
            <a:solidFill>
              <a:schemeClr val="tx1"/>
            </a:solidFill>
            <a:tailEnd type="triangle" w="lg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DD5B-5275-5547-A714-4F755F29663E}">
  <dimension ref="A1:F30"/>
  <sheetViews>
    <sheetView showGridLines="0" tabSelected="1" zoomScale="170" zoomScaleNormal="170" workbookViewId="0">
      <selection activeCell="G21" sqref="G21"/>
    </sheetView>
  </sheetViews>
  <sheetFormatPr baseColWidth="10" defaultRowHeight="16" x14ac:dyDescent="0.2"/>
  <cols>
    <col min="1" max="1" width="10.83203125" customWidth="1"/>
    <col min="3" max="3" width="19.1640625" style="1" customWidth="1"/>
  </cols>
  <sheetData>
    <row r="1" spans="1:6" x14ac:dyDescent="0.2">
      <c r="A1" t="s">
        <v>0</v>
      </c>
    </row>
    <row r="2" spans="1:6" x14ac:dyDescent="0.2">
      <c r="D2" t="s">
        <v>1</v>
      </c>
      <c r="E2" t="s">
        <v>2</v>
      </c>
      <c r="F2" t="s">
        <v>3</v>
      </c>
    </row>
    <row r="3" spans="1:6" x14ac:dyDescent="0.2">
      <c r="C3" s="1" t="s">
        <v>7</v>
      </c>
      <c r="D3" s="2">
        <v>400</v>
      </c>
      <c r="E3" s="2">
        <v>500</v>
      </c>
      <c r="F3" s="2">
        <v>10</v>
      </c>
    </row>
    <row r="4" spans="1:6" x14ac:dyDescent="0.2">
      <c r="C4" s="1" t="s">
        <v>8</v>
      </c>
      <c r="D4" s="2">
        <v>1200</v>
      </c>
      <c r="E4" s="2">
        <v>2400</v>
      </c>
      <c r="F4" s="2">
        <v>20</v>
      </c>
    </row>
    <row r="5" spans="1:6" x14ac:dyDescent="0.2">
      <c r="C5" s="1" t="s">
        <v>9</v>
      </c>
      <c r="D5" s="3">
        <v>0.12</v>
      </c>
      <c r="E5" s="3">
        <v>0.12</v>
      </c>
      <c r="F5" s="3">
        <v>0.12</v>
      </c>
    </row>
    <row r="6" spans="1:6" x14ac:dyDescent="0.2">
      <c r="C6" s="1" t="s">
        <v>18</v>
      </c>
      <c r="D6" s="3">
        <v>0.1</v>
      </c>
      <c r="E6" s="3">
        <v>0.1</v>
      </c>
      <c r="F6" s="3">
        <v>0.1</v>
      </c>
    </row>
    <row r="7" spans="1:6" x14ac:dyDescent="0.2">
      <c r="C7" s="1" t="s">
        <v>23</v>
      </c>
      <c r="D7" s="3">
        <v>0.25</v>
      </c>
      <c r="E7" s="3">
        <v>0.25</v>
      </c>
      <c r="F7" s="3">
        <v>0.25</v>
      </c>
    </row>
    <row r="8" spans="1:6" x14ac:dyDescent="0.2">
      <c r="C8" s="1" t="s">
        <v>24</v>
      </c>
      <c r="D8" s="3">
        <v>0.2</v>
      </c>
      <c r="E8" s="3">
        <v>0.2</v>
      </c>
      <c r="F8" s="3">
        <v>0.2</v>
      </c>
    </row>
    <row r="10" spans="1:6" x14ac:dyDescent="0.2">
      <c r="C10" s="1" t="s">
        <v>4</v>
      </c>
      <c r="D10" s="3">
        <f>1/3</f>
        <v>0.33333333333333331</v>
      </c>
      <c r="E10" s="3">
        <v>0.5</v>
      </c>
      <c r="F10" s="3">
        <f>1/3</f>
        <v>0.33333333333333331</v>
      </c>
    </row>
    <row r="11" spans="1:6" x14ac:dyDescent="0.2">
      <c r="C11" s="1" t="s">
        <v>11</v>
      </c>
      <c r="D11" s="3">
        <v>0.5</v>
      </c>
      <c r="E11" s="3">
        <v>1</v>
      </c>
      <c r="F11" s="3">
        <v>0.5</v>
      </c>
    </row>
    <row r="12" spans="1:6" x14ac:dyDescent="0.2">
      <c r="C12" s="1" t="s">
        <v>10</v>
      </c>
      <c r="D12" s="2">
        <f>(D4-D3)*D6</f>
        <v>80</v>
      </c>
      <c r="E12" s="2">
        <f>(E4-E3)*E6</f>
        <v>190</v>
      </c>
      <c r="F12" s="2">
        <f>(F4-F3)*F6</f>
        <v>1</v>
      </c>
    </row>
    <row r="13" spans="1:6" x14ac:dyDescent="0.2">
      <c r="C13" s="1" t="s">
        <v>12</v>
      </c>
      <c r="D13" s="3">
        <v>0.5</v>
      </c>
      <c r="E13" s="3">
        <v>0</v>
      </c>
      <c r="F13" s="3">
        <v>0.5</v>
      </c>
    </row>
    <row r="14" spans="1:6" x14ac:dyDescent="0.2">
      <c r="C14" s="1" t="s">
        <v>13</v>
      </c>
      <c r="D14" s="2">
        <f>D4-D3</f>
        <v>800</v>
      </c>
      <c r="E14" s="2">
        <f>E4-E3</f>
        <v>1900</v>
      </c>
      <c r="F14" s="2">
        <f>F4-F3</f>
        <v>10</v>
      </c>
    </row>
    <row r="16" spans="1:6" x14ac:dyDescent="0.2">
      <c r="C16" s="1" t="s">
        <v>5</v>
      </c>
      <c r="D16" s="3">
        <f>1/3</f>
        <v>0.33333333333333331</v>
      </c>
      <c r="E16" s="3">
        <v>0.5</v>
      </c>
      <c r="F16" s="3">
        <f>1/3</f>
        <v>0.33333333333333331</v>
      </c>
    </row>
    <row r="17" spans="3:6" x14ac:dyDescent="0.2">
      <c r="C17" s="1" t="s">
        <v>14</v>
      </c>
      <c r="D17" s="3">
        <v>0.5</v>
      </c>
      <c r="E17" s="3">
        <v>0.5</v>
      </c>
      <c r="F17" s="3">
        <v>0.5</v>
      </c>
    </row>
    <row r="18" spans="3:6" x14ac:dyDescent="0.2">
      <c r="C18" s="1" t="s">
        <v>16</v>
      </c>
      <c r="D18" s="2">
        <f>(D4-D3)*D5/12</f>
        <v>8</v>
      </c>
      <c r="E18" s="2">
        <f>(E4-E3)*E5/12</f>
        <v>19</v>
      </c>
      <c r="F18" s="2">
        <f>(F4-F3)*F5/12</f>
        <v>9.9999999999999992E-2</v>
      </c>
    </row>
    <row r="19" spans="3:6" x14ac:dyDescent="0.2">
      <c r="C19" s="1" t="s">
        <v>15</v>
      </c>
      <c r="D19" s="3">
        <v>0.5</v>
      </c>
      <c r="E19" s="3">
        <v>0.5</v>
      </c>
      <c r="F19" s="3">
        <v>0.5</v>
      </c>
    </row>
    <row r="20" spans="3:6" x14ac:dyDescent="0.2">
      <c r="C20" s="1" t="s">
        <v>17</v>
      </c>
      <c r="D20" s="2">
        <f>(D4-D3)*D5/12*2</f>
        <v>16</v>
      </c>
      <c r="E20" s="2">
        <f>(E4-E3)*E5/12*2</f>
        <v>38</v>
      </c>
      <c r="F20" s="2">
        <f>(F4-F3)*F5/12*2</f>
        <v>0.19999999999999998</v>
      </c>
    </row>
    <row r="22" spans="3:6" x14ac:dyDescent="0.2">
      <c r="C22" s="1" t="s">
        <v>6</v>
      </c>
      <c r="D22" s="3">
        <f>1/3</f>
        <v>0.33333333333333331</v>
      </c>
      <c r="E22" s="3">
        <v>0</v>
      </c>
      <c r="F22" s="3">
        <f>1/3</f>
        <v>0.33333333333333331</v>
      </c>
    </row>
    <row r="23" spans="3:6" x14ac:dyDescent="0.2">
      <c r="C23" s="1" t="s">
        <v>19</v>
      </c>
      <c r="D23" s="3">
        <v>0.5</v>
      </c>
      <c r="E23" s="3">
        <v>0.5</v>
      </c>
      <c r="F23" s="3">
        <v>0.5</v>
      </c>
    </row>
    <row r="24" spans="3:6" x14ac:dyDescent="0.2">
      <c r="C24" s="1" t="s">
        <v>21</v>
      </c>
      <c r="D24" s="2">
        <f>-(D4-D3)*D7</f>
        <v>-200</v>
      </c>
      <c r="E24" s="2">
        <f>-(E4-E3)*E7</f>
        <v>-475</v>
      </c>
      <c r="F24" s="2">
        <f>-(F4-F3)*F7</f>
        <v>-2.5</v>
      </c>
    </row>
    <row r="25" spans="3:6" x14ac:dyDescent="0.2">
      <c r="C25" s="1" t="s">
        <v>20</v>
      </c>
      <c r="D25" s="3">
        <v>0.5</v>
      </c>
      <c r="E25" s="3">
        <v>0.5</v>
      </c>
      <c r="F25" s="3">
        <v>0.5</v>
      </c>
    </row>
    <row r="26" spans="3:6" x14ac:dyDescent="0.2">
      <c r="C26" s="1" t="s">
        <v>22</v>
      </c>
      <c r="D26" s="2">
        <f>(D4-D3)*D8</f>
        <v>160</v>
      </c>
      <c r="E26" s="2">
        <f>(E4-E3)*E8</f>
        <v>380</v>
      </c>
      <c r="F26" s="2">
        <f>(F4-F3)*F8</f>
        <v>2</v>
      </c>
    </row>
    <row r="28" spans="3:6" x14ac:dyDescent="0.2">
      <c r="C28" s="1" t="s">
        <v>25</v>
      </c>
      <c r="D28" s="2">
        <f>D10*(D11*D12+D13*D14)+D16*(D17*D18+D19*D20)+D22*(D23*D24+D25*D26)</f>
        <v>144</v>
      </c>
      <c r="E28" s="2">
        <f>E10*(E11*E12+E13*E14)+E16*(E17*E18+E19*E20)+E22*(E23*E24+E25*E26)</f>
        <v>109.25</v>
      </c>
      <c r="F28" s="2">
        <f>F10*(F11*F12+F13*F14)+F16*(F17*F18+F19*F20)+F22*(F23*F24+F25*F26)</f>
        <v>1.8</v>
      </c>
    </row>
    <row r="29" spans="3:6" x14ac:dyDescent="0.2">
      <c r="C29" s="1" t="s">
        <v>26</v>
      </c>
      <c r="D29" s="3">
        <f>D28/D3</f>
        <v>0.36</v>
      </c>
      <c r="E29" s="3">
        <f>E28/E3</f>
        <v>0.2185</v>
      </c>
      <c r="F29" s="3">
        <f>F28/F3</f>
        <v>0.18</v>
      </c>
    </row>
    <row r="30" spans="3:6" x14ac:dyDescent="0.2">
      <c r="C30" s="1" t="s">
        <v>27</v>
      </c>
      <c r="D30" s="3">
        <f>D28/D4</f>
        <v>0.12</v>
      </c>
      <c r="E30" s="3">
        <f>E28/E4</f>
        <v>4.5520833333333337E-2</v>
      </c>
      <c r="F30" s="3">
        <f>F28/F4</f>
        <v>0.09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 product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2021-02-24T12:01:00Z</dcterms:created>
  <dcterms:modified xsi:type="dcterms:W3CDTF">2023-02-21T05:50:49Z</dcterms:modified>
</cp:coreProperties>
</file>