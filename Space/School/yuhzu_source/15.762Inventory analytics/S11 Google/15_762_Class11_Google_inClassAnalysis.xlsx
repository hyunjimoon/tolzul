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11 - Google/____InClass/"/>
    </mc:Choice>
  </mc:AlternateContent>
  <xr:revisionPtr revIDLastSave="0" documentId="13_ncr:1_{E0ECCB8F-28A1-5D4F-A330-6F57B1CDD929}" xr6:coauthVersionLast="47" xr6:coauthVersionMax="47" xr10:uidLastSave="{00000000-0000-0000-0000-000000000000}"/>
  <bookViews>
    <workbookView xWindow="13720" yWindow="-30080" windowWidth="34560" windowHeight="20200" tabRatio="500" activeTab="1" xr2:uid="{00000000-000D-0000-FFFF-FFFF00000000}"/>
  </bookViews>
  <sheets>
    <sheet name="Stage and Demand Data" sheetId="1" r:id="rId1"/>
    <sheet name="SLO_Analysis" sheetId="10" r:id="rId2"/>
    <sheet name="AnalystUpsideAnalysis" sheetId="11" r:id="rId3"/>
    <sheet name="Upside calculation" sheetId="14" r:id="rId4"/>
    <sheet name="Inventory cost calculation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" i="14" l="1"/>
  <c r="K4" i="10"/>
  <c r="P7" i="10"/>
  <c r="C6" i="14" l="1"/>
  <c r="F7" i="14" s="1"/>
  <c r="H7" i="14" s="1"/>
  <c r="I7" i="14" s="1"/>
  <c r="G7" i="14"/>
  <c r="C8" i="14"/>
  <c r="F8" i="14"/>
  <c r="G8" i="14"/>
  <c r="H8" i="14"/>
  <c r="I8" i="14"/>
  <c r="F9" i="14"/>
  <c r="G9" i="14"/>
  <c r="H9" i="14" s="1"/>
  <c r="I9" i="14" s="1"/>
  <c r="F10" i="14"/>
  <c r="G10" i="14"/>
  <c r="H10" i="14"/>
  <c r="I10" i="14"/>
  <c r="F11" i="14"/>
  <c r="G11" i="14"/>
  <c r="H11" i="14"/>
  <c r="I11" i="14" s="1"/>
  <c r="C12" i="14"/>
  <c r="C18" i="14" s="1"/>
  <c r="C20" i="14" s="1"/>
  <c r="C22" i="14" s="1"/>
  <c r="F12" i="14"/>
  <c r="G12" i="14"/>
  <c r="H12" i="14"/>
  <c r="I12" i="14" s="1"/>
  <c r="C13" i="14"/>
  <c r="C15" i="14" s="1"/>
  <c r="F13" i="14"/>
  <c r="G13" i="14"/>
  <c r="H13" i="14"/>
  <c r="I13" i="14" s="1"/>
  <c r="C14" i="14"/>
  <c r="F14" i="14"/>
  <c r="G14" i="14"/>
  <c r="H14" i="14"/>
  <c r="I14" i="14"/>
  <c r="F15" i="14"/>
  <c r="G15" i="14"/>
  <c r="H15" i="14"/>
  <c r="I15" i="14"/>
  <c r="F16" i="14"/>
  <c r="G16" i="14"/>
  <c r="H16" i="14"/>
  <c r="I16" i="14"/>
  <c r="C17" i="14"/>
  <c r="C19" i="14"/>
  <c r="C21" i="14"/>
  <c r="C3" i="12"/>
  <c r="C7" i="12"/>
  <c r="D7" i="12"/>
  <c r="E7" i="12"/>
  <c r="C10" i="12"/>
  <c r="D10" i="12"/>
  <c r="E10" i="12"/>
  <c r="F10" i="12"/>
  <c r="C12" i="12"/>
  <c r="D12" i="12"/>
  <c r="E12" i="12"/>
  <c r="F12" i="12"/>
  <c r="C16" i="12"/>
  <c r="D16" i="12"/>
  <c r="E16" i="12"/>
  <c r="C17" i="12"/>
  <c r="D17" i="12"/>
  <c r="E17" i="12"/>
  <c r="D19" i="12"/>
  <c r="E19" i="12"/>
  <c r="D20" i="12"/>
  <c r="E20" i="12"/>
  <c r="E21" i="12" s="1"/>
  <c r="D21" i="12"/>
  <c r="D23" i="12"/>
  <c r="E23" i="12"/>
  <c r="D24" i="12"/>
  <c r="E24" i="12"/>
  <c r="C29" i="12"/>
  <c r="D29" i="12"/>
  <c r="D31" i="12" s="1"/>
  <c r="E29" i="12"/>
  <c r="E31" i="12" s="1"/>
  <c r="C31" i="12"/>
  <c r="K36" i="10"/>
  <c r="K27" i="10"/>
  <c r="K18" i="10"/>
  <c r="K9" i="10"/>
  <c r="T9" i="10" l="1"/>
  <c r="T8" i="10"/>
  <c r="T7" i="10"/>
  <c r="T6" i="10"/>
  <c r="T5" i="10"/>
  <c r="T4" i="10"/>
  <c r="T18" i="10"/>
  <c r="T17" i="10"/>
  <c r="T16" i="10"/>
  <c r="T15" i="10"/>
  <c r="T14" i="10"/>
  <c r="T13" i="10"/>
  <c r="T27" i="10"/>
  <c r="T26" i="10"/>
  <c r="T25" i="10"/>
  <c r="T23" i="10"/>
  <c r="T31" i="10"/>
  <c r="T54" i="10"/>
  <c r="S54" i="10"/>
  <c r="U54" i="10" s="1"/>
  <c r="T53" i="10"/>
  <c r="S53" i="10"/>
  <c r="U53" i="10" s="1"/>
  <c r="T52" i="10"/>
  <c r="S52" i="10"/>
  <c r="U52" i="10" s="1"/>
  <c r="S51" i="10"/>
  <c r="S50" i="10"/>
  <c r="S49" i="10"/>
  <c r="T32" i="10"/>
  <c r="T36" i="10"/>
  <c r="T35" i="10"/>
  <c r="T34" i="10"/>
  <c r="T33" i="10"/>
  <c r="U33" i="10" s="1"/>
  <c r="S36" i="10"/>
  <c r="S35" i="10"/>
  <c r="U35" i="10" s="1"/>
  <c r="S34" i="10"/>
  <c r="S33" i="10"/>
  <c r="S32" i="10"/>
  <c r="S31" i="10"/>
  <c r="S27" i="10"/>
  <c r="U27" i="10" s="1"/>
  <c r="S26" i="10"/>
  <c r="U26" i="10" s="1"/>
  <c r="S25" i="10"/>
  <c r="S24" i="10"/>
  <c r="S23" i="10"/>
  <c r="S22" i="10"/>
  <c r="S18" i="10"/>
  <c r="S17" i="10"/>
  <c r="S16" i="10"/>
  <c r="S15" i="10"/>
  <c r="S14" i="10"/>
  <c r="S13" i="10"/>
  <c r="S6" i="10"/>
  <c r="S5" i="10"/>
  <c r="S4" i="10"/>
  <c r="U14" i="10" l="1"/>
  <c r="U15" i="10"/>
  <c r="U16" i="10"/>
  <c r="U17" i="10"/>
  <c r="U18" i="10"/>
  <c r="U13" i="10"/>
  <c r="U25" i="10"/>
  <c r="U23" i="10"/>
  <c r="U31" i="10"/>
  <c r="U36" i="10"/>
  <c r="U34" i="10"/>
  <c r="U32" i="10"/>
  <c r="W35" i="10"/>
  <c r="X35" i="10" s="1"/>
  <c r="W34" i="10"/>
  <c r="X34" i="10" s="1"/>
  <c r="W36" i="10"/>
  <c r="X36" i="10" s="1"/>
  <c r="W16" i="10"/>
  <c r="X16" i="10" s="1"/>
  <c r="W17" i="10"/>
  <c r="X17" i="10" s="1"/>
  <c r="W18" i="10"/>
  <c r="X18" i="10" s="1"/>
  <c r="S9" i="10"/>
  <c r="S8" i="10"/>
  <c r="S7" i="10"/>
  <c r="E58" i="10" l="1"/>
  <c r="O54" i="11"/>
  <c r="R54" i="11"/>
  <c r="AA54" i="11" s="1"/>
  <c r="U54" i="11"/>
  <c r="O55" i="11"/>
  <c r="R55" i="11"/>
  <c r="AG55" i="11" s="1"/>
  <c r="U55" i="11"/>
  <c r="O56" i="11"/>
  <c r="R56" i="11"/>
  <c r="U56" i="11"/>
  <c r="O57" i="11"/>
  <c r="R57" i="11"/>
  <c r="U57" i="11"/>
  <c r="O58" i="11"/>
  <c r="R58" i="11"/>
  <c r="AA58" i="11"/>
  <c r="U58" i="11"/>
  <c r="O59" i="11"/>
  <c r="R59" i="11"/>
  <c r="AA59" i="11"/>
  <c r="U59" i="11"/>
  <c r="AG59" i="11"/>
  <c r="O60" i="11"/>
  <c r="R60" i="11"/>
  <c r="AA60" i="11"/>
  <c r="U60" i="11"/>
  <c r="AD60" i="11" s="1"/>
  <c r="O61" i="11"/>
  <c r="R61" i="11"/>
  <c r="U61" i="11"/>
  <c r="AD61" i="11" s="1"/>
  <c r="O62" i="11"/>
  <c r="X62" i="11"/>
  <c r="R62" i="11"/>
  <c r="AA62" i="11"/>
  <c r="U62" i="11"/>
  <c r="O63" i="11"/>
  <c r="R63" i="11"/>
  <c r="U63" i="11"/>
  <c r="AD63" i="11" s="1"/>
  <c r="O64" i="11"/>
  <c r="R64" i="11"/>
  <c r="AA64" i="11"/>
  <c r="U64" i="11"/>
  <c r="O65" i="11"/>
  <c r="R65" i="11"/>
  <c r="U65" i="11"/>
  <c r="AD65" i="11"/>
  <c r="O66" i="11"/>
  <c r="R66" i="11"/>
  <c r="U66" i="11"/>
  <c r="O67" i="11"/>
  <c r="R67" i="11"/>
  <c r="U67" i="11"/>
  <c r="O68" i="11"/>
  <c r="R68" i="11"/>
  <c r="AA68" i="11"/>
  <c r="U68" i="11"/>
  <c r="AD68" i="11" s="1"/>
  <c r="O69" i="11"/>
  <c r="R69" i="11"/>
  <c r="U69" i="11"/>
  <c r="AD69" i="11"/>
  <c r="O70" i="11"/>
  <c r="R70" i="11"/>
  <c r="AA70" i="11" s="1"/>
  <c r="U70" i="11"/>
  <c r="O71" i="11"/>
  <c r="R71" i="11"/>
  <c r="U71" i="11"/>
  <c r="AD71" i="11" s="1"/>
  <c r="O72" i="11"/>
  <c r="R72" i="11"/>
  <c r="U72" i="11"/>
  <c r="O73" i="11"/>
  <c r="R73" i="11"/>
  <c r="U73" i="11"/>
  <c r="AD73" i="11" s="1"/>
  <c r="O74" i="11"/>
  <c r="R74" i="11"/>
  <c r="U74" i="11"/>
  <c r="O75" i="11"/>
  <c r="R75" i="11"/>
  <c r="U75" i="11"/>
  <c r="O76" i="11"/>
  <c r="R76" i="11"/>
  <c r="AA76" i="11" s="1"/>
  <c r="U76" i="11"/>
  <c r="O77" i="11"/>
  <c r="R77" i="11"/>
  <c r="U77" i="11"/>
  <c r="AD77" i="11" s="1"/>
  <c r="O78" i="11"/>
  <c r="X78" i="11" s="1"/>
  <c r="R78" i="11"/>
  <c r="AA78" i="11"/>
  <c r="U78" i="11"/>
  <c r="O79" i="11"/>
  <c r="R79" i="11"/>
  <c r="U79" i="11"/>
  <c r="N41" i="11"/>
  <c r="W41" i="11" s="1"/>
  <c r="Q41" i="11"/>
  <c r="Z41" i="11"/>
  <c r="T41" i="11"/>
  <c r="N42" i="11"/>
  <c r="Q42" i="11"/>
  <c r="T42" i="11"/>
  <c r="AC42" i="11" s="1"/>
  <c r="N43" i="11"/>
  <c r="Q43" i="11"/>
  <c r="T43" i="11"/>
  <c r="AF43" i="11" s="1"/>
  <c r="N44" i="11"/>
  <c r="W44" i="11" s="1"/>
  <c r="Q44" i="11"/>
  <c r="T44" i="11"/>
  <c r="N45" i="11"/>
  <c r="Q45" i="11"/>
  <c r="Z45" i="11"/>
  <c r="T45" i="11"/>
  <c r="AC45" i="11" s="1"/>
  <c r="N46" i="11"/>
  <c r="Q46" i="11"/>
  <c r="T46" i="11"/>
  <c r="AC46" i="11" s="1"/>
  <c r="N47" i="11"/>
  <c r="Q47" i="11"/>
  <c r="T47" i="11"/>
  <c r="N48" i="11"/>
  <c r="Q48" i="11"/>
  <c r="Z48" i="11" s="1"/>
  <c r="T48" i="11"/>
  <c r="AC48" i="11" s="1"/>
  <c r="N49" i="11"/>
  <c r="Q49" i="11"/>
  <c r="T49" i="11"/>
  <c r="AC49" i="11" s="1"/>
  <c r="N50" i="11"/>
  <c r="Q50" i="11"/>
  <c r="T50" i="11"/>
  <c r="AC50" i="11" s="1"/>
  <c r="N51" i="11"/>
  <c r="Q51" i="11"/>
  <c r="T51" i="11"/>
  <c r="N52" i="11"/>
  <c r="Q52" i="11"/>
  <c r="Z52" i="11"/>
  <c r="T52" i="11"/>
  <c r="AF52" i="11" s="1"/>
  <c r="N53" i="11"/>
  <c r="AF53" i="11" s="1"/>
  <c r="Q53" i="11"/>
  <c r="Z53" i="11"/>
  <c r="T53" i="11"/>
  <c r="N54" i="11"/>
  <c r="Q54" i="11"/>
  <c r="T54" i="11"/>
  <c r="AC54" i="11" s="1"/>
  <c r="N55" i="11"/>
  <c r="Q55" i="11"/>
  <c r="Z55" i="11"/>
  <c r="T55" i="11"/>
  <c r="N56" i="11"/>
  <c r="Q56" i="11"/>
  <c r="T56" i="11"/>
  <c r="N57" i="11"/>
  <c r="Q57" i="11"/>
  <c r="Z57" i="11" s="1"/>
  <c r="T57" i="11"/>
  <c r="AF57" i="11" s="1"/>
  <c r="N58" i="11"/>
  <c r="Q58" i="11"/>
  <c r="T58" i="11"/>
  <c r="N59" i="11"/>
  <c r="Q59" i="11"/>
  <c r="T59" i="11"/>
  <c r="N60" i="11"/>
  <c r="W60" i="11" s="1"/>
  <c r="Q60" i="11"/>
  <c r="T60" i="11"/>
  <c r="AC60" i="11" s="1"/>
  <c r="N61" i="11"/>
  <c r="Q61" i="11"/>
  <c r="Z61" i="11" s="1"/>
  <c r="T61" i="11"/>
  <c r="N62" i="11"/>
  <c r="Q62" i="11"/>
  <c r="Z62" i="11" s="1"/>
  <c r="T62" i="11"/>
  <c r="AC62" i="11"/>
  <c r="N63" i="11"/>
  <c r="Q63" i="11"/>
  <c r="T63" i="11"/>
  <c r="N64" i="11"/>
  <c r="Q64" i="11"/>
  <c r="Z64" i="11" s="1"/>
  <c r="T64" i="11"/>
  <c r="AC64" i="11" s="1"/>
  <c r="N65" i="11"/>
  <c r="AF65" i="11" s="1"/>
  <c r="Q65" i="11"/>
  <c r="Z65" i="11" s="1"/>
  <c r="T65" i="11"/>
  <c r="N66" i="11"/>
  <c r="Q66" i="11"/>
  <c r="Z66" i="11" s="1"/>
  <c r="T66" i="11"/>
  <c r="AC66" i="11"/>
  <c r="N67" i="11"/>
  <c r="Q67" i="11"/>
  <c r="AF67" i="11" s="1"/>
  <c r="T67" i="11"/>
  <c r="N68" i="11"/>
  <c r="AF68" i="11" s="1"/>
  <c r="Q68" i="11"/>
  <c r="T68" i="11"/>
  <c r="AC68" i="11" s="1"/>
  <c r="N69" i="11"/>
  <c r="Q69" i="11"/>
  <c r="Z69" i="11"/>
  <c r="T69" i="11"/>
  <c r="AC69" i="11" s="1"/>
  <c r="N70" i="11"/>
  <c r="Q70" i="11"/>
  <c r="T70" i="11"/>
  <c r="AC70" i="11" s="1"/>
  <c r="N71" i="11"/>
  <c r="Q71" i="11"/>
  <c r="Z71" i="11" s="1"/>
  <c r="T71" i="11"/>
  <c r="N72" i="11"/>
  <c r="AF72" i="11" s="1"/>
  <c r="Q72" i="11"/>
  <c r="T72" i="11"/>
  <c r="AC72" i="11" s="1"/>
  <c r="N73" i="11"/>
  <c r="Q73" i="11"/>
  <c r="Z73" i="11" s="1"/>
  <c r="T73" i="11"/>
  <c r="AC73" i="11" s="1"/>
  <c r="N74" i="11"/>
  <c r="Q74" i="11"/>
  <c r="T74" i="11"/>
  <c r="AC74" i="11" s="1"/>
  <c r="N75" i="11"/>
  <c r="AF75" i="11" s="1"/>
  <c r="Q75" i="11"/>
  <c r="T75" i="11"/>
  <c r="N76" i="11"/>
  <c r="Q76" i="11"/>
  <c r="Z76" i="11" s="1"/>
  <c r="T76" i="11"/>
  <c r="AC76" i="11" s="1"/>
  <c r="AF76" i="11"/>
  <c r="N77" i="11"/>
  <c r="W77" i="11" s="1"/>
  <c r="Q77" i="11"/>
  <c r="Z77" i="11"/>
  <c r="T77" i="11"/>
  <c r="N78" i="11"/>
  <c r="Q78" i="11"/>
  <c r="Z78" i="11"/>
  <c r="T78" i="11"/>
  <c r="AC78" i="11" s="1"/>
  <c r="N79" i="11"/>
  <c r="Q79" i="11"/>
  <c r="AF79" i="11" s="1"/>
  <c r="T79" i="11"/>
  <c r="M32" i="11"/>
  <c r="P32" i="11"/>
  <c r="Y32" i="11" s="1"/>
  <c r="S32" i="11"/>
  <c r="AB32" i="11" s="1"/>
  <c r="AE32" i="11"/>
  <c r="M33" i="11"/>
  <c r="P33" i="11"/>
  <c r="Y33" i="11" s="1"/>
  <c r="S33" i="11"/>
  <c r="M34" i="11"/>
  <c r="V34" i="11" s="1"/>
  <c r="P34" i="11"/>
  <c r="S34" i="11"/>
  <c r="M35" i="11"/>
  <c r="P35" i="11"/>
  <c r="Y35" i="11" s="1"/>
  <c r="S35" i="11"/>
  <c r="M36" i="11"/>
  <c r="AE36" i="11" s="1"/>
  <c r="P36" i="11"/>
  <c r="Y36" i="11"/>
  <c r="S36" i="11"/>
  <c r="M37" i="11"/>
  <c r="P37" i="11"/>
  <c r="Y37" i="11"/>
  <c r="S37" i="11"/>
  <c r="AE37" i="11" s="1"/>
  <c r="M38" i="11"/>
  <c r="P38" i="11"/>
  <c r="Y38" i="11" s="1"/>
  <c r="S38" i="11"/>
  <c r="AB38" i="11"/>
  <c r="M39" i="11"/>
  <c r="P39" i="11"/>
  <c r="S39" i="11"/>
  <c r="AB39" i="11" s="1"/>
  <c r="M40" i="11"/>
  <c r="P40" i="11"/>
  <c r="S40" i="11"/>
  <c r="AB40" i="11"/>
  <c r="M41" i="11"/>
  <c r="P41" i="11"/>
  <c r="S41" i="11"/>
  <c r="AB41" i="11" s="1"/>
  <c r="M42" i="11"/>
  <c r="P42" i="11"/>
  <c r="Y42" i="11" s="1"/>
  <c r="S42" i="11"/>
  <c r="AB42" i="11" s="1"/>
  <c r="S31" i="11"/>
  <c r="AB31" i="11" s="1"/>
  <c r="AB33" i="11"/>
  <c r="AB34" i="11"/>
  <c r="AB35" i="11"/>
  <c r="AB36" i="11"/>
  <c r="S43" i="11"/>
  <c r="AB43" i="11"/>
  <c r="S44" i="11"/>
  <c r="AB44" i="11"/>
  <c r="S45" i="11"/>
  <c r="AB45" i="11" s="1"/>
  <c r="S46" i="11"/>
  <c r="AB46" i="11" s="1"/>
  <c r="S47" i="11"/>
  <c r="AB47" i="11"/>
  <c r="S48" i="11"/>
  <c r="AB48" i="11" s="1"/>
  <c r="S49" i="11"/>
  <c r="AB49" i="11" s="1"/>
  <c r="S50" i="11"/>
  <c r="AB50" i="11" s="1"/>
  <c r="S51" i="11"/>
  <c r="AB51" i="11"/>
  <c r="S52" i="11"/>
  <c r="AB52" i="11"/>
  <c r="S53" i="11"/>
  <c r="AB53" i="11"/>
  <c r="S54" i="11"/>
  <c r="AB54" i="11" s="1"/>
  <c r="S55" i="11"/>
  <c r="AB55" i="11" s="1"/>
  <c r="S56" i="11"/>
  <c r="AB56" i="11" s="1"/>
  <c r="S57" i="11"/>
  <c r="AB57" i="11" s="1"/>
  <c r="S58" i="11"/>
  <c r="AB58" i="11" s="1"/>
  <c r="S59" i="11"/>
  <c r="AB59" i="11"/>
  <c r="S60" i="11"/>
  <c r="AB60" i="11" s="1"/>
  <c r="S61" i="11"/>
  <c r="AB61" i="11" s="1"/>
  <c r="S62" i="11"/>
  <c r="AB62" i="11" s="1"/>
  <c r="S63" i="11"/>
  <c r="AB63" i="11" s="1"/>
  <c r="S64" i="11"/>
  <c r="AB64" i="11" s="1"/>
  <c r="S65" i="11"/>
  <c r="AB65" i="11" s="1"/>
  <c r="S66" i="11"/>
  <c r="AB66" i="11" s="1"/>
  <c r="S67" i="11"/>
  <c r="AB67" i="11"/>
  <c r="S68" i="11"/>
  <c r="AB68" i="11" s="1"/>
  <c r="S69" i="11"/>
  <c r="AB69" i="11" s="1"/>
  <c r="S70" i="11"/>
  <c r="AB70" i="11" s="1"/>
  <c r="S71" i="11"/>
  <c r="AB71" i="11" s="1"/>
  <c r="S72" i="11"/>
  <c r="AB72" i="11" s="1"/>
  <c r="S73" i="11"/>
  <c r="AB73" i="11" s="1"/>
  <c r="S74" i="11"/>
  <c r="AB74" i="11" s="1"/>
  <c r="S75" i="11"/>
  <c r="AB75" i="11" s="1"/>
  <c r="S76" i="11"/>
  <c r="AB76" i="11" s="1"/>
  <c r="S77" i="11"/>
  <c r="AB77" i="11"/>
  <c r="S78" i="11"/>
  <c r="AB78" i="11" s="1"/>
  <c r="S79" i="11"/>
  <c r="AB79" i="11" s="1"/>
  <c r="M43" i="11"/>
  <c r="P43" i="11"/>
  <c r="M44" i="11"/>
  <c r="P44" i="11"/>
  <c r="Y44" i="11" s="1"/>
  <c r="M45" i="11"/>
  <c r="P45" i="11"/>
  <c r="Y45" i="11" s="1"/>
  <c r="M46" i="11"/>
  <c r="P46" i="11"/>
  <c r="Y46" i="11" s="1"/>
  <c r="M47" i="11"/>
  <c r="P47" i="11"/>
  <c r="Y47" i="11" s="1"/>
  <c r="M48" i="11"/>
  <c r="P48" i="11"/>
  <c r="M49" i="11"/>
  <c r="P49" i="11"/>
  <c r="Y49" i="11"/>
  <c r="M50" i="11"/>
  <c r="P50" i="11"/>
  <c r="AE50" i="11" s="1"/>
  <c r="M51" i="11"/>
  <c r="P51" i="11"/>
  <c r="Y51" i="11" s="1"/>
  <c r="M52" i="11"/>
  <c r="AE52" i="11" s="1"/>
  <c r="P52" i="11"/>
  <c r="M53" i="11"/>
  <c r="P53" i="11"/>
  <c r="Y53" i="11"/>
  <c r="M54" i="11"/>
  <c r="P54" i="11"/>
  <c r="M55" i="11"/>
  <c r="P55" i="11"/>
  <c r="Y55" i="11"/>
  <c r="M56" i="11"/>
  <c r="V56" i="11"/>
  <c r="P56" i="11"/>
  <c r="Y56" i="11"/>
  <c r="M57" i="11"/>
  <c r="V57" i="11" s="1"/>
  <c r="P57" i="11"/>
  <c r="Y57" i="11" s="1"/>
  <c r="M58" i="11"/>
  <c r="V58" i="11" s="1"/>
  <c r="P58" i="11"/>
  <c r="Y58" i="11" s="1"/>
  <c r="M59" i="11"/>
  <c r="P59" i="11"/>
  <c r="Y59" i="11" s="1"/>
  <c r="M60" i="11"/>
  <c r="P60" i="11"/>
  <c r="M61" i="11"/>
  <c r="P61" i="11"/>
  <c r="Y61" i="11" s="1"/>
  <c r="M62" i="11"/>
  <c r="V62" i="11" s="1"/>
  <c r="P62" i="11"/>
  <c r="Y62" i="11" s="1"/>
  <c r="M63" i="11"/>
  <c r="V63" i="11" s="1"/>
  <c r="P63" i="11"/>
  <c r="Y63" i="11" s="1"/>
  <c r="M64" i="11"/>
  <c r="V64" i="11" s="1"/>
  <c r="P64" i="11"/>
  <c r="Y64" i="11" s="1"/>
  <c r="M65" i="11"/>
  <c r="P65" i="11"/>
  <c r="Y65" i="11" s="1"/>
  <c r="M66" i="11"/>
  <c r="AE66" i="11" s="1"/>
  <c r="P66" i="11"/>
  <c r="M67" i="11"/>
  <c r="P67" i="11"/>
  <c r="M68" i="11"/>
  <c r="V68" i="11" s="1"/>
  <c r="P68" i="11"/>
  <c r="Y68" i="11" s="1"/>
  <c r="M69" i="11"/>
  <c r="V69" i="11" s="1"/>
  <c r="P69" i="11"/>
  <c r="M70" i="11"/>
  <c r="P70" i="11"/>
  <c r="Y70" i="11" s="1"/>
  <c r="M71" i="11"/>
  <c r="P71" i="11"/>
  <c r="Y71" i="11" s="1"/>
  <c r="M72" i="11"/>
  <c r="V72" i="11" s="1"/>
  <c r="P72" i="11"/>
  <c r="Y72" i="11" s="1"/>
  <c r="AE72" i="11"/>
  <c r="M73" i="11"/>
  <c r="P73" i="11"/>
  <c r="Y73" i="11" s="1"/>
  <c r="M74" i="11"/>
  <c r="P74" i="11"/>
  <c r="Y74" i="11" s="1"/>
  <c r="M75" i="11"/>
  <c r="P75" i="11"/>
  <c r="M76" i="11"/>
  <c r="P76" i="11"/>
  <c r="Y76" i="11" s="1"/>
  <c r="M77" i="11"/>
  <c r="AE77" i="11" s="1"/>
  <c r="P77" i="11"/>
  <c r="Y77" i="11" s="1"/>
  <c r="M78" i="11"/>
  <c r="AE78" i="11" s="1"/>
  <c r="P78" i="11"/>
  <c r="M79" i="11"/>
  <c r="P79" i="11"/>
  <c r="Y79" i="11" s="1"/>
  <c r="AD54" i="11"/>
  <c r="AD55" i="11"/>
  <c r="AD56" i="11"/>
  <c r="AD58" i="11"/>
  <c r="AD59" i="11"/>
  <c r="AD62" i="11"/>
  <c r="AD64" i="11"/>
  <c r="AD66" i="11"/>
  <c r="AD67" i="11"/>
  <c r="AD70" i="11"/>
  <c r="AD72" i="11"/>
  <c r="AD74" i="11"/>
  <c r="AD75" i="11"/>
  <c r="AD76" i="11"/>
  <c r="AD78" i="11"/>
  <c r="AD79" i="11"/>
  <c r="AC41" i="11"/>
  <c r="AC44" i="11"/>
  <c r="AC47" i="11"/>
  <c r="T40" i="11"/>
  <c r="AC40" i="11" s="1"/>
  <c r="AC51" i="11"/>
  <c r="AC52" i="11"/>
  <c r="AC53" i="11"/>
  <c r="AC55" i="11"/>
  <c r="AC56" i="11"/>
  <c r="AC58" i="11"/>
  <c r="AC59" i="11"/>
  <c r="AC61" i="11"/>
  <c r="AC63" i="11"/>
  <c r="AC65" i="11"/>
  <c r="AC67" i="11"/>
  <c r="AC71" i="11"/>
  <c r="AC75" i="11"/>
  <c r="AC77" i="11"/>
  <c r="AC79" i="11"/>
  <c r="AA55" i="11"/>
  <c r="AA56" i="11"/>
  <c r="AA57" i="11"/>
  <c r="AA63" i="11"/>
  <c r="AA65" i="11"/>
  <c r="AA66" i="11"/>
  <c r="AA67" i="11"/>
  <c r="AA72" i="11"/>
  <c r="AA73" i="11"/>
  <c r="AA74" i="11"/>
  <c r="AA77" i="11"/>
  <c r="AA79" i="11"/>
  <c r="Z42" i="11"/>
  <c r="Z43" i="11"/>
  <c r="Z47" i="11"/>
  <c r="Z49" i="11"/>
  <c r="Z50" i="11"/>
  <c r="Z51" i="11"/>
  <c r="Z54" i="11"/>
  <c r="Z56" i="11"/>
  <c r="Z59" i="11"/>
  <c r="Z60" i="11"/>
  <c r="Z63" i="11"/>
  <c r="Z68" i="11"/>
  <c r="Z70" i="11"/>
  <c r="Z75" i="11"/>
  <c r="Y34" i="11"/>
  <c r="Y39" i="11"/>
  <c r="Y41" i="11"/>
  <c r="Y43" i="11"/>
  <c r="Y48" i="11"/>
  <c r="Y52" i="11"/>
  <c r="Y60" i="11"/>
  <c r="Y66" i="11"/>
  <c r="Y67" i="11"/>
  <c r="Y69" i="11"/>
  <c r="Y75" i="11"/>
  <c r="Y78" i="11"/>
  <c r="O53" i="11"/>
  <c r="R53" i="11"/>
  <c r="AA53" i="11" s="1"/>
  <c r="U53" i="11"/>
  <c r="AD53" i="11" s="1"/>
  <c r="N40" i="11"/>
  <c r="W40" i="11" s="1"/>
  <c r="Q40" i="11"/>
  <c r="Z40" i="11"/>
  <c r="M31" i="11"/>
  <c r="P31" i="11"/>
  <c r="Y31" i="11" s="1"/>
  <c r="X54" i="11"/>
  <c r="X55" i="11"/>
  <c r="X56" i="11"/>
  <c r="X57" i="11"/>
  <c r="X58" i="11"/>
  <c r="X59" i="11"/>
  <c r="X61" i="11"/>
  <c r="X63" i="11"/>
  <c r="X64" i="11"/>
  <c r="X65" i="11"/>
  <c r="X67" i="11"/>
  <c r="X69" i="11"/>
  <c r="X70" i="11"/>
  <c r="X71" i="11"/>
  <c r="X72" i="11"/>
  <c r="X73" i="11"/>
  <c r="X74" i="11"/>
  <c r="X75" i="11"/>
  <c r="X77" i="11"/>
  <c r="X79" i="11"/>
  <c r="W42" i="11"/>
  <c r="W45" i="11"/>
  <c r="W46" i="11"/>
  <c r="W47" i="11"/>
  <c r="W48" i="11"/>
  <c r="W49" i="11"/>
  <c r="W50" i="11"/>
  <c r="W52" i="11"/>
  <c r="W54" i="11"/>
  <c r="W55" i="11"/>
  <c r="W56" i="11"/>
  <c r="W57" i="11"/>
  <c r="W58" i="11"/>
  <c r="W61" i="11"/>
  <c r="W62" i="11"/>
  <c r="W63" i="11"/>
  <c r="W64" i="11"/>
  <c r="W65" i="11"/>
  <c r="W66" i="11"/>
  <c r="W68" i="11"/>
  <c r="W70" i="11"/>
  <c r="W71" i="11"/>
  <c r="W73" i="11"/>
  <c r="W74" i="11"/>
  <c r="W75" i="11"/>
  <c r="W76" i="11"/>
  <c r="W78" i="11"/>
  <c r="V32" i="11"/>
  <c r="V36" i="11"/>
  <c r="V38" i="11"/>
  <c r="V39" i="11"/>
  <c r="V40" i="11"/>
  <c r="V41" i="11"/>
  <c r="V42" i="11"/>
  <c r="V44" i="11"/>
  <c r="V46" i="11"/>
  <c r="V48" i="11"/>
  <c r="V50" i="11"/>
  <c r="V52" i="11"/>
  <c r="V54" i="11"/>
  <c r="V55" i="11"/>
  <c r="V60" i="11"/>
  <c r="V70" i="11"/>
  <c r="V71" i="11"/>
  <c r="V73" i="11"/>
  <c r="V74" i="11"/>
  <c r="V76" i="11"/>
  <c r="V79" i="11"/>
  <c r="E54" i="10"/>
  <c r="K54" i="10"/>
  <c r="I49" i="10"/>
  <c r="T49" i="10" s="1"/>
  <c r="U49" i="10" s="1"/>
  <c r="J49" i="10"/>
  <c r="K49" i="10"/>
  <c r="I50" i="10"/>
  <c r="K50" i="10"/>
  <c r="E53" i="10"/>
  <c r="I53" i="10" s="1"/>
  <c r="B53" i="10"/>
  <c r="K53" i="10"/>
  <c r="E51" i="10"/>
  <c r="I51" i="10" s="1"/>
  <c r="K51" i="10"/>
  <c r="E52" i="10"/>
  <c r="I52" i="10"/>
  <c r="B52" i="10"/>
  <c r="K52" i="10"/>
  <c r="A5" i="11"/>
  <c r="E36" i="10"/>
  <c r="H36" i="10"/>
  <c r="I36" i="10" s="1"/>
  <c r="J36" i="10" s="1"/>
  <c r="L36" i="10" s="1"/>
  <c r="I31" i="10"/>
  <c r="J31" i="10" s="1"/>
  <c r="L31" i="10" s="1"/>
  <c r="K31" i="10"/>
  <c r="I32" i="10"/>
  <c r="J32" i="10"/>
  <c r="K32" i="10"/>
  <c r="E33" i="10"/>
  <c r="I33" i="10" s="1"/>
  <c r="J33" i="10" s="1"/>
  <c r="L33" i="10" s="1"/>
  <c r="K33" i="10"/>
  <c r="E27" i="10"/>
  <c r="H27" i="10" s="1"/>
  <c r="I27" i="10" s="1"/>
  <c r="J27" i="10" s="1"/>
  <c r="L27" i="10" s="1"/>
  <c r="I22" i="10"/>
  <c r="T22" i="10" s="1"/>
  <c r="U22" i="10" s="1"/>
  <c r="K22" i="10"/>
  <c r="I23" i="10"/>
  <c r="J23" i="10" s="1"/>
  <c r="L23" i="10" s="1"/>
  <c r="K23" i="10"/>
  <c r="E24" i="10"/>
  <c r="I24" i="10" s="1"/>
  <c r="K24" i="10"/>
  <c r="E18" i="10"/>
  <c r="H18" i="10" s="1"/>
  <c r="I13" i="10"/>
  <c r="J13" i="10"/>
  <c r="K13" i="10"/>
  <c r="L13" i="10" s="1"/>
  <c r="I14" i="10"/>
  <c r="J14" i="10" s="1"/>
  <c r="K14" i="10"/>
  <c r="E15" i="10"/>
  <c r="I15" i="10" s="1"/>
  <c r="J15" i="10" s="1"/>
  <c r="K15" i="10"/>
  <c r="E9" i="10"/>
  <c r="H9" i="10" s="1"/>
  <c r="I9" i="10" s="1"/>
  <c r="I4" i="10"/>
  <c r="I5" i="10"/>
  <c r="U5" i="10" s="1"/>
  <c r="K5" i="10"/>
  <c r="E6" i="10"/>
  <c r="I6" i="10" s="1"/>
  <c r="K6" i="10"/>
  <c r="E35" i="10"/>
  <c r="I35" i="10" s="1"/>
  <c r="J35" i="10" s="1"/>
  <c r="B35" i="10"/>
  <c r="K35" i="10"/>
  <c r="E26" i="10"/>
  <c r="I26" i="10" s="1"/>
  <c r="J26" i="10" s="1"/>
  <c r="K26" i="10"/>
  <c r="E17" i="10"/>
  <c r="I17" i="10" s="1"/>
  <c r="J17" i="10" s="1"/>
  <c r="L17" i="10" s="1"/>
  <c r="K17" i="10"/>
  <c r="E8" i="10"/>
  <c r="I8" i="10"/>
  <c r="K8" i="10"/>
  <c r="E34" i="10"/>
  <c r="I34" i="10" s="1"/>
  <c r="J34" i="10" s="1"/>
  <c r="L34" i="10" s="1"/>
  <c r="B34" i="10"/>
  <c r="K34" i="10"/>
  <c r="E25" i="10"/>
  <c r="I25" i="10" s="1"/>
  <c r="J25" i="10" s="1"/>
  <c r="L25" i="10" s="1"/>
  <c r="K25" i="10"/>
  <c r="E16" i="10"/>
  <c r="I16" i="10"/>
  <c r="J16" i="10" s="1"/>
  <c r="L16" i="10" s="1"/>
  <c r="K16" i="10"/>
  <c r="E7" i="10"/>
  <c r="I7" i="10" s="1"/>
  <c r="K7" i="10"/>
  <c r="E40" i="10"/>
  <c r="B26" i="10"/>
  <c r="B25" i="10"/>
  <c r="B17" i="10"/>
  <c r="B16" i="10"/>
  <c r="B8" i="10"/>
  <c r="B7" i="10"/>
  <c r="C16" i="1"/>
  <c r="C15" i="1"/>
  <c r="AF74" i="11"/>
  <c r="Z74" i="11"/>
  <c r="V45" i="11"/>
  <c r="V33" i="11"/>
  <c r="AE35" i="11"/>
  <c r="V35" i="11"/>
  <c r="AG71" i="11"/>
  <c r="AA71" i="11"/>
  <c r="AG61" i="11"/>
  <c r="AA61" i="11"/>
  <c r="AA69" i="11"/>
  <c r="V66" i="11"/>
  <c r="AE75" i="11"/>
  <c r="V75" i="11"/>
  <c r="AE65" i="11"/>
  <c r="V65" i="11"/>
  <c r="AE51" i="11"/>
  <c r="V51" i="11"/>
  <c r="AF51" i="11"/>
  <c r="W51" i="11"/>
  <c r="AF46" i="11"/>
  <c r="AF69" i="11"/>
  <c r="W69" i="11"/>
  <c r="AG69" i="11"/>
  <c r="AE59" i="11"/>
  <c r="V59" i="11"/>
  <c r="AG76" i="11"/>
  <c r="X76" i="11"/>
  <c r="Z44" i="11"/>
  <c r="Z46" i="11"/>
  <c r="Z58" i="11"/>
  <c r="Z72" i="11"/>
  <c r="AE49" i="11"/>
  <c r="AG66" i="11"/>
  <c r="X66" i="11"/>
  <c r="W79" i="11"/>
  <c r="AD57" i="11"/>
  <c r="AG62" i="11"/>
  <c r="AE47" i="11"/>
  <c r="V47" i="11"/>
  <c r="AF62" i="11"/>
  <c r="AF60" i="11"/>
  <c r="V31" i="11"/>
  <c r="AE31" i="11"/>
  <c r="AE54" i="11"/>
  <c r="Y54" i="11"/>
  <c r="AE40" i="11"/>
  <c r="AE61" i="11"/>
  <c r="AF44" i="11"/>
  <c r="V37" i="11"/>
  <c r="V61" i="11"/>
  <c r="V49" i="11"/>
  <c r="Y40" i="11"/>
  <c r="W67" i="11"/>
  <c r="AF64" i="11"/>
  <c r="AF55" i="11"/>
  <c r="AG57" i="11"/>
  <c r="AE67" i="11"/>
  <c r="V67" i="11"/>
  <c r="AE53" i="11"/>
  <c r="AF71" i="11"/>
  <c r="AG77" i="11"/>
  <c r="AG68" i="11"/>
  <c r="X68" i="11"/>
  <c r="AG54" i="11"/>
  <c r="AG56" i="11"/>
  <c r="AG58" i="11"/>
  <c r="AG60" i="11"/>
  <c r="AG64" i="11"/>
  <c r="AG70" i="11"/>
  <c r="AG72" i="11"/>
  <c r="AG74" i="11"/>
  <c r="AE69" i="11"/>
  <c r="AE39" i="11"/>
  <c r="AF54" i="11"/>
  <c r="AF45" i="11"/>
  <c r="AE55" i="11"/>
  <c r="AF70" i="11"/>
  <c r="AF61" i="11"/>
  <c r="AF47" i="11"/>
  <c r="V53" i="11"/>
  <c r="W59" i="11"/>
  <c r="W43" i="11"/>
  <c r="AE43" i="11"/>
  <c r="V43" i="11"/>
  <c r="AE38" i="11"/>
  <c r="AF77" i="11"/>
  <c r="AF63" i="11"/>
  <c r="AF49" i="11"/>
  <c r="X60" i="11"/>
  <c r="AE73" i="11"/>
  <c r="AE57" i="11"/>
  <c r="AE41" i="11"/>
  <c r="AF73" i="11"/>
  <c r="AF41" i="11"/>
  <c r="J22" i="10" l="1"/>
  <c r="L22" i="10" s="1"/>
  <c r="J24" i="10"/>
  <c r="L24" i="10" s="1"/>
  <c r="P26" i="10" s="1"/>
  <c r="D42" i="10" s="1"/>
  <c r="D60" i="10" s="1"/>
  <c r="T24" i="10"/>
  <c r="U24" i="10" s="1"/>
  <c r="W25" i="10" s="1"/>
  <c r="X25" i="10" s="1"/>
  <c r="J50" i="10"/>
  <c r="T50" i="10"/>
  <c r="U50" i="10" s="1"/>
  <c r="J51" i="10"/>
  <c r="L51" i="10" s="1"/>
  <c r="T51" i="10"/>
  <c r="U51" i="10" s="1"/>
  <c r="W53" i="10" s="1"/>
  <c r="X53" i="10" s="1"/>
  <c r="J9" i="10"/>
  <c r="L9" i="10" s="1"/>
  <c r="U9" i="10"/>
  <c r="AG78" i="11"/>
  <c r="AE63" i="11"/>
  <c r="J8" i="10"/>
  <c r="L8" i="10" s="1"/>
  <c r="U8" i="10"/>
  <c r="J4" i="10"/>
  <c r="L4" i="10" s="1"/>
  <c r="P9" i="10" s="1"/>
  <c r="B43" i="10" s="1"/>
  <c r="B61" i="10" s="1"/>
  <c r="U4" i="10"/>
  <c r="Z67" i="11"/>
  <c r="C8" i="11" s="1"/>
  <c r="AC43" i="11"/>
  <c r="C9" i="11" s="1"/>
  <c r="AB37" i="11"/>
  <c r="AF40" i="11"/>
  <c r="AG75" i="11"/>
  <c r="AF50" i="11"/>
  <c r="AG65" i="11"/>
  <c r="L35" i="10"/>
  <c r="W72" i="11"/>
  <c r="AE34" i="11"/>
  <c r="AG79" i="11"/>
  <c r="AE68" i="11"/>
  <c r="J7" i="10"/>
  <c r="L7" i="10" s="1"/>
  <c r="U7" i="10"/>
  <c r="J52" i="10"/>
  <c r="L52" i="10" s="1"/>
  <c r="V78" i="11"/>
  <c r="B7" i="11" s="1"/>
  <c r="Y50" i="11"/>
  <c r="B8" i="11" s="1"/>
  <c r="AC57" i="11"/>
  <c r="AE44" i="11"/>
  <c r="AF78" i="11"/>
  <c r="AF59" i="11"/>
  <c r="AE71" i="11"/>
  <c r="AE79" i="11"/>
  <c r="AE33" i="11"/>
  <c r="L26" i="10"/>
  <c r="L15" i="10"/>
  <c r="V77" i="11"/>
  <c r="AE56" i="11"/>
  <c r="AE45" i="11"/>
  <c r="L14" i="10"/>
  <c r="P16" i="10" s="1"/>
  <c r="AE42" i="11"/>
  <c r="AF58" i="11"/>
  <c r="AG73" i="11"/>
  <c r="W53" i="11"/>
  <c r="C7" i="11" s="1"/>
  <c r="AG53" i="11"/>
  <c r="D10" i="11" s="1"/>
  <c r="J6" i="10"/>
  <c r="L6" i="10" s="1"/>
  <c r="P8" i="10" s="1"/>
  <c r="B42" i="10" s="1"/>
  <c r="B60" i="10" s="1"/>
  <c r="U6" i="10"/>
  <c r="L32" i="10"/>
  <c r="J53" i="10"/>
  <c r="L53" i="10" s="1"/>
  <c r="AE76" i="11"/>
  <c r="AG67" i="11"/>
  <c r="AE70" i="11"/>
  <c r="L50" i="10"/>
  <c r="Z79" i="11"/>
  <c r="J5" i="10"/>
  <c r="L5" i="10" s="1"/>
  <c r="AE48" i="11"/>
  <c r="AF56" i="11"/>
  <c r="P34" i="10"/>
  <c r="E41" i="10" s="1"/>
  <c r="X53" i="11"/>
  <c r="D7" i="11" s="1"/>
  <c r="AA75" i="11"/>
  <c r="D8" i="11" s="1"/>
  <c r="AF66" i="11"/>
  <c r="AF42" i="11"/>
  <c r="L49" i="10"/>
  <c r="AE60" i="11"/>
  <c r="P36" i="10"/>
  <c r="E43" i="10" s="1"/>
  <c r="E61" i="10" s="1"/>
  <c r="B9" i="11"/>
  <c r="D9" i="11"/>
  <c r="P35" i="10"/>
  <c r="E42" i="10" s="1"/>
  <c r="E60" i="10" s="1"/>
  <c r="H54" i="10"/>
  <c r="I54" i="10" s="1"/>
  <c r="J54" i="10" s="1"/>
  <c r="L54" i="10" s="1"/>
  <c r="AE64" i="11"/>
  <c r="AE74" i="11"/>
  <c r="AE58" i="11"/>
  <c r="AF48" i="11"/>
  <c r="C10" i="11" s="1"/>
  <c r="AG63" i="11"/>
  <c r="AE62" i="11"/>
  <c r="AE46" i="11"/>
  <c r="I18" i="10"/>
  <c r="J18" i="10" s="1"/>
  <c r="L18" i="10" s="1"/>
  <c r="P25" i="10" l="1"/>
  <c r="P27" i="10"/>
  <c r="D43" i="10" s="1"/>
  <c r="D61" i="10" s="1"/>
  <c r="W27" i="10"/>
  <c r="X27" i="10" s="1"/>
  <c r="W26" i="10"/>
  <c r="X26" i="10" s="1"/>
  <c r="P52" i="10"/>
  <c r="P54" i="10"/>
  <c r="F61" i="10" s="1"/>
  <c r="P53" i="10"/>
  <c r="F60" i="10" s="1"/>
  <c r="W54" i="10"/>
  <c r="X54" i="10" s="1"/>
  <c r="W52" i="10"/>
  <c r="X52" i="10" s="1"/>
  <c r="W9" i="10"/>
  <c r="W8" i="10"/>
  <c r="W7" i="10"/>
  <c r="C13" i="11"/>
  <c r="C14" i="11" s="1"/>
  <c r="C41" i="10"/>
  <c r="D13" i="11"/>
  <c r="D14" i="11" s="1"/>
  <c r="B10" i="11"/>
  <c r="X7" i="10"/>
  <c r="P17" i="10"/>
  <c r="C42" i="10" s="1"/>
  <c r="C60" i="10" s="1"/>
  <c r="X8" i="10"/>
  <c r="X9" i="10"/>
  <c r="P18" i="10"/>
  <c r="C43" i="10" s="1"/>
  <c r="C61" i="10" s="1"/>
  <c r="C59" i="10"/>
  <c r="C45" i="10"/>
  <c r="C63" i="10" s="1"/>
  <c r="F59" i="10"/>
  <c r="B13" i="11"/>
  <c r="B14" i="11" s="1"/>
  <c r="B41" i="10"/>
  <c r="P10" i="10"/>
  <c r="P37" i="10"/>
  <c r="E59" i="10"/>
  <c r="E45" i="10"/>
  <c r="E63" i="10" s="1"/>
  <c r="P28" i="10" l="1"/>
  <c r="D41" i="10"/>
  <c r="D59" i="10" s="1"/>
  <c r="P55" i="10"/>
  <c r="F63" i="10" s="1"/>
  <c r="P19" i="10"/>
  <c r="B45" i="10"/>
  <c r="B63" i="10" s="1"/>
  <c r="B59" i="10"/>
  <c r="D45" i="10" l="1"/>
  <c r="D63" i="10" s="1"/>
</calcChain>
</file>

<file path=xl/sharedStrings.xml><?xml version="1.0" encoding="utf-8"?>
<sst xmlns="http://schemas.openxmlformats.org/spreadsheetml/2006/main" count="648" uniqueCount="149">
  <si>
    <t>Stage Name</t>
  </si>
  <si>
    <t>Custom components</t>
  </si>
  <si>
    <t>Standard Components</t>
  </si>
  <si>
    <t>CM</t>
  </si>
  <si>
    <t>Google group responsible for stage</t>
  </si>
  <si>
    <t>GCD</t>
  </si>
  <si>
    <t>DC</t>
  </si>
  <si>
    <t>MG</t>
  </si>
  <si>
    <t>HG</t>
  </si>
  <si>
    <t>Stage time (weeks)</t>
  </si>
  <si>
    <t>Stage holding cost
($/machine/yr)</t>
  </si>
  <si>
    <t>Review period (weeks)</t>
  </si>
  <si>
    <t>scenario dependent</t>
  </si>
  <si>
    <t>Outgoing service time (weeks)</t>
  </si>
  <si>
    <t>Incoming service time (weeks)</t>
  </si>
  <si>
    <t>Demand uncertainty (as % of forecasted growth over leadtime)</t>
  </si>
  <si>
    <t>Physical location where inventory at stage resides</t>
  </si>
  <si>
    <t>Stage data</t>
  </si>
  <si>
    <t>DG</t>
  </si>
  <si>
    <t>PA machine assembly, transit, and installation</t>
  </si>
  <si>
    <t>Net replenishment time (weeks)</t>
  </si>
  <si>
    <t>total inventory cost at stage</t>
  </si>
  <si>
    <t>&lt; 8 week horizon</t>
  </si>
  <si>
    <t>&gt;=8 &lt;52 week horizon</t>
  </si>
  <si>
    <t>Stage holding cost
($/mach/yr)</t>
  </si>
  <si>
    <t>safety stock cost ($/mach/yr)</t>
  </si>
  <si>
    <t>cycle stock cost ($/mach/yr)</t>
  </si>
  <si>
    <t>26-13</t>
  </si>
  <si>
    <t>26-1</t>
  </si>
  <si>
    <t>13-1</t>
  </si>
  <si>
    <t>wtd avg mach cost</t>
  </si>
  <si>
    <t>&lt; 8-week horizon</t>
  </si>
  <si>
    <t>&gt;= 8-week horizon</t>
  </si>
  <si>
    <t>Summary Statistics</t>
  </si>
  <si>
    <t>percentile of interest for fcst error</t>
  </si>
  <si>
    <t>t-4 fcst</t>
  </si>
  <si>
    <t>t-13 fcst</t>
  </si>
  <si>
    <t>t-26 fcst</t>
  </si>
  <si>
    <t>PA1</t>
  </si>
  <si>
    <t>PA1 is moderate-growth PA</t>
  </si>
  <si>
    <t>PA2</t>
  </si>
  <si>
    <t>PA2 is high-growth PA</t>
  </si>
  <si>
    <t>PA3</t>
  </si>
  <si>
    <t>PA3 is search PA</t>
  </si>
  <si>
    <t>Pooled PA's</t>
  </si>
  <si>
    <t>Pooling Effect</t>
  </si>
  <si>
    <t>Weighted Avg. PA 90th pctl</t>
  </si>
  <si>
    <t>Pooled / Wt. Avg. PA 90th pctl</t>
  </si>
  <si>
    <t>Data and Forecast Error Calcs</t>
  </si>
  <si>
    <t>All forecasts based on linear regression with 8-week training period</t>
  </si>
  <si>
    <t>Actuals</t>
  </si>
  <si>
    <t>Forecasts</t>
  </si>
  <si>
    <t>Forecast Error = Actual - Forecast</t>
  </si>
  <si>
    <t>Forecast Error as % of Forecasted Growth</t>
  </si>
  <si>
    <t>PA1 actual</t>
  </si>
  <si>
    <t>PA2 actual</t>
  </si>
  <si>
    <t>PA3 actual</t>
  </si>
  <si>
    <t>t-4 forecast, PA1</t>
  </si>
  <si>
    <t>t-13 forecast, PA1</t>
  </si>
  <si>
    <t>t-26 forecast, PA1</t>
  </si>
  <si>
    <t>t-4 forecast, PA2</t>
  </si>
  <si>
    <t>t-13 forecast, PA2</t>
  </si>
  <si>
    <t>t-26 forecast, PA2</t>
  </si>
  <si>
    <t>t-4 forecast, PA3</t>
  </si>
  <si>
    <t>t-13 forecast, PA3</t>
  </si>
  <si>
    <t>t-26 forecast, PA3</t>
  </si>
  <si>
    <t>t-4 forecast, all PA's</t>
  </si>
  <si>
    <t>t-13 forecast, all PA's</t>
  </si>
  <si>
    <t>t-26 forecast, all PA's</t>
  </si>
  <si>
    <t/>
  </si>
  <si>
    <t>Annual machine holding cost</t>
  </si>
  <si>
    <t>PA</t>
  </si>
  <si>
    <t>Annual machine holding cost calculation</t>
  </si>
  <si>
    <t>(0)-1</t>
  </si>
  <si>
    <t>correct</t>
  </si>
  <si>
    <t>MG PA cluster location</t>
  </si>
  <si>
    <t>HG PA cluster location</t>
  </si>
  <si>
    <t>DG PA cluster location</t>
  </si>
  <si>
    <t>Upside demand requirements (Table 2)</t>
  </si>
  <si>
    <t>Global (all clusters, all PAs)</t>
  </si>
  <si>
    <t>Cluster (all PAs in a cluster)</t>
  </si>
  <si>
    <t>Individual MG PA in a cluster</t>
  </si>
  <si>
    <t>Individual DG PA in a cluster</t>
  </si>
  <si>
    <t>Individual HG PA in a cluster</t>
  </si>
  <si>
    <t>26-week outgoing service time from MATI to PACLs, quarterly orders for all PACLs</t>
  </si>
  <si>
    <t>26-week outgoing service time from MATI to PACLS, weekly orders for MG and HG PACLS, quarterly orders for DG PACLs</t>
  </si>
  <si>
    <t>13-week outgoing service time from MATI to PACLs, weekly orders for MG and HG PACLs, quarterly orders for DG PACLs</t>
  </si>
  <si>
    <t>4-week outgoing service time from MATI to PACLs, weekly orders for MG and HG PACLs, quarterly orders for DG PACLs</t>
  </si>
  <si>
    <t>1 day outgoing service time from MATI to PACLs, weekly orders for MG and HG PACLs, quarterly orders for DG PACLs</t>
  </si>
  <si>
    <t>This is the more traditional units-based calculation of these costs</t>
  </si>
  <si>
    <t>total inv cost allocated to PA</t>
  </si>
  <si>
    <t>Expected cycle stock cost (units)</t>
  </si>
  <si>
    <t>Expected safety stock (units)</t>
  </si>
  <si>
    <t>Expected inventory cost at stage ($/year)</t>
  </si>
  <si>
    <t>MG PA</t>
  </si>
  <si>
    <t>HG PA</t>
  </si>
  <si>
    <t>DG PA</t>
  </si>
  <si>
    <t>MG PACL</t>
  </si>
  <si>
    <t>HG PACL</t>
  </si>
  <si>
    <t>DG PACL</t>
  </si>
  <si>
    <t>MATI</t>
  </si>
  <si>
    <t>Custom</t>
  </si>
  <si>
    <t>Standard</t>
  </si>
  <si>
    <t>Demand</t>
  </si>
  <si>
    <t>Annual machine</t>
  </si>
  <si>
    <t>holding cost</t>
  </si>
  <si>
    <t>wtd avg</t>
  </si>
  <si>
    <t>stage inventory holding cost ($/unit/year)</t>
  </si>
  <si>
    <t>holding cost rate ($/$ year)</t>
  </si>
  <si>
    <t>cumulative cost added</t>
  </si>
  <si>
    <t>direct cost added</t>
  </si>
  <si>
    <t>Stage 3</t>
  </si>
  <si>
    <t>Stage 2</t>
  </si>
  <si>
    <t>Stage 1</t>
  </si>
  <si>
    <t>Example of stage parameters that could produce direct cost added</t>
  </si>
  <si>
    <t>avg inventory holding cost ($/year)</t>
  </si>
  <si>
    <t>annual demand (units/year)</t>
  </si>
  <si>
    <t>avg inventory cost incurred per unit ($/unit)</t>
  </si>
  <si>
    <t>finished-product inventory cost/machine</t>
  </si>
  <si>
    <t>avg inventory cost incurred per unit ($/unit) [time based]</t>
  </si>
  <si>
    <t>avg inventory cost incurred per unit ($/unit) [unit based]</t>
  </si>
  <si>
    <t>stage-based inventory cost/machine</t>
  </si>
  <si>
    <t>Total</t>
  </si>
  <si>
    <t>stage-based time-based calculation</t>
  </si>
  <si>
    <t xml:space="preserve">stage-based units-based calculation </t>
  </si>
  <si>
    <t>average weeks of supply (weeks)</t>
  </si>
  <si>
    <t>average inventory on-hand (units)</t>
  </si>
  <si>
    <t>average demand (units/week)</t>
  </si>
  <si>
    <t>average on-hand inventory (units)</t>
  </si>
  <si>
    <t>average weekly demand</t>
  </si>
  <si>
    <t>average on-hand WOS (WOS)</t>
  </si>
  <si>
    <t>cycle stock (WOS)</t>
  </si>
  <si>
    <t>No pooling; very sad</t>
  </si>
  <si>
    <t>safety stock (WOS)</t>
  </si>
  <si>
    <t>% upside required</t>
  </si>
  <si>
    <t>cycle stock (units)</t>
  </si>
  <si>
    <t>safety stock (units)</t>
  </si>
  <si>
    <t>net replenishment time (weeks)</t>
  </si>
  <si>
    <t>stage time (weeks)</t>
  </si>
  <si>
    <t>review period (weeks)</t>
  </si>
  <si>
    <t>weekly upside required</t>
  </si>
  <si>
    <t>90th percentile weekly potential</t>
  </si>
  <si>
    <t>safety stock as % of expected demand</t>
  </si>
  <si>
    <t>safety stock required</t>
  </si>
  <si>
    <t>maximum demand</t>
  </si>
  <si>
    <t>expected demand</t>
  </si>
  <si>
    <t>90th percentile upside in 39 weeks (units)</t>
  </si>
  <si>
    <t>expected demand in 39 weeks (units)</t>
  </si>
  <si>
    <t>base demand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</si>
</sst>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;[Red]&quot;$&quot;#,##0.00"/>
    <numFmt numFmtId="165" formatCode="0.0%"/>
    <numFmt numFmtId="166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Inconsolata"/>
    </font>
    <font>
      <i/>
      <sz val="1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wrapText="1"/>
    </xf>
    <xf numFmtId="0" fontId="8" fillId="2" borderId="0" xfId="196" applyFont="1" applyFill="1"/>
    <xf numFmtId="0" fontId="9" fillId="2" borderId="0" xfId="196" applyFont="1" applyFill="1"/>
    <xf numFmtId="0" fontId="8" fillId="2" borderId="0" xfId="196" applyFont="1" applyFill="1" applyAlignment="1">
      <alignment horizontal="right"/>
    </xf>
    <xf numFmtId="0" fontId="7" fillId="0" borderId="0" xfId="196"/>
    <xf numFmtId="0" fontId="8" fillId="0" borderId="0" xfId="196" applyFont="1"/>
    <xf numFmtId="0" fontId="9" fillId="0" borderId="0" xfId="196" applyFont="1"/>
    <xf numFmtId="0" fontId="8" fillId="0" borderId="0" xfId="196" applyFont="1" applyAlignment="1">
      <alignment horizontal="right"/>
    </xf>
    <xf numFmtId="0" fontId="8" fillId="3" borderId="0" xfId="196" applyFont="1" applyFill="1"/>
    <xf numFmtId="0" fontId="10" fillId="0" borderId="0" xfId="196" applyFont="1"/>
    <xf numFmtId="9" fontId="8" fillId="0" borderId="0" xfId="196" applyNumberFormat="1" applyFont="1"/>
    <xf numFmtId="0" fontId="11" fillId="0" borderId="0" xfId="196" applyFont="1"/>
    <xf numFmtId="0" fontId="8" fillId="4" borderId="0" xfId="196" applyFont="1" applyFill="1"/>
    <xf numFmtId="0" fontId="8" fillId="5" borderId="0" xfId="196" applyFont="1" applyFill="1"/>
    <xf numFmtId="0" fontId="8" fillId="0" borderId="0" xfId="196" applyFont="1" applyAlignment="1">
      <alignment wrapText="1"/>
    </xf>
    <xf numFmtId="0" fontId="8" fillId="2" borderId="0" xfId="196" applyFont="1" applyFill="1" applyAlignment="1">
      <alignment wrapText="1"/>
    </xf>
    <xf numFmtId="3" fontId="8" fillId="0" borderId="0" xfId="196" applyNumberFormat="1" applyFont="1"/>
    <xf numFmtId="165" fontId="8" fillId="0" borderId="0" xfId="196" applyNumberFormat="1" applyFont="1"/>
    <xf numFmtId="0" fontId="0" fillId="0" borderId="0" xfId="0" applyAlignment="1">
      <alignment horizontal="right"/>
    </xf>
    <xf numFmtId="0" fontId="6" fillId="0" borderId="0" xfId="0" applyFont="1"/>
    <xf numFmtId="0" fontId="0" fillId="0" borderId="1" xfId="0" applyBorder="1"/>
    <xf numFmtId="9" fontId="0" fillId="0" borderId="1" xfId="1" applyFont="1" applyBorder="1"/>
    <xf numFmtId="6" fontId="0" fillId="0" borderId="1" xfId="0" applyNumberFormat="1" applyBorder="1"/>
    <xf numFmtId="0" fontId="6" fillId="0" borderId="1" xfId="0" applyFont="1" applyBorder="1"/>
    <xf numFmtId="6" fontId="6" fillId="0" borderId="1" xfId="0" applyNumberFormat="1" applyFont="1" applyBorder="1"/>
    <xf numFmtId="164" fontId="6" fillId="0" borderId="1" xfId="0" applyNumberFormat="1" applyFont="1" applyBorder="1"/>
    <xf numFmtId="164" fontId="0" fillId="0" borderId="1" xfId="0" applyNumberFormat="1" applyBorder="1"/>
    <xf numFmtId="9" fontId="0" fillId="0" borderId="1" xfId="197" applyFont="1" applyBorder="1"/>
    <xf numFmtId="8" fontId="0" fillId="0" borderId="1" xfId="0" applyNumberFormat="1" applyBorder="1"/>
    <xf numFmtId="1" fontId="6" fillId="0" borderId="1" xfId="0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  <xf numFmtId="9" fontId="0" fillId="0" borderId="1" xfId="1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6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2" fillId="0" borderId="0" xfId="0" applyFont="1"/>
    <xf numFmtId="6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9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8" fontId="12" fillId="0" borderId="0" xfId="0" applyNumberFormat="1" applyFont="1"/>
    <xf numFmtId="8" fontId="12" fillId="0" borderId="1" xfId="0" applyNumberFormat="1" applyFont="1" applyBorder="1"/>
    <xf numFmtId="6" fontId="12" fillId="0" borderId="1" xfId="0" applyNumberFormat="1" applyFont="1" applyBorder="1"/>
    <xf numFmtId="166" fontId="12" fillId="0" borderId="1" xfId="254" applyNumberFormat="1" applyFont="1" applyBorder="1"/>
    <xf numFmtId="0" fontId="12" fillId="0" borderId="1" xfId="0" applyFont="1" applyBorder="1" applyAlignment="1">
      <alignment horizontal="center"/>
    </xf>
    <xf numFmtId="6" fontId="12" fillId="0" borderId="0" xfId="0" applyNumberFormat="1" applyFont="1"/>
    <xf numFmtId="0" fontId="0" fillId="0" borderId="2" xfId="0" applyBorder="1" applyAlignment="1">
      <alignment horizontal="center"/>
    </xf>
    <xf numFmtId="43" fontId="0" fillId="0" borderId="0" xfId="0" applyNumberFormat="1"/>
    <xf numFmtId="166" fontId="0" fillId="0" borderId="0" xfId="0" applyNumberFormat="1"/>
    <xf numFmtId="2" fontId="0" fillId="0" borderId="0" xfId="0" applyNumberFormat="1"/>
    <xf numFmtId="43" fontId="0" fillId="0" borderId="2" xfId="0" applyNumberFormat="1" applyBorder="1"/>
    <xf numFmtId="43" fontId="0" fillId="0" borderId="2" xfId="0" applyNumberFormat="1" applyBorder="1" applyAlignment="1">
      <alignment horizontal="center"/>
    </xf>
    <xf numFmtId="166" fontId="6" fillId="0" borderId="0" xfId="0" applyNumberFormat="1" applyFont="1"/>
    <xf numFmtId="0" fontId="6" fillId="0" borderId="0" xfId="0" applyFont="1" applyAlignment="1">
      <alignment horizontal="right"/>
    </xf>
    <xf numFmtId="43" fontId="0" fillId="0" borderId="0" xfId="254" applyFont="1"/>
    <xf numFmtId="3" fontId="0" fillId="0" borderId="0" xfId="0" applyNumberFormat="1"/>
    <xf numFmtId="164" fontId="0" fillId="6" borderId="1" xfId="0" applyNumberFormat="1" applyFill="1" applyBorder="1" applyAlignment="1">
      <alignment horizontal="center"/>
    </xf>
  </cellXfs>
  <cellStyles count="255">
    <cellStyle name="Comma" xfId="254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Normal" xfId="0" builtinId="0"/>
    <cellStyle name="Normal 2" xfId="196" xr:uid="{00000000-0005-0000-0000-0000FB000000}"/>
    <cellStyle name="Percent" xfId="1" builtinId="5"/>
    <cellStyle name="Percent 2" xfId="197" xr:uid="{00000000-0005-0000-0000-0000FD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AnalystUpsideAnalysis!$A$19</c:f>
              <c:strCache>
                <c:ptCount val="1"/>
                <c:pt idx="0">
                  <c:v>PA1 actual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val>
            <c:numRef>
              <c:f>AnalystUpsideAnalysis!$A$20:$A$79</c:f>
              <c:numCache>
                <c:formatCode>#,##0</c:formatCode>
                <c:ptCount val="60"/>
                <c:pt idx="0">
                  <c:v>550</c:v>
                </c:pt>
                <c:pt idx="1">
                  <c:v>596.30732507285995</c:v>
                </c:pt>
                <c:pt idx="2">
                  <c:v>641.04690865574548</c:v>
                </c:pt>
                <c:pt idx="3">
                  <c:v>694.22683644138272</c:v>
                </c:pt>
                <c:pt idx="4">
                  <c:v>742.08661090995508</c:v>
                </c:pt>
                <c:pt idx="5">
                  <c:v>799.81270743770335</c:v>
                </c:pt>
                <c:pt idx="6">
                  <c:v>859.68969376020004</c:v>
                </c:pt>
                <c:pt idx="7">
                  <c:v>916.93820024929255</c:v>
                </c:pt>
                <c:pt idx="8">
                  <c:v>959.6925638269862</c:v>
                </c:pt>
                <c:pt idx="9">
                  <c:v>1012.5050775159649</c:v>
                </c:pt>
                <c:pt idx="10">
                  <c:v>1050.1463504439121</c:v>
                </c:pt>
                <c:pt idx="11">
                  <c:v>1099.2738193539105</c:v>
                </c:pt>
                <c:pt idx="12">
                  <c:v>1143.5320124158734</c:v>
                </c:pt>
                <c:pt idx="13">
                  <c:v>1194.8578556896168</c:v>
                </c:pt>
                <c:pt idx="14">
                  <c:v>1242.8518005839612</c:v>
                </c:pt>
                <c:pt idx="15">
                  <c:v>1305.8842528304256</c:v>
                </c:pt>
                <c:pt idx="16">
                  <c:v>1352.4949217996427</c:v>
                </c:pt>
                <c:pt idx="17">
                  <c:v>1442.6103351679392</c:v>
                </c:pt>
                <c:pt idx="18">
                  <c:v>1468.2563647297486</c:v>
                </c:pt>
                <c:pt idx="19">
                  <c:v>1490.4781569069935</c:v>
                </c:pt>
                <c:pt idx="20">
                  <c:v>1512.399962644578</c:v>
                </c:pt>
                <c:pt idx="21">
                  <c:v>1569.2330312151212</c:v>
                </c:pt>
                <c:pt idx="22">
                  <c:v>1672.6087321664766</c:v>
                </c:pt>
                <c:pt idx="23">
                  <c:v>1759.3473376755221</c:v>
                </c:pt>
                <c:pt idx="24">
                  <c:v>1728.8351923709977</c:v>
                </c:pt>
                <c:pt idx="25">
                  <c:v>1782.4062890912455</c:v>
                </c:pt>
                <c:pt idx="26">
                  <c:v>1850.7435172953731</c:v>
                </c:pt>
                <c:pt idx="27">
                  <c:v>1904.8123051280272</c:v>
                </c:pt>
                <c:pt idx="28">
                  <c:v>1944.1594303557576</c:v>
                </c:pt>
                <c:pt idx="29">
                  <c:v>2002.4985839428007</c:v>
                </c:pt>
                <c:pt idx="30">
                  <c:v>2019.7046448613803</c:v>
                </c:pt>
                <c:pt idx="31">
                  <c:v>2085.2999319173723</c:v>
                </c:pt>
                <c:pt idx="32">
                  <c:v>2183.8909332333956</c:v>
                </c:pt>
                <c:pt idx="33">
                  <c:v>2202.7435196297188</c:v>
                </c:pt>
                <c:pt idx="34">
                  <c:v>2229.5821040147553</c:v>
                </c:pt>
                <c:pt idx="35">
                  <c:v>2225.8763388198099</c:v>
                </c:pt>
                <c:pt idx="36">
                  <c:v>2306.5286281769404</c:v>
                </c:pt>
                <c:pt idx="37">
                  <c:v>2396.3819566278275</c:v>
                </c:pt>
                <c:pt idx="38">
                  <c:v>2465.2546606190458</c:v>
                </c:pt>
                <c:pt idx="39">
                  <c:v>2534.051769486256</c:v>
                </c:pt>
                <c:pt idx="40">
                  <c:v>2589.5960035235121</c:v>
                </c:pt>
                <c:pt idx="41">
                  <c:v>2552.1072586482451</c:v>
                </c:pt>
                <c:pt idx="42">
                  <c:v>2659.1142209892378</c:v>
                </c:pt>
                <c:pt idx="43">
                  <c:v>2692.5827075869361</c:v>
                </c:pt>
                <c:pt idx="44">
                  <c:v>2768.7977815267527</c:v>
                </c:pt>
                <c:pt idx="45">
                  <c:v>2792.8082181018299</c:v>
                </c:pt>
                <c:pt idx="46">
                  <c:v>2905.9854087611052</c:v>
                </c:pt>
                <c:pt idx="47">
                  <c:v>2917.8849164319072</c:v>
                </c:pt>
                <c:pt idx="48">
                  <c:v>2948.2864680488501</c:v>
                </c:pt>
                <c:pt idx="49">
                  <c:v>2970.1823872613609</c:v>
                </c:pt>
                <c:pt idx="50">
                  <c:v>3081.6126487614092</c:v>
                </c:pt>
                <c:pt idx="51">
                  <c:v>3098.1745596187975</c:v>
                </c:pt>
                <c:pt idx="52">
                  <c:v>3065.7476832902707</c:v>
                </c:pt>
                <c:pt idx="53">
                  <c:v>3149.1948640954674</c:v>
                </c:pt>
                <c:pt idx="54">
                  <c:v>3340.8668861211145</c:v>
                </c:pt>
                <c:pt idx="55">
                  <c:v>3298.7954298385475</c:v>
                </c:pt>
                <c:pt idx="56">
                  <c:v>3407.5807903813457</c:v>
                </c:pt>
                <c:pt idx="57">
                  <c:v>3502.7742702085093</c:v>
                </c:pt>
                <c:pt idx="58">
                  <c:v>3466.0359509710111</c:v>
                </c:pt>
                <c:pt idx="59">
                  <c:v>3532.0768105428474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D-4947-8628-6A5517D2EA99}"/>
            </c:ext>
          </c:extLst>
        </c:ser>
        <c:ser>
          <c:idx val="1"/>
          <c:order val="1"/>
          <c:tx>
            <c:strRef>
              <c:f>AnalystUpsideAnalysis!$B$19</c:f>
              <c:strCache>
                <c:ptCount val="1"/>
                <c:pt idx="0">
                  <c:v>PA2 actual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val>
            <c:numRef>
              <c:f>AnalystUpsideAnalysis!$B$20:$B$79</c:f>
              <c:numCache>
                <c:formatCode>#,##0</c:formatCode>
                <c:ptCount val="60"/>
                <c:pt idx="0">
                  <c:v>1050.2</c:v>
                </c:pt>
                <c:pt idx="1">
                  <c:v>1110.3756810030684</c:v>
                </c:pt>
                <c:pt idx="2">
                  <c:v>1165.9689606184756</c:v>
                </c:pt>
                <c:pt idx="3">
                  <c:v>1209.0928497277691</c:v>
                </c:pt>
                <c:pt idx="4">
                  <c:v>1267.7580632256581</c:v>
                </c:pt>
                <c:pt idx="5">
                  <c:v>1314.4249397456736</c:v>
                </c:pt>
                <c:pt idx="6">
                  <c:v>1371.6011378511516</c:v>
                </c:pt>
                <c:pt idx="7">
                  <c:v>1438.1462228185019</c:v>
                </c:pt>
                <c:pt idx="8">
                  <c:v>1479.0855991189865</c:v>
                </c:pt>
                <c:pt idx="9">
                  <c:v>1519.5134569897336</c:v>
                </c:pt>
                <c:pt idx="10">
                  <c:v>1614.3334898077519</c:v>
                </c:pt>
                <c:pt idx="11">
                  <c:v>1620.0792339498541</c:v>
                </c:pt>
                <c:pt idx="12">
                  <c:v>1673.8800576211704</c:v>
                </c:pt>
                <c:pt idx="13">
                  <c:v>1747.2534058545527</c:v>
                </c:pt>
                <c:pt idx="14">
                  <c:v>1796.2536745942837</c:v>
                </c:pt>
                <c:pt idx="15">
                  <c:v>1853.8924454541441</c:v>
                </c:pt>
                <c:pt idx="16">
                  <c:v>1920.5804363534494</c:v>
                </c:pt>
                <c:pt idx="17">
                  <c:v>2023.282374929111</c:v>
                </c:pt>
                <c:pt idx="18">
                  <c:v>2009.9500591582059</c:v>
                </c:pt>
                <c:pt idx="19">
                  <c:v>2132.3014270275935</c:v>
                </c:pt>
                <c:pt idx="20">
                  <c:v>2118.2344250548681</c:v>
                </c:pt>
                <c:pt idx="21">
                  <c:v>2128.2773333427149</c:v>
                </c:pt>
                <c:pt idx="22">
                  <c:v>2262.8921184022497</c:v>
                </c:pt>
                <c:pt idx="23">
                  <c:v>2345.7395591635791</c:v>
                </c:pt>
                <c:pt idx="24">
                  <c:v>2390.6504310837445</c:v>
                </c:pt>
                <c:pt idx="25">
                  <c:v>2487.733373307321</c:v>
                </c:pt>
                <c:pt idx="26">
                  <c:v>2527.1302138240221</c:v>
                </c:pt>
                <c:pt idx="27">
                  <c:v>2580.0219387015022</c:v>
                </c:pt>
                <c:pt idx="28">
                  <c:v>2627.4223505797336</c:v>
                </c:pt>
                <c:pt idx="29">
                  <c:v>2703.2888002716363</c:v>
                </c:pt>
                <c:pt idx="30">
                  <c:v>2618.404268376959</c:v>
                </c:pt>
                <c:pt idx="31">
                  <c:v>2716.393165286132</c:v>
                </c:pt>
                <c:pt idx="32">
                  <c:v>2745.6644725950309</c:v>
                </c:pt>
                <c:pt idx="33">
                  <c:v>2894.8232056186839</c:v>
                </c:pt>
                <c:pt idx="34">
                  <c:v>2941.9385339684272</c:v>
                </c:pt>
                <c:pt idx="35">
                  <c:v>2986.4006076582591</c:v>
                </c:pt>
                <c:pt idx="36">
                  <c:v>3220.9143374788878</c:v>
                </c:pt>
                <c:pt idx="37">
                  <c:v>3213.4041373921705</c:v>
                </c:pt>
                <c:pt idx="38">
                  <c:v>3213.8408170703065</c:v>
                </c:pt>
                <c:pt idx="39">
                  <c:v>3282.1960500408695</c:v>
                </c:pt>
                <c:pt idx="40">
                  <c:v>3386.2357104473117</c:v>
                </c:pt>
                <c:pt idx="41">
                  <c:v>3401.9531246953693</c:v>
                </c:pt>
                <c:pt idx="42">
                  <c:v>3518.7284186848465</c:v>
                </c:pt>
                <c:pt idx="43">
                  <c:v>3621.2176147767823</c:v>
                </c:pt>
                <c:pt idx="44">
                  <c:v>3602.5283644602455</c:v>
                </c:pt>
                <c:pt idx="45">
                  <c:v>3671.9644240184289</c:v>
                </c:pt>
                <c:pt idx="46">
                  <c:v>3829.2118552394509</c:v>
                </c:pt>
                <c:pt idx="47">
                  <c:v>3814.9672876324653</c:v>
                </c:pt>
                <c:pt idx="48">
                  <c:v>3927.8752618066314</c:v>
                </c:pt>
                <c:pt idx="49">
                  <c:v>4067.5502818801478</c:v>
                </c:pt>
                <c:pt idx="50">
                  <c:v>4086.3034225613842</c:v>
                </c:pt>
                <c:pt idx="51">
                  <c:v>4029.2877834193937</c:v>
                </c:pt>
                <c:pt idx="52">
                  <c:v>4118.2328843284968</c:v>
                </c:pt>
                <c:pt idx="53">
                  <c:v>4243.4639357901942</c:v>
                </c:pt>
                <c:pt idx="54">
                  <c:v>4327.5260586077502</c:v>
                </c:pt>
                <c:pt idx="55">
                  <c:v>4429.7278914484004</c:v>
                </c:pt>
                <c:pt idx="56">
                  <c:v>4550.453050368752</c:v>
                </c:pt>
                <c:pt idx="57">
                  <c:v>4560.357456843346</c:v>
                </c:pt>
                <c:pt idx="58">
                  <c:v>4522.4700567308528</c:v>
                </c:pt>
                <c:pt idx="59">
                  <c:v>4680.426752235292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D-4947-8628-6A5517D2EA99}"/>
            </c:ext>
          </c:extLst>
        </c:ser>
        <c:ser>
          <c:idx val="2"/>
          <c:order val="2"/>
          <c:tx>
            <c:strRef>
              <c:f>AnalystUpsideAnalysis!$C$19</c:f>
              <c:strCache>
                <c:ptCount val="1"/>
                <c:pt idx="0">
                  <c:v>PA3 actual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val>
            <c:numRef>
              <c:f>AnalystUpsideAnalysis!$C$20:$C$79</c:f>
              <c:numCache>
                <c:formatCode>#,##0</c:formatCode>
                <c:ptCount val="60"/>
                <c:pt idx="0">
                  <c:v>275.5</c:v>
                </c:pt>
                <c:pt idx="1">
                  <c:v>330.59230772696691</c:v>
                </c:pt>
                <c:pt idx="2">
                  <c:v>402.31122548463986</c:v>
                </c:pt>
                <c:pt idx="3">
                  <c:v>503.53546698820253</c:v>
                </c:pt>
                <c:pt idx="4">
                  <c:v>619.37263117221005</c:v>
                </c:pt>
                <c:pt idx="5">
                  <c:v>668.64172062327577</c:v>
                </c:pt>
                <c:pt idx="6">
                  <c:v>713.88669452835086</c:v>
                </c:pt>
                <c:pt idx="7">
                  <c:v>792.31071995034279</c:v>
                </c:pt>
                <c:pt idx="8">
                  <c:v>920.00183456094339</c:v>
                </c:pt>
                <c:pt idx="9">
                  <c:v>998.16801607028469</c:v>
                </c:pt>
                <c:pt idx="10">
                  <c:v>1077.2623806046897</c:v>
                </c:pt>
                <c:pt idx="11">
                  <c:v>1146.9229959063869</c:v>
                </c:pt>
                <c:pt idx="12">
                  <c:v>1224.533286946122</c:v>
                </c:pt>
                <c:pt idx="13">
                  <c:v>1250.3591288848556</c:v>
                </c:pt>
                <c:pt idx="14">
                  <c:v>1282.506035117847</c:v>
                </c:pt>
                <c:pt idx="15">
                  <c:v>1318.6060942194579</c:v>
                </c:pt>
                <c:pt idx="16">
                  <c:v>1517.2681331274002</c:v>
                </c:pt>
                <c:pt idx="17">
                  <c:v>1728.960163179426</c:v>
                </c:pt>
                <c:pt idx="18">
                  <c:v>1785.4297315303575</c:v>
                </c:pt>
                <c:pt idx="19">
                  <c:v>1873.7295398095005</c:v>
                </c:pt>
                <c:pt idx="20">
                  <c:v>2131.8746914916742</c:v>
                </c:pt>
                <c:pt idx="21">
                  <c:v>2329.3493138017184</c:v>
                </c:pt>
                <c:pt idx="22">
                  <c:v>2341.5798957116731</c:v>
                </c:pt>
                <c:pt idx="23">
                  <c:v>2464.3264171551345</c:v>
                </c:pt>
                <c:pt idx="24">
                  <c:v>2363.0691787245205</c:v>
                </c:pt>
                <c:pt idx="25">
                  <c:v>2416.0203088072517</c:v>
                </c:pt>
                <c:pt idx="26">
                  <c:v>2513.7012899130855</c:v>
                </c:pt>
                <c:pt idx="27">
                  <c:v>2761.5722427298592</c:v>
                </c:pt>
                <c:pt idx="28">
                  <c:v>2864.1538382536332</c:v>
                </c:pt>
                <c:pt idx="29">
                  <c:v>2762.4926945684206</c:v>
                </c:pt>
                <c:pt idx="30">
                  <c:v>2912.8856742564212</c:v>
                </c:pt>
                <c:pt idx="31">
                  <c:v>2974.9897751965091</c:v>
                </c:pt>
                <c:pt idx="32">
                  <c:v>3609.1225853409246</c:v>
                </c:pt>
                <c:pt idx="33">
                  <c:v>3779.2792574467931</c:v>
                </c:pt>
                <c:pt idx="34">
                  <c:v>3845.8782532546543</c:v>
                </c:pt>
                <c:pt idx="35">
                  <c:v>3641.5308173496041</c:v>
                </c:pt>
                <c:pt idx="36">
                  <c:v>3574.6576454200076</c:v>
                </c:pt>
                <c:pt idx="37">
                  <c:v>3660.7428989200748</c:v>
                </c:pt>
                <c:pt idx="38">
                  <c:v>3719.6589859133283</c:v>
                </c:pt>
                <c:pt idx="39">
                  <c:v>3582.9930186154934</c:v>
                </c:pt>
                <c:pt idx="40">
                  <c:v>4105.934545799978</c:v>
                </c:pt>
                <c:pt idx="41">
                  <c:v>4547.7432241659299</c:v>
                </c:pt>
                <c:pt idx="42">
                  <c:v>4752.160163107108</c:v>
                </c:pt>
                <c:pt idx="43">
                  <c:v>4667.3100438974716</c:v>
                </c:pt>
                <c:pt idx="44">
                  <c:v>5048.3401985891387</c:v>
                </c:pt>
                <c:pt idx="45">
                  <c:v>4985.6652113848759</c:v>
                </c:pt>
                <c:pt idx="46">
                  <c:v>4938.3210233254995</c:v>
                </c:pt>
                <c:pt idx="47">
                  <c:v>5140.2822632834514</c:v>
                </c:pt>
                <c:pt idx="48">
                  <c:v>4879.6583808002788</c:v>
                </c:pt>
                <c:pt idx="49">
                  <c:v>5113.5649825242226</c:v>
                </c:pt>
                <c:pt idx="50">
                  <c:v>5627.8502354811008</c:v>
                </c:pt>
                <c:pt idx="51">
                  <c:v>5771.8394763841652</c:v>
                </c:pt>
                <c:pt idx="52">
                  <c:v>5583.5312929332322</c:v>
                </c:pt>
                <c:pt idx="53">
                  <c:v>5903.3130196390712</c:v>
                </c:pt>
                <c:pt idx="54">
                  <c:v>6343.5162784505392</c:v>
                </c:pt>
                <c:pt idx="55">
                  <c:v>6527.2619089697218</c:v>
                </c:pt>
                <c:pt idx="56">
                  <c:v>6351.1407587351887</c:v>
                </c:pt>
                <c:pt idx="57">
                  <c:v>6421.1188096150017</c:v>
                </c:pt>
                <c:pt idx="58">
                  <c:v>6588.9026881326408</c:v>
                </c:pt>
                <c:pt idx="59">
                  <c:v>6908.4056808396399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FD-4947-8628-6A5517D2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031256"/>
        <c:axId val="2117034168"/>
      </c:lineChart>
      <c:catAx>
        <c:axId val="2117031256"/>
        <c:scaling>
          <c:orientation val="minMax"/>
        </c:scaling>
        <c:delete val="0"/>
        <c:axPos val="b"/>
        <c:majorTickMark val="out"/>
        <c:minorTickMark val="none"/>
        <c:tickLblPos val="nextTo"/>
        <c:crossAx val="2117034168"/>
        <c:crosses val="autoZero"/>
        <c:auto val="1"/>
        <c:lblAlgn val="ctr"/>
        <c:lblOffset val="100"/>
        <c:noMultiLvlLbl val="0"/>
      </c:catAx>
      <c:valAx>
        <c:axId val="21170341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7031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1</xdr:row>
      <xdr:rowOff>139700</xdr:rowOff>
    </xdr:from>
    <xdr:to>
      <xdr:col>20</xdr:col>
      <xdr:colOff>571500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</xdr:row>
      <xdr:rowOff>185616</xdr:rowOff>
    </xdr:from>
    <xdr:to>
      <xdr:col>7</xdr:col>
      <xdr:colOff>2287302</xdr:colOff>
      <xdr:row>8</xdr:row>
      <xdr:rowOff>105183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ED1B88E-61A6-F44F-8FDB-2F4F9D50D73D}"/>
            </a:ext>
          </a:extLst>
        </xdr:cNvPr>
        <xdr:cNvGrpSpPr/>
      </xdr:nvGrpSpPr>
      <xdr:grpSpPr>
        <a:xfrm>
          <a:off x="12153900" y="477716"/>
          <a:ext cx="1906302" cy="1964267"/>
          <a:chOff x="6172200" y="5257800"/>
          <a:chExt cx="1905000" cy="1866900"/>
        </a:xfrm>
      </xdr:grpSpPr>
      <xdr:grpSp>
        <xdr:nvGrpSpPr>
          <xdr:cNvPr id="3" name="Group 9">
            <a:extLst>
              <a:ext uri="{FF2B5EF4-FFF2-40B4-BE49-F238E27FC236}">
                <a16:creationId xmlns:a16="http://schemas.microsoft.com/office/drawing/2014/main" id="{20D58061-75EE-394C-AA95-6CDAAE7B0575}"/>
              </a:ext>
            </a:extLst>
          </xdr:cNvPr>
          <xdr:cNvGrpSpPr>
            <a:grpSpLocks/>
          </xdr:cNvGrpSpPr>
        </xdr:nvGrpSpPr>
        <xdr:grpSpPr bwMode="auto">
          <a:xfrm>
            <a:off x="7442200" y="5257800"/>
            <a:ext cx="635000" cy="622300"/>
            <a:chOff x="304" y="172"/>
            <a:chExt cx="121" cy="104"/>
          </a:xfrm>
        </xdr:grpSpPr>
        <xdr:sp macro="" textlink="">
          <xdr:nvSpPr>
            <xdr:cNvPr id="12" name="Rectangle 4">
              <a:extLst>
                <a:ext uri="{FF2B5EF4-FFF2-40B4-BE49-F238E27FC236}">
                  <a16:creationId xmlns:a16="http://schemas.microsoft.com/office/drawing/2014/main" id="{D2E59D50-5FD0-3B40-B67D-C08F75C8B3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4" y="172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13" name="Text Box 7">
              <a:extLst>
                <a:ext uri="{FF2B5EF4-FFF2-40B4-BE49-F238E27FC236}">
                  <a16:creationId xmlns:a16="http://schemas.microsoft.com/office/drawing/2014/main" id="{25B08739-7C13-494E-B6CD-6BD7F01808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6" y="206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is-I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4" name="Group 19">
            <a:extLst>
              <a:ext uri="{FF2B5EF4-FFF2-40B4-BE49-F238E27FC236}">
                <a16:creationId xmlns:a16="http://schemas.microsoft.com/office/drawing/2014/main" id="{80083433-4C0E-2B48-8109-2AE41A0694F1}"/>
              </a:ext>
            </a:extLst>
          </xdr:cNvPr>
          <xdr:cNvGrpSpPr>
            <a:grpSpLocks/>
          </xdr:cNvGrpSpPr>
        </xdr:nvGrpSpPr>
        <xdr:grpSpPr bwMode="auto">
          <a:xfrm>
            <a:off x="7442200" y="6502400"/>
            <a:ext cx="635000" cy="622300"/>
            <a:chOff x="0" y="0"/>
            <a:chExt cx="121" cy="104"/>
          </a:xfrm>
        </xdr:grpSpPr>
        <xdr:sp macro="" textlink="">
          <xdr:nvSpPr>
            <xdr:cNvPr id="10" name="Rectangle 20">
              <a:extLst>
                <a:ext uri="{FF2B5EF4-FFF2-40B4-BE49-F238E27FC236}">
                  <a16:creationId xmlns:a16="http://schemas.microsoft.com/office/drawing/2014/main" id="{80FFBDA4-8CA3-014C-AA26-855DB9C123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0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11" name="Text Box 7">
              <a:extLst>
                <a:ext uri="{FF2B5EF4-FFF2-40B4-BE49-F238E27FC236}">
                  <a16:creationId xmlns:a16="http://schemas.microsoft.com/office/drawing/2014/main" id="{422E180E-EBD8-0346-95A1-F65CAE99A18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" y="34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5" name="Group 22">
            <a:extLst>
              <a:ext uri="{FF2B5EF4-FFF2-40B4-BE49-F238E27FC236}">
                <a16:creationId xmlns:a16="http://schemas.microsoft.com/office/drawing/2014/main" id="{C718E26E-3F4A-6A4D-A209-7CB91E324B66}"/>
              </a:ext>
            </a:extLst>
          </xdr:cNvPr>
          <xdr:cNvGrpSpPr>
            <a:grpSpLocks/>
          </xdr:cNvGrpSpPr>
        </xdr:nvGrpSpPr>
        <xdr:grpSpPr bwMode="auto">
          <a:xfrm>
            <a:off x="6172200" y="5880100"/>
            <a:ext cx="635000" cy="622300"/>
            <a:chOff x="0" y="0"/>
            <a:chExt cx="121" cy="104"/>
          </a:xfrm>
        </xdr:grpSpPr>
        <xdr:sp macro="" textlink="">
          <xdr:nvSpPr>
            <xdr:cNvPr id="8" name="Rectangle 23">
              <a:extLst>
                <a:ext uri="{FF2B5EF4-FFF2-40B4-BE49-F238E27FC236}">
                  <a16:creationId xmlns:a16="http://schemas.microsoft.com/office/drawing/2014/main" id="{9D215BD8-E431-474E-8E57-B053F853A1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0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9" name="Text Box 7">
              <a:extLst>
                <a:ext uri="{FF2B5EF4-FFF2-40B4-BE49-F238E27FC236}">
                  <a16:creationId xmlns:a16="http://schemas.microsoft.com/office/drawing/2014/main" id="{2569A30E-4920-3D4D-B1DC-38574374452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" y="34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1</a:t>
              </a:r>
            </a:p>
          </xdr:txBody>
        </xdr:sp>
      </xdr:grpSp>
      <xdr:cxnSp macro="">
        <xdr:nvCxnSpPr>
          <xdr:cNvPr id="6" name="AutoShape 6">
            <a:extLst>
              <a:ext uri="{FF2B5EF4-FFF2-40B4-BE49-F238E27FC236}">
                <a16:creationId xmlns:a16="http://schemas.microsoft.com/office/drawing/2014/main" id="{EA9991FA-819D-E04E-945E-BE04BEE503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807200" y="6197600"/>
            <a:ext cx="635000" cy="622300"/>
          </a:xfrm>
          <a:prstGeom prst="straightConnector1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" name="AutoShape 6">
            <a:extLst>
              <a:ext uri="{FF2B5EF4-FFF2-40B4-BE49-F238E27FC236}">
                <a16:creationId xmlns:a16="http://schemas.microsoft.com/office/drawing/2014/main" id="{964254D5-A218-1849-BBF8-470FAFB6E9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6807200" y="5575300"/>
            <a:ext cx="635000" cy="622300"/>
          </a:xfrm>
          <a:prstGeom prst="straightConnector1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zoomScale="140" zoomScaleNormal="140" workbookViewId="0"/>
  </sheetViews>
  <sheetFormatPr baseColWidth="10" defaultColWidth="10.6640625" defaultRowHeight="16" x14ac:dyDescent="0.2"/>
  <cols>
    <col min="2" max="2" width="39.1640625" bestFit="1" customWidth="1"/>
    <col min="3" max="6" width="16" customWidth="1"/>
    <col min="7" max="9" width="17.5" bestFit="1" customWidth="1"/>
    <col min="10" max="11" width="16" customWidth="1"/>
  </cols>
  <sheetData>
    <row r="1" spans="1:11" x14ac:dyDescent="0.2">
      <c r="A1" t="s">
        <v>17</v>
      </c>
    </row>
    <row r="2" spans="1:11" ht="51" x14ac:dyDescent="0.2">
      <c r="B2" t="s">
        <v>0</v>
      </c>
      <c r="C2" s="1" t="s">
        <v>16</v>
      </c>
      <c r="D2" s="1" t="s">
        <v>4</v>
      </c>
      <c r="E2" s="1" t="s">
        <v>10</v>
      </c>
      <c r="F2" s="1" t="s">
        <v>9</v>
      </c>
      <c r="G2" s="1" t="s">
        <v>11</v>
      </c>
      <c r="H2" s="1" t="s">
        <v>14</v>
      </c>
      <c r="I2" s="1" t="s">
        <v>13</v>
      </c>
      <c r="J2" s="1"/>
      <c r="K2" s="1"/>
    </row>
    <row r="3" spans="1:11" x14ac:dyDescent="0.2">
      <c r="B3" t="s">
        <v>1</v>
      </c>
      <c r="C3" s="25" t="s">
        <v>3</v>
      </c>
      <c r="D3" s="25" t="s">
        <v>5</v>
      </c>
      <c r="E3" s="27">
        <v>50</v>
      </c>
      <c r="F3" s="25">
        <v>18</v>
      </c>
      <c r="G3" s="25">
        <v>4</v>
      </c>
      <c r="H3" s="25">
        <v>0</v>
      </c>
      <c r="I3" s="25" t="s">
        <v>12</v>
      </c>
    </row>
    <row r="4" spans="1:11" x14ac:dyDescent="0.2">
      <c r="B4" t="s">
        <v>2</v>
      </c>
      <c r="C4" s="25" t="s">
        <v>3</v>
      </c>
      <c r="D4" s="25" t="s">
        <v>5</v>
      </c>
      <c r="E4" s="27">
        <v>450</v>
      </c>
      <c r="F4" s="25">
        <v>5</v>
      </c>
      <c r="G4" s="25">
        <v>4</v>
      </c>
      <c r="H4" s="25">
        <v>0</v>
      </c>
      <c r="I4" s="25" t="s">
        <v>12</v>
      </c>
    </row>
    <row r="5" spans="1:11" x14ac:dyDescent="0.2">
      <c r="B5" t="s">
        <v>19</v>
      </c>
      <c r="C5" s="25" t="s">
        <v>6</v>
      </c>
      <c r="D5" s="25" t="s">
        <v>5</v>
      </c>
      <c r="E5" s="27">
        <v>1000</v>
      </c>
      <c r="F5" s="25">
        <v>3</v>
      </c>
      <c r="G5" s="25">
        <v>1</v>
      </c>
      <c r="H5" s="25" t="s">
        <v>12</v>
      </c>
      <c r="I5" s="25" t="s">
        <v>12</v>
      </c>
    </row>
    <row r="6" spans="1:11" x14ac:dyDescent="0.2">
      <c r="B6" t="s">
        <v>75</v>
      </c>
      <c r="C6" s="25" t="s">
        <v>6</v>
      </c>
      <c r="D6" s="25" t="s">
        <v>94</v>
      </c>
      <c r="E6" s="27">
        <v>1000</v>
      </c>
      <c r="F6" s="25">
        <v>0</v>
      </c>
      <c r="G6" s="25" t="s">
        <v>12</v>
      </c>
      <c r="H6" s="25" t="s">
        <v>12</v>
      </c>
      <c r="I6" s="25">
        <v>0</v>
      </c>
    </row>
    <row r="7" spans="1:11" x14ac:dyDescent="0.2">
      <c r="B7" t="s">
        <v>76</v>
      </c>
      <c r="C7" s="25" t="s">
        <v>6</v>
      </c>
      <c r="D7" s="25" t="s">
        <v>95</v>
      </c>
      <c r="E7" s="27">
        <v>1000</v>
      </c>
      <c r="F7" s="25">
        <v>0</v>
      </c>
      <c r="G7" s="25" t="s">
        <v>12</v>
      </c>
      <c r="H7" s="25" t="s">
        <v>12</v>
      </c>
      <c r="I7" s="25">
        <v>0</v>
      </c>
    </row>
    <row r="8" spans="1:11" x14ac:dyDescent="0.2">
      <c r="B8" t="s">
        <v>77</v>
      </c>
      <c r="C8" s="25" t="s">
        <v>6</v>
      </c>
      <c r="D8" s="25" t="s">
        <v>96</v>
      </c>
      <c r="E8" s="27">
        <v>1000</v>
      </c>
      <c r="F8" s="25">
        <v>0</v>
      </c>
      <c r="G8" s="25" t="s">
        <v>12</v>
      </c>
      <c r="H8" s="25" t="s">
        <v>12</v>
      </c>
      <c r="I8" s="25" t="s">
        <v>12</v>
      </c>
    </row>
    <row r="10" spans="1:11" x14ac:dyDescent="0.2">
      <c r="A10" t="s">
        <v>78</v>
      </c>
    </row>
    <row r="11" spans="1:11" x14ac:dyDescent="0.2">
      <c r="B11" t="s">
        <v>15</v>
      </c>
    </row>
    <row r="12" spans="1:11" x14ac:dyDescent="0.2">
      <c r="C12" t="s">
        <v>31</v>
      </c>
      <c r="D12" t="s">
        <v>32</v>
      </c>
    </row>
    <row r="13" spans="1:11" x14ac:dyDescent="0.2">
      <c r="B13" t="s">
        <v>79</v>
      </c>
      <c r="C13" s="26">
        <v>0.62</v>
      </c>
      <c r="D13" s="26">
        <v>0.31</v>
      </c>
    </row>
    <row r="14" spans="1:11" x14ac:dyDescent="0.2">
      <c r="B14" t="s">
        <v>80</v>
      </c>
      <c r="C14" s="26">
        <v>0.78</v>
      </c>
      <c r="D14" s="26">
        <v>0.39</v>
      </c>
    </row>
    <row r="15" spans="1:11" x14ac:dyDescent="0.2">
      <c r="B15" t="s">
        <v>81</v>
      </c>
      <c r="C15" s="26">
        <f>2*D15</f>
        <v>0.6</v>
      </c>
      <c r="D15" s="26">
        <v>0.3</v>
      </c>
    </row>
    <row r="16" spans="1:11" x14ac:dyDescent="0.2">
      <c r="B16" t="s">
        <v>83</v>
      </c>
      <c r="C16" s="26">
        <f>2*D16</f>
        <v>1.8</v>
      </c>
      <c r="D16" s="26">
        <v>0.9</v>
      </c>
    </row>
    <row r="17" spans="2:4" x14ac:dyDescent="0.2">
      <c r="B17" t="s">
        <v>82</v>
      </c>
      <c r="C17" s="32">
        <v>0</v>
      </c>
      <c r="D17" s="32">
        <v>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63"/>
  <sheetViews>
    <sheetView showGridLines="0" tabSelected="1" zoomScale="190" zoomScaleNormal="190" zoomScalePageLayoutView="125" workbookViewId="0"/>
  </sheetViews>
  <sheetFormatPr baseColWidth="10" defaultColWidth="10.6640625" defaultRowHeight="16" x14ac:dyDescent="0.2"/>
  <cols>
    <col min="1" max="1" width="11.83203125" customWidth="1"/>
    <col min="2" max="3" width="9.6640625" customWidth="1"/>
    <col min="4" max="5" width="10.83203125" customWidth="1"/>
    <col min="6" max="6" width="8.83203125" customWidth="1"/>
    <col min="7" max="7" width="7.83203125" customWidth="1"/>
    <col min="8" max="8" width="10.83203125" customWidth="1"/>
    <col min="9" max="9" width="13.5" customWidth="1"/>
    <col min="10" max="11" width="10.83203125" customWidth="1"/>
    <col min="12" max="12" width="11.6640625" customWidth="1"/>
    <col min="13" max="13" width="3.33203125" customWidth="1"/>
    <col min="14" max="15" width="7.83203125" customWidth="1"/>
    <col min="16" max="16" width="14.33203125" bestFit="1" customWidth="1"/>
    <col min="18" max="18" width="11.1640625" customWidth="1"/>
    <col min="21" max="21" width="13.33203125" bestFit="1" customWidth="1"/>
    <col min="22" max="22" width="12.1640625" bestFit="1" customWidth="1"/>
    <col min="23" max="24" width="14" customWidth="1"/>
  </cols>
  <sheetData>
    <row r="2" spans="1:24" x14ac:dyDescent="0.2">
      <c r="A2" s="4" t="s">
        <v>84</v>
      </c>
      <c r="R2" t="s">
        <v>89</v>
      </c>
    </row>
    <row r="3" spans="1:24" ht="49" customHeight="1" x14ac:dyDescent="0.2">
      <c r="A3" s="35" t="s">
        <v>0</v>
      </c>
      <c r="B3" s="39" t="s">
        <v>22</v>
      </c>
      <c r="C3" s="39" t="s">
        <v>23</v>
      </c>
      <c r="D3" s="39" t="s">
        <v>24</v>
      </c>
      <c r="E3" s="39" t="s">
        <v>14</v>
      </c>
      <c r="F3" s="39" t="s">
        <v>9</v>
      </c>
      <c r="G3" s="39" t="s">
        <v>11</v>
      </c>
      <c r="H3" s="40" t="s">
        <v>13</v>
      </c>
      <c r="I3" s="40" t="s">
        <v>20</v>
      </c>
      <c r="J3" s="40" t="s">
        <v>25</v>
      </c>
      <c r="K3" s="40" t="s">
        <v>26</v>
      </c>
      <c r="L3" s="40" t="s">
        <v>21</v>
      </c>
      <c r="M3" s="1"/>
      <c r="S3" s="5" t="s">
        <v>91</v>
      </c>
      <c r="T3" s="5" t="s">
        <v>92</v>
      </c>
      <c r="U3" s="5" t="s">
        <v>93</v>
      </c>
    </row>
    <row r="4" spans="1:24" x14ac:dyDescent="0.2">
      <c r="A4" s="36" t="s">
        <v>101</v>
      </c>
      <c r="B4" s="41">
        <v>0.62</v>
      </c>
      <c r="C4" s="41">
        <v>0.31</v>
      </c>
      <c r="D4" s="42">
        <v>50</v>
      </c>
      <c r="E4" s="36">
        <v>0</v>
      </c>
      <c r="F4" s="36">
        <v>18</v>
      </c>
      <c r="G4" s="36">
        <v>4</v>
      </c>
      <c r="H4" s="43">
        <v>22</v>
      </c>
      <c r="I4" s="43">
        <f>E4+F4+G4-H4</f>
        <v>0</v>
      </c>
      <c r="J4" s="44">
        <f>IF(I4&lt;8,B4,C4)*I4*D4/52</f>
        <v>0</v>
      </c>
      <c r="K4" s="45">
        <f>G4/2*D4/52</f>
        <v>1.9230769230769231</v>
      </c>
      <c r="L4" s="45">
        <f>J4+K4</f>
        <v>1.9230769230769231</v>
      </c>
      <c r="M4" s="3"/>
      <c r="R4" t="s">
        <v>101</v>
      </c>
      <c r="S4" s="34">
        <f>SUM(O7:O9)*G4/2</f>
        <v>15942</v>
      </c>
      <c r="T4" s="34">
        <f>SUM(O7:O9)*I4*IF(I4&lt;8,B4,C4)</f>
        <v>0</v>
      </c>
      <c r="U4" s="27">
        <f>SUM(S4:T4)*D4</f>
        <v>797100</v>
      </c>
      <c r="V4" s="2"/>
    </row>
    <row r="5" spans="1:24" x14ac:dyDescent="0.2">
      <c r="A5" s="36" t="s">
        <v>102</v>
      </c>
      <c r="B5" s="41">
        <v>0.62</v>
      </c>
      <c r="C5" s="41">
        <v>0.31</v>
      </c>
      <c r="D5" s="42">
        <v>450</v>
      </c>
      <c r="E5" s="36">
        <v>0</v>
      </c>
      <c r="F5" s="36">
        <v>5</v>
      </c>
      <c r="G5" s="36">
        <v>4</v>
      </c>
      <c r="H5" s="43">
        <v>9</v>
      </c>
      <c r="I5" s="43">
        <f t="shared" ref="I5:I9" si="0">E5+F5+G5-H5</f>
        <v>0</v>
      </c>
      <c r="J5" s="44">
        <f t="shared" ref="J5:J9" si="1">IF(I5&lt;8,B5,C5)*I5*D5/52</f>
        <v>0</v>
      </c>
      <c r="K5" s="45">
        <f t="shared" ref="K5:K9" si="2">G5/2*D5/52</f>
        <v>17.307692307692307</v>
      </c>
      <c r="L5" s="45">
        <f t="shared" ref="L5:L9" si="3">J5+K5</f>
        <v>17.307692307692307</v>
      </c>
      <c r="M5" s="3"/>
      <c r="N5" s="35"/>
      <c r="O5" s="35"/>
      <c r="P5" s="35" t="s">
        <v>104</v>
      </c>
      <c r="R5" t="s">
        <v>102</v>
      </c>
      <c r="S5" s="34">
        <f>SUM(O7:O9)*G5/2</f>
        <v>15942</v>
      </c>
      <c r="T5" s="34">
        <f>SUM(O7:O9)*I5*IF(I5&lt;8,B5,C5)</f>
        <v>0</v>
      </c>
      <c r="U5" s="27">
        <f t="shared" ref="U5:U8" si="4">SUM(S5:T5)*D5</f>
        <v>7173900</v>
      </c>
      <c r="V5" s="2"/>
    </row>
    <row r="6" spans="1:24" ht="17" customHeight="1" x14ac:dyDescent="0.2">
      <c r="A6" s="46" t="s">
        <v>100</v>
      </c>
      <c r="B6" s="41">
        <v>0.78</v>
      </c>
      <c r="C6" s="41">
        <v>0.39</v>
      </c>
      <c r="D6" s="42">
        <v>1000</v>
      </c>
      <c r="E6" s="36">
        <f>MAX(H4,H5)</f>
        <v>22</v>
      </c>
      <c r="F6" s="36">
        <v>3</v>
      </c>
      <c r="G6" s="36">
        <v>1</v>
      </c>
      <c r="H6" s="43">
        <v>26</v>
      </c>
      <c r="I6" s="43">
        <f t="shared" si="0"/>
        <v>0</v>
      </c>
      <c r="J6" s="44">
        <f t="shared" si="1"/>
        <v>0</v>
      </c>
      <c r="K6" s="45">
        <f t="shared" si="2"/>
        <v>9.615384615384615</v>
      </c>
      <c r="L6" s="45">
        <f t="shared" si="3"/>
        <v>9.615384615384615</v>
      </c>
      <c r="M6" s="3"/>
      <c r="N6" s="35" t="s">
        <v>71</v>
      </c>
      <c r="O6" s="35" t="s">
        <v>103</v>
      </c>
      <c r="P6" s="35" t="s">
        <v>105</v>
      </c>
      <c r="R6" s="1" t="s">
        <v>100</v>
      </c>
      <c r="S6" s="34">
        <f>SUM(O7:O9)*G6/2</f>
        <v>3985.5</v>
      </c>
      <c r="T6" s="34">
        <f>SUM(O7:O9)*I6*IF(I6&lt;8,B6,C6)</f>
        <v>0</v>
      </c>
      <c r="U6" s="27">
        <f t="shared" si="4"/>
        <v>3985500</v>
      </c>
      <c r="V6" s="24" t="s">
        <v>90</v>
      </c>
      <c r="X6" s="1" t="s">
        <v>70</v>
      </c>
    </row>
    <row r="7" spans="1:24" x14ac:dyDescent="0.2">
      <c r="A7" s="36" t="s">
        <v>97</v>
      </c>
      <c r="B7" s="41">
        <f>2*C7</f>
        <v>0.6</v>
      </c>
      <c r="C7" s="41">
        <v>0.3</v>
      </c>
      <c r="D7" s="42">
        <v>1000</v>
      </c>
      <c r="E7" s="36">
        <f>H6</f>
        <v>26</v>
      </c>
      <c r="F7" s="36">
        <v>0</v>
      </c>
      <c r="G7" s="36">
        <v>13</v>
      </c>
      <c r="H7" s="43">
        <v>0</v>
      </c>
      <c r="I7" s="43">
        <f t="shared" si="0"/>
        <v>39</v>
      </c>
      <c r="J7" s="44">
        <f t="shared" si="1"/>
        <v>225</v>
      </c>
      <c r="K7" s="45">
        <f t="shared" si="2"/>
        <v>125</v>
      </c>
      <c r="L7" s="45">
        <f t="shared" si="3"/>
        <v>350</v>
      </c>
      <c r="M7" s="3"/>
      <c r="N7" s="36" t="s">
        <v>7</v>
      </c>
      <c r="O7" s="36">
        <v>2028</v>
      </c>
      <c r="P7" s="37">
        <f>L7+SUM(L4:L6)</f>
        <v>378.84615384615387</v>
      </c>
      <c r="R7" t="s">
        <v>97</v>
      </c>
      <c r="S7" s="34">
        <f>O7*G7/2</f>
        <v>13182</v>
      </c>
      <c r="T7" s="34">
        <f>O7*I7*IF(I7&lt;8,B7,C7)</f>
        <v>23727.599999999999</v>
      </c>
      <c r="U7" s="27">
        <f t="shared" si="4"/>
        <v>36909600</v>
      </c>
      <c r="V7" s="23" t="s">
        <v>7</v>
      </c>
      <c r="W7" s="27">
        <f>U7+SUM(U4:U6)*O7/SUM(O7:O9)</f>
        <v>39951600</v>
      </c>
      <c r="X7" s="33">
        <f>W7/O7/52</f>
        <v>378.84615384615387</v>
      </c>
    </row>
    <row r="8" spans="1:24" x14ac:dyDescent="0.2">
      <c r="A8" s="36" t="s">
        <v>98</v>
      </c>
      <c r="B8" s="41">
        <f>2*C8</f>
        <v>1.8</v>
      </c>
      <c r="C8" s="41">
        <v>0.9</v>
      </c>
      <c r="D8" s="42">
        <v>1000</v>
      </c>
      <c r="E8" s="36">
        <f>H6</f>
        <v>26</v>
      </c>
      <c r="F8" s="36">
        <v>0</v>
      </c>
      <c r="G8" s="36">
        <v>13</v>
      </c>
      <c r="H8" s="43">
        <v>0</v>
      </c>
      <c r="I8" s="43">
        <f t="shared" si="0"/>
        <v>39</v>
      </c>
      <c r="J8" s="44">
        <f t="shared" si="1"/>
        <v>675</v>
      </c>
      <c r="K8" s="45">
        <f t="shared" si="2"/>
        <v>125</v>
      </c>
      <c r="L8" s="45">
        <f t="shared" si="3"/>
        <v>800</v>
      </c>
      <c r="M8" s="3"/>
      <c r="N8" s="36" t="s">
        <v>8</v>
      </c>
      <c r="O8" s="36">
        <v>2762</v>
      </c>
      <c r="P8" s="37">
        <f>L8+SUM(L4:L6)</f>
        <v>828.84615384615381</v>
      </c>
      <c r="R8" t="s">
        <v>98</v>
      </c>
      <c r="S8" s="34">
        <f>O8*G8/2</f>
        <v>17953</v>
      </c>
      <c r="T8" s="34">
        <f>O8*I8*IF(I8&lt;8,B8,C8)</f>
        <v>96946.2</v>
      </c>
      <c r="U8" s="27">
        <f t="shared" si="4"/>
        <v>114899200</v>
      </c>
      <c r="V8" s="23" t="s">
        <v>8</v>
      </c>
      <c r="W8" s="27">
        <f>U8+SUM(U4:U6)*O8/SUM(O7:O9)</f>
        <v>119042200</v>
      </c>
      <c r="X8" s="33">
        <f>W8/O8/52</f>
        <v>828.84615384615381</v>
      </c>
    </row>
    <row r="9" spans="1:24" x14ac:dyDescent="0.2">
      <c r="A9" s="36" t="s">
        <v>99</v>
      </c>
      <c r="B9" s="41">
        <v>0</v>
      </c>
      <c r="C9" s="41">
        <v>0</v>
      </c>
      <c r="D9" s="42">
        <v>1000</v>
      </c>
      <c r="E9" s="36">
        <f>H6</f>
        <v>26</v>
      </c>
      <c r="F9" s="36">
        <v>0</v>
      </c>
      <c r="G9" s="36">
        <v>13</v>
      </c>
      <c r="H9" s="43">
        <f>E9+F9+G9</f>
        <v>39</v>
      </c>
      <c r="I9" s="43">
        <f t="shared" si="0"/>
        <v>0</v>
      </c>
      <c r="J9" s="44">
        <f t="shared" si="1"/>
        <v>0</v>
      </c>
      <c r="K9" s="45">
        <f t="shared" si="2"/>
        <v>125</v>
      </c>
      <c r="L9" s="45">
        <f t="shared" si="3"/>
        <v>125</v>
      </c>
      <c r="M9" s="3"/>
      <c r="N9" s="36" t="s">
        <v>18</v>
      </c>
      <c r="O9" s="36">
        <v>3181</v>
      </c>
      <c r="P9" s="37">
        <f>L9+SUM(L4:L6)</f>
        <v>153.84615384615384</v>
      </c>
      <c r="R9" t="s">
        <v>99</v>
      </c>
      <c r="S9" s="34">
        <f>O9*G9/2</f>
        <v>20676.5</v>
      </c>
      <c r="T9" s="34">
        <f>O9*I9*IF(I9&lt;8,B9,C9)</f>
        <v>0</v>
      </c>
      <c r="U9" s="27">
        <f t="shared" ref="U9" si="5">SUM(S9:T9)*D9</f>
        <v>20676500</v>
      </c>
      <c r="V9" s="23" t="s">
        <v>71</v>
      </c>
      <c r="W9" s="27">
        <f>U9+SUM(U4:U6)*O9/SUM(O7:O9)</f>
        <v>25448000</v>
      </c>
      <c r="X9" s="33">
        <f>W9/O9/52</f>
        <v>153.84615384615384</v>
      </c>
    </row>
    <row r="10" spans="1:24" x14ac:dyDescent="0.2">
      <c r="O10" s="23" t="s">
        <v>30</v>
      </c>
      <c r="P10" s="38">
        <f>SUMPRODUCT(P7:P9,O7:O9)/SUM(O7:O9)</f>
        <v>444.98277409455432</v>
      </c>
    </row>
    <row r="11" spans="1:24" x14ac:dyDescent="0.2">
      <c r="A11" s="4" t="s">
        <v>85</v>
      </c>
    </row>
    <row r="12" spans="1:24" ht="48" customHeight="1" x14ac:dyDescent="0.2">
      <c r="A12" s="35" t="s">
        <v>0</v>
      </c>
      <c r="B12" s="1" t="s">
        <v>22</v>
      </c>
      <c r="C12" s="1" t="s">
        <v>23</v>
      </c>
      <c r="D12" s="1" t="s">
        <v>24</v>
      </c>
      <c r="E12" s="1" t="s">
        <v>14</v>
      </c>
      <c r="F12" s="1" t="s">
        <v>9</v>
      </c>
      <c r="G12" s="1" t="s">
        <v>11</v>
      </c>
      <c r="H12" s="5" t="s">
        <v>13</v>
      </c>
      <c r="I12" s="5" t="s">
        <v>20</v>
      </c>
      <c r="J12" s="5" t="s">
        <v>25</v>
      </c>
      <c r="K12" s="5" t="s">
        <v>26</v>
      </c>
      <c r="L12" s="5" t="s">
        <v>21</v>
      </c>
      <c r="M12" s="1"/>
      <c r="S12" s="5" t="s">
        <v>91</v>
      </c>
      <c r="T12" s="5" t="s">
        <v>92</v>
      </c>
      <c r="U12" s="5" t="s">
        <v>93</v>
      </c>
    </row>
    <row r="13" spans="1:24" x14ac:dyDescent="0.2">
      <c r="A13" s="36" t="s">
        <v>101</v>
      </c>
      <c r="B13" s="26">
        <v>0.62</v>
      </c>
      <c r="C13" s="26">
        <v>0.31</v>
      </c>
      <c r="D13" s="27">
        <v>50</v>
      </c>
      <c r="E13" s="25">
        <v>0</v>
      </c>
      <c r="F13" s="25">
        <v>18</v>
      </c>
      <c r="G13" s="25">
        <v>4</v>
      </c>
      <c r="H13" s="28">
        <v>22</v>
      </c>
      <c r="I13" s="28">
        <f>E13+F13+G13-H13</f>
        <v>0</v>
      </c>
      <c r="J13" s="29">
        <f>IF(I13&lt;8,B13,C13)*I13*D13/52</f>
        <v>0</v>
      </c>
      <c r="K13" s="30">
        <f>G13/2*D13/52</f>
        <v>1.9230769230769231</v>
      </c>
      <c r="L13" s="30">
        <f>J13+K13</f>
        <v>1.9230769230769231</v>
      </c>
      <c r="M13" s="3"/>
      <c r="R13" t="s">
        <v>101</v>
      </c>
      <c r="S13" s="34">
        <f>SUM(O16:O18)*G13/2</f>
        <v>15942</v>
      </c>
      <c r="T13" s="34">
        <f>SUM(O16:O18)*I13*IF(I13&lt;8,B13,C13)</f>
        <v>0</v>
      </c>
      <c r="U13" s="27">
        <f>SUM(S13:T13)*D13</f>
        <v>797100</v>
      </c>
      <c r="V13" s="2"/>
    </row>
    <row r="14" spans="1:24" x14ac:dyDescent="0.2">
      <c r="A14" s="36" t="s">
        <v>102</v>
      </c>
      <c r="B14" s="26">
        <v>0.62</v>
      </c>
      <c r="C14" s="26">
        <v>0.31</v>
      </c>
      <c r="D14" s="27">
        <v>450</v>
      </c>
      <c r="E14" s="25">
        <v>0</v>
      </c>
      <c r="F14" s="25">
        <v>5</v>
      </c>
      <c r="G14" s="25">
        <v>4</v>
      </c>
      <c r="H14" s="28">
        <v>9</v>
      </c>
      <c r="I14" s="28">
        <f t="shared" ref="I14:I18" si="6">E14+F14+G14-H14</f>
        <v>0</v>
      </c>
      <c r="J14" s="29">
        <f t="shared" ref="J14:J18" si="7">IF(I14&lt;8,B14,C14)*I14*D14/52</f>
        <v>0</v>
      </c>
      <c r="K14" s="30">
        <f t="shared" ref="K14:K18" si="8">G14/2*D14/52</f>
        <v>17.307692307692307</v>
      </c>
      <c r="L14" s="30">
        <f t="shared" ref="L14:L18" si="9">J14+K14</f>
        <v>17.307692307692307</v>
      </c>
      <c r="M14" s="3"/>
      <c r="N14" s="35"/>
      <c r="O14" s="35"/>
      <c r="P14" s="35" t="s">
        <v>104</v>
      </c>
      <c r="R14" t="s">
        <v>102</v>
      </c>
      <c r="S14" s="34">
        <f>SUM(O16:O18)*G14/2</f>
        <v>15942</v>
      </c>
      <c r="T14" s="34">
        <f>SUM(O16:O18)*I14*IF(I14&lt;8,B14,C14)</f>
        <v>0</v>
      </c>
      <c r="U14" s="27">
        <f t="shared" ref="U14:U17" si="10">SUM(S14:T14)*D14</f>
        <v>7173900</v>
      </c>
      <c r="V14" s="2"/>
    </row>
    <row r="15" spans="1:24" ht="17" customHeight="1" x14ac:dyDescent="0.2">
      <c r="A15" s="46" t="s">
        <v>100</v>
      </c>
      <c r="B15" s="26">
        <v>0.78</v>
      </c>
      <c r="C15" s="26">
        <v>0.39</v>
      </c>
      <c r="D15" s="27">
        <v>1000</v>
      </c>
      <c r="E15" s="25">
        <f>MAX(H13,H14)</f>
        <v>22</v>
      </c>
      <c r="F15" s="25">
        <v>3</v>
      </c>
      <c r="G15" s="25">
        <v>1</v>
      </c>
      <c r="H15" s="28">
        <v>26</v>
      </c>
      <c r="I15" s="28">
        <f t="shared" si="6"/>
        <v>0</v>
      </c>
      <c r="J15" s="29">
        <f t="shared" si="7"/>
        <v>0</v>
      </c>
      <c r="K15" s="30">
        <f t="shared" si="8"/>
        <v>9.615384615384615</v>
      </c>
      <c r="L15" s="30">
        <f t="shared" si="9"/>
        <v>9.615384615384615</v>
      </c>
      <c r="M15" s="3"/>
      <c r="N15" s="35" t="s">
        <v>71</v>
      </c>
      <c r="O15" s="35" t="s">
        <v>103</v>
      </c>
      <c r="P15" s="35" t="s">
        <v>105</v>
      </c>
      <c r="R15" s="1" t="s">
        <v>100</v>
      </c>
      <c r="S15" s="34">
        <f>SUM(O16:O18)*G15/2</f>
        <v>3985.5</v>
      </c>
      <c r="T15" s="34">
        <f>SUM(O16:O18)*I15*IF(I15&lt;8,B15,C15)</f>
        <v>0</v>
      </c>
      <c r="U15" s="27">
        <f t="shared" si="10"/>
        <v>3985500</v>
      </c>
      <c r="V15" s="24" t="s">
        <v>90</v>
      </c>
      <c r="X15" s="1" t="s">
        <v>70</v>
      </c>
    </row>
    <row r="16" spans="1:24" x14ac:dyDescent="0.2">
      <c r="A16" s="36" t="s">
        <v>97</v>
      </c>
      <c r="B16" s="26">
        <f>2*C16</f>
        <v>0.6</v>
      </c>
      <c r="C16" s="26">
        <v>0.3</v>
      </c>
      <c r="D16" s="27">
        <v>1000</v>
      </c>
      <c r="E16" s="25">
        <f>H15</f>
        <v>26</v>
      </c>
      <c r="F16" s="25">
        <v>0</v>
      </c>
      <c r="G16" s="25">
        <v>1</v>
      </c>
      <c r="H16" s="28">
        <v>0</v>
      </c>
      <c r="I16" s="28">
        <f t="shared" si="6"/>
        <v>27</v>
      </c>
      <c r="J16" s="29">
        <f t="shared" si="7"/>
        <v>155.76923076923077</v>
      </c>
      <c r="K16" s="30">
        <f t="shared" si="8"/>
        <v>9.615384615384615</v>
      </c>
      <c r="L16" s="30">
        <f t="shared" si="9"/>
        <v>165.38461538461539</v>
      </c>
      <c r="M16" s="3"/>
      <c r="N16" s="36" t="s">
        <v>7</v>
      </c>
      <c r="O16" s="36">
        <v>2028</v>
      </c>
      <c r="P16" s="37">
        <f>L16+SUM(L13:L15)</f>
        <v>194.23076923076923</v>
      </c>
      <c r="R16" t="s">
        <v>97</v>
      </c>
      <c r="S16" s="34">
        <f>O16*G16/2</f>
        <v>1014</v>
      </c>
      <c r="T16" s="34">
        <f>O16*I16*IF(I16&lt;8,B16,C16)</f>
        <v>16426.8</v>
      </c>
      <c r="U16" s="27">
        <f t="shared" si="10"/>
        <v>17440800</v>
      </c>
      <c r="V16" s="23" t="s">
        <v>7</v>
      </c>
      <c r="W16" s="27">
        <f>U16+SUM(U13:U15)*O16/SUM(O16:O18)</f>
        <v>20482800</v>
      </c>
      <c r="X16" s="33">
        <f>W16/O16/52</f>
        <v>194.23076923076923</v>
      </c>
    </row>
    <row r="17" spans="1:24" x14ac:dyDescent="0.2">
      <c r="A17" s="36" t="s">
        <v>98</v>
      </c>
      <c r="B17" s="26">
        <f>2*C17</f>
        <v>1.8</v>
      </c>
      <c r="C17" s="26">
        <v>0.9</v>
      </c>
      <c r="D17" s="27">
        <v>1000</v>
      </c>
      <c r="E17" s="25">
        <f>H15</f>
        <v>26</v>
      </c>
      <c r="F17" s="25">
        <v>0</v>
      </c>
      <c r="G17" s="25">
        <v>1</v>
      </c>
      <c r="H17" s="28">
        <v>0</v>
      </c>
      <c r="I17" s="28">
        <f t="shared" si="6"/>
        <v>27</v>
      </c>
      <c r="J17" s="29">
        <f t="shared" si="7"/>
        <v>467.30769230769232</v>
      </c>
      <c r="K17" s="30">
        <f t="shared" si="8"/>
        <v>9.615384615384615</v>
      </c>
      <c r="L17" s="30">
        <f t="shared" si="9"/>
        <v>476.92307692307696</v>
      </c>
      <c r="M17" s="3"/>
      <c r="N17" s="36" t="s">
        <v>8</v>
      </c>
      <c r="O17" s="36">
        <v>2762</v>
      </c>
      <c r="P17" s="37">
        <f>L17+SUM(L13:L15)</f>
        <v>505.76923076923083</v>
      </c>
      <c r="R17" t="s">
        <v>98</v>
      </c>
      <c r="S17" s="34">
        <f>O17*G17/2</f>
        <v>1381</v>
      </c>
      <c r="T17" s="34">
        <f>O17*I17*IF(I17&lt;8,B17,C17)</f>
        <v>67116.600000000006</v>
      </c>
      <c r="U17" s="27">
        <f t="shared" si="10"/>
        <v>68497600</v>
      </c>
      <c r="V17" s="23" t="s">
        <v>8</v>
      </c>
      <c r="W17" s="27">
        <f>U17+SUM(U13:U15)*O17/SUM(O16:O18)</f>
        <v>72640600</v>
      </c>
      <c r="X17" s="33">
        <f>W17/O17/52</f>
        <v>505.76923076923077</v>
      </c>
    </row>
    <row r="18" spans="1:24" x14ac:dyDescent="0.2">
      <c r="A18" s="36" t="s">
        <v>99</v>
      </c>
      <c r="B18" s="26">
        <v>0</v>
      </c>
      <c r="C18" s="26">
        <v>0</v>
      </c>
      <c r="D18" s="27">
        <v>1000</v>
      </c>
      <c r="E18" s="25">
        <f>H15</f>
        <v>26</v>
      </c>
      <c r="F18" s="25">
        <v>0</v>
      </c>
      <c r="G18" s="25">
        <v>13</v>
      </c>
      <c r="H18" s="28">
        <f>E18+F18+G18</f>
        <v>39</v>
      </c>
      <c r="I18" s="28">
        <f t="shared" si="6"/>
        <v>0</v>
      </c>
      <c r="J18" s="29">
        <f t="shared" si="7"/>
        <v>0</v>
      </c>
      <c r="K18" s="30">
        <f t="shared" si="8"/>
        <v>125</v>
      </c>
      <c r="L18" s="30">
        <f t="shared" si="9"/>
        <v>125</v>
      </c>
      <c r="M18" s="3"/>
      <c r="N18" s="36" t="s">
        <v>18</v>
      </c>
      <c r="O18" s="36">
        <v>3181</v>
      </c>
      <c r="P18" s="69">
        <f>L18+SUM(L13:L15)</f>
        <v>153.84615384615384</v>
      </c>
      <c r="R18" t="s">
        <v>99</v>
      </c>
      <c r="S18" s="34">
        <f>O18*G18/2</f>
        <v>20676.5</v>
      </c>
      <c r="T18" s="34">
        <f>O18*I18*IF(I18&lt;8,B18,C18)</f>
        <v>0</v>
      </c>
      <c r="U18" s="27">
        <f t="shared" ref="U18" si="11">SUM(S18:T18)*D18</f>
        <v>20676500</v>
      </c>
      <c r="V18" s="23" t="s">
        <v>71</v>
      </c>
      <c r="W18" s="27">
        <f>U18+SUM(U13:U15)*O18/SUM(O16:O18)</f>
        <v>25448000</v>
      </c>
      <c r="X18" s="33">
        <f>W18/O18/52</f>
        <v>153.84615384615384</v>
      </c>
    </row>
    <row r="19" spans="1:24" x14ac:dyDescent="0.2">
      <c r="O19" s="23" t="s">
        <v>30</v>
      </c>
      <c r="P19" s="38">
        <f>SUMPRODUCT(P16:P18,O16:O18)/SUM(O16:O18)</f>
        <v>286.0643872499349</v>
      </c>
    </row>
    <row r="20" spans="1:24" x14ac:dyDescent="0.2">
      <c r="A20" s="4" t="s">
        <v>86</v>
      </c>
    </row>
    <row r="21" spans="1:24" ht="49" customHeight="1" x14ac:dyDescent="0.2">
      <c r="A21" s="35" t="s">
        <v>0</v>
      </c>
      <c r="B21" s="1" t="s">
        <v>22</v>
      </c>
      <c r="C21" s="1" t="s">
        <v>23</v>
      </c>
      <c r="D21" s="1" t="s">
        <v>24</v>
      </c>
      <c r="E21" s="1" t="s">
        <v>14</v>
      </c>
      <c r="F21" s="1" t="s">
        <v>9</v>
      </c>
      <c r="G21" s="1" t="s">
        <v>11</v>
      </c>
      <c r="H21" s="5" t="s">
        <v>13</v>
      </c>
      <c r="I21" s="5" t="s">
        <v>20</v>
      </c>
      <c r="J21" s="5" t="s">
        <v>25</v>
      </c>
      <c r="K21" s="5" t="s">
        <v>26</v>
      </c>
      <c r="L21" s="5" t="s">
        <v>21</v>
      </c>
      <c r="M21" s="1"/>
      <c r="S21" s="5" t="s">
        <v>91</v>
      </c>
      <c r="T21" s="5" t="s">
        <v>92</v>
      </c>
      <c r="U21" s="5" t="s">
        <v>93</v>
      </c>
    </row>
    <row r="22" spans="1:24" x14ac:dyDescent="0.2">
      <c r="A22" s="36" t="s">
        <v>101</v>
      </c>
      <c r="B22" s="26">
        <v>0.62</v>
      </c>
      <c r="C22" s="26">
        <v>0.31</v>
      </c>
      <c r="D22" s="27">
        <v>50</v>
      </c>
      <c r="E22" s="25">
        <v>0</v>
      </c>
      <c r="F22" s="25">
        <v>18</v>
      </c>
      <c r="G22" s="25">
        <v>4</v>
      </c>
      <c r="H22" s="28">
        <v>9</v>
      </c>
      <c r="I22" s="28">
        <f>E22+F22+G22-H22</f>
        <v>13</v>
      </c>
      <c r="J22" s="29">
        <f>IF(I22&lt;8,B22,C22)*I22*D22/52</f>
        <v>3.875</v>
      </c>
      <c r="K22" s="30">
        <f>G22/2*D22/52</f>
        <v>1.9230769230769231</v>
      </c>
      <c r="L22" s="30">
        <f>J22+K22</f>
        <v>5.7980769230769234</v>
      </c>
      <c r="M22" s="3"/>
      <c r="R22" t="s">
        <v>101</v>
      </c>
      <c r="S22" s="34">
        <f>SUM(O25:O27)*G22/2</f>
        <v>15942</v>
      </c>
      <c r="T22" s="34">
        <f>SUM(O25:O27)*I22*IF(I22&lt;8,B22,C22)</f>
        <v>32123.13</v>
      </c>
      <c r="U22" s="27">
        <f>SUM(S22:T22)*D22</f>
        <v>2403256.5</v>
      </c>
      <c r="V22" s="2"/>
    </row>
    <row r="23" spans="1:24" x14ac:dyDescent="0.2">
      <c r="A23" s="36" t="s">
        <v>102</v>
      </c>
      <c r="B23" s="26">
        <v>0.62</v>
      </c>
      <c r="C23" s="26">
        <v>0.31</v>
      </c>
      <c r="D23" s="27">
        <v>450</v>
      </c>
      <c r="E23" s="25">
        <v>0</v>
      </c>
      <c r="F23" s="25">
        <v>5</v>
      </c>
      <c r="G23" s="25">
        <v>4</v>
      </c>
      <c r="H23" s="28">
        <v>9</v>
      </c>
      <c r="I23" s="28">
        <f t="shared" ref="I23:I27" si="12">E23+F23+G23-H23</f>
        <v>0</v>
      </c>
      <c r="J23" s="29">
        <f t="shared" ref="J23:J27" si="13">IF(I23&lt;8,B23,C23)*I23*D23/52</f>
        <v>0</v>
      </c>
      <c r="K23" s="30">
        <f t="shared" ref="K23:K27" si="14">G23/2*D23/52</f>
        <v>17.307692307692307</v>
      </c>
      <c r="L23" s="30">
        <f t="shared" ref="L23:L27" si="15">J23+K23</f>
        <v>17.307692307692307</v>
      </c>
      <c r="M23" s="3"/>
      <c r="N23" s="35"/>
      <c r="O23" s="35"/>
      <c r="P23" s="35" t="s">
        <v>104</v>
      </c>
      <c r="R23" t="s">
        <v>102</v>
      </c>
      <c r="S23" s="34">
        <f>SUM(O25:O27)*G23/2</f>
        <v>15942</v>
      </c>
      <c r="T23" s="34">
        <f>SUM(O25:O27)*I23*IF(I23&lt;8,B23,C23)</f>
        <v>0</v>
      </c>
      <c r="U23" s="27">
        <f t="shared" ref="U23:U26" si="16">SUM(S23:T23)*D23</f>
        <v>7173900</v>
      </c>
      <c r="V23" s="2"/>
    </row>
    <row r="24" spans="1:24" ht="16" customHeight="1" x14ac:dyDescent="0.2">
      <c r="A24" s="46" t="s">
        <v>100</v>
      </c>
      <c r="B24" s="26">
        <v>0.78</v>
      </c>
      <c r="C24" s="26">
        <v>0.39</v>
      </c>
      <c r="D24" s="27">
        <v>1000</v>
      </c>
      <c r="E24" s="25">
        <f>MAX(H22,H23)</f>
        <v>9</v>
      </c>
      <c r="F24" s="25">
        <v>3</v>
      </c>
      <c r="G24" s="25">
        <v>1</v>
      </c>
      <c r="H24" s="28">
        <v>13</v>
      </c>
      <c r="I24" s="28">
        <f t="shared" si="12"/>
        <v>0</v>
      </c>
      <c r="J24" s="29">
        <f t="shared" si="13"/>
        <v>0</v>
      </c>
      <c r="K24" s="30">
        <f t="shared" si="14"/>
        <v>9.615384615384615</v>
      </c>
      <c r="L24" s="30">
        <f t="shared" si="15"/>
        <v>9.615384615384615</v>
      </c>
      <c r="M24" s="3"/>
      <c r="N24" s="35" t="s">
        <v>71</v>
      </c>
      <c r="O24" s="35" t="s">
        <v>103</v>
      </c>
      <c r="P24" s="35" t="s">
        <v>105</v>
      </c>
      <c r="R24" s="1" t="s">
        <v>100</v>
      </c>
      <c r="S24" s="34">
        <f>SUM(O25:O27)*G24/2</f>
        <v>3985.5</v>
      </c>
      <c r="T24" s="34">
        <f>SUM(O25:O27)*I24*IF(I24&lt;8,B24,C24)</f>
        <v>0</v>
      </c>
      <c r="U24" s="27">
        <f t="shared" si="16"/>
        <v>3985500</v>
      </c>
      <c r="V24" s="24" t="s">
        <v>90</v>
      </c>
      <c r="X24" s="1" t="s">
        <v>70</v>
      </c>
    </row>
    <row r="25" spans="1:24" x14ac:dyDescent="0.2">
      <c r="A25" s="36" t="s">
        <v>97</v>
      </c>
      <c r="B25" s="26">
        <f>2*C25</f>
        <v>0.6</v>
      </c>
      <c r="C25" s="26">
        <v>0.3</v>
      </c>
      <c r="D25" s="27">
        <v>1000</v>
      </c>
      <c r="E25" s="25">
        <f>H24</f>
        <v>13</v>
      </c>
      <c r="F25" s="25">
        <v>0</v>
      </c>
      <c r="G25" s="25">
        <v>1</v>
      </c>
      <c r="H25" s="28">
        <v>0</v>
      </c>
      <c r="I25" s="28">
        <f t="shared" si="12"/>
        <v>14</v>
      </c>
      <c r="J25" s="29">
        <f t="shared" si="13"/>
        <v>80.769230769230774</v>
      </c>
      <c r="K25" s="30">
        <f t="shared" si="14"/>
        <v>9.615384615384615</v>
      </c>
      <c r="L25" s="30">
        <f t="shared" si="15"/>
        <v>90.384615384615387</v>
      </c>
      <c r="M25" s="3"/>
      <c r="N25" s="36" t="s">
        <v>7</v>
      </c>
      <c r="O25" s="36">
        <v>2028</v>
      </c>
      <c r="P25" s="37">
        <f>L25+SUM(L22:L24)</f>
        <v>123.10576923076923</v>
      </c>
      <c r="R25" t="s">
        <v>97</v>
      </c>
      <c r="S25" s="34">
        <f>O25*G25/2</f>
        <v>1014</v>
      </c>
      <c r="T25" s="34">
        <f>O25*I25*IF(I25&lt;8,B25,C25)</f>
        <v>8517.6</v>
      </c>
      <c r="U25" s="27">
        <f t="shared" si="16"/>
        <v>9531600</v>
      </c>
      <c r="V25" s="23" t="s">
        <v>7</v>
      </c>
      <c r="W25" s="27">
        <f>U25+SUM(U22:U24)*O25/SUM(O25:O27)</f>
        <v>12982242</v>
      </c>
      <c r="X25" s="33">
        <f>W25/O25/52</f>
        <v>123.10576923076923</v>
      </c>
    </row>
    <row r="26" spans="1:24" x14ac:dyDescent="0.2">
      <c r="A26" s="36" t="s">
        <v>98</v>
      </c>
      <c r="B26" s="26">
        <f>2*C26</f>
        <v>1.8</v>
      </c>
      <c r="C26" s="26">
        <v>0.9</v>
      </c>
      <c r="D26" s="27">
        <v>1000</v>
      </c>
      <c r="E26" s="25">
        <f>H24</f>
        <v>13</v>
      </c>
      <c r="F26" s="25">
        <v>0</v>
      </c>
      <c r="G26" s="25">
        <v>1</v>
      </c>
      <c r="H26" s="28">
        <v>0</v>
      </c>
      <c r="I26" s="28">
        <f t="shared" si="12"/>
        <v>14</v>
      </c>
      <c r="J26" s="29">
        <f t="shared" si="13"/>
        <v>242.30769230769232</v>
      </c>
      <c r="K26" s="30">
        <f t="shared" si="14"/>
        <v>9.615384615384615</v>
      </c>
      <c r="L26" s="30">
        <f t="shared" si="15"/>
        <v>251.92307692307693</v>
      </c>
      <c r="M26" s="3"/>
      <c r="N26" s="36" t="s">
        <v>8</v>
      </c>
      <c r="O26" s="36">
        <v>2762</v>
      </c>
      <c r="P26" s="37">
        <f>L26+SUM(L22:L24)</f>
        <v>284.64423076923077</v>
      </c>
      <c r="R26" t="s">
        <v>98</v>
      </c>
      <c r="S26" s="34">
        <f>O26*G26/2</f>
        <v>1381</v>
      </c>
      <c r="T26" s="34">
        <f>O26*I26*IF(I26&lt;8,B26,C26)</f>
        <v>34801.200000000004</v>
      </c>
      <c r="U26" s="27">
        <f t="shared" si="16"/>
        <v>36182200.000000007</v>
      </c>
      <c r="V26" s="23" t="s">
        <v>8</v>
      </c>
      <c r="W26" s="27">
        <f>U26+SUM(U22:U24)*O26/SUM(O25:O27)</f>
        <v>40881743.000000007</v>
      </c>
      <c r="X26" s="33">
        <f>W26/O26/52</f>
        <v>284.64423076923083</v>
      </c>
    </row>
    <row r="27" spans="1:24" x14ac:dyDescent="0.2">
      <c r="A27" s="36" t="s">
        <v>99</v>
      </c>
      <c r="B27" s="26">
        <v>0</v>
      </c>
      <c r="C27" s="26">
        <v>0</v>
      </c>
      <c r="D27" s="27">
        <v>1000</v>
      </c>
      <c r="E27" s="25">
        <f>H24</f>
        <v>13</v>
      </c>
      <c r="F27" s="25">
        <v>0</v>
      </c>
      <c r="G27" s="25">
        <v>13</v>
      </c>
      <c r="H27" s="28">
        <f>E27+F27+G27</f>
        <v>26</v>
      </c>
      <c r="I27" s="28">
        <f t="shared" si="12"/>
        <v>0</v>
      </c>
      <c r="J27" s="29">
        <f t="shared" si="13"/>
        <v>0</v>
      </c>
      <c r="K27" s="30">
        <f t="shared" si="14"/>
        <v>125</v>
      </c>
      <c r="L27" s="30">
        <f t="shared" si="15"/>
        <v>125</v>
      </c>
      <c r="M27" s="3"/>
      <c r="N27" s="36" t="s">
        <v>18</v>
      </c>
      <c r="O27" s="36">
        <v>3181</v>
      </c>
      <c r="P27" s="69">
        <f>L27+SUM(L22:L24)</f>
        <v>157.72115384615384</v>
      </c>
      <c r="R27" t="s">
        <v>99</v>
      </c>
      <c r="S27" s="34">
        <f>O27*G27/2</f>
        <v>20676.5</v>
      </c>
      <c r="T27" s="34">
        <f>O27*I27*IF(I27&lt;8,B27,C27)</f>
        <v>0</v>
      </c>
      <c r="U27" s="27">
        <f t="shared" ref="U27" si="17">SUM(S27:T27)*D27</f>
        <v>20676500</v>
      </c>
      <c r="V27" s="23" t="s">
        <v>71</v>
      </c>
      <c r="W27" s="27">
        <f>U27+SUM(U22:U24)*O27/SUM(O25:O27)</f>
        <v>26088971.5</v>
      </c>
      <c r="X27" s="33">
        <f>W27/O27/52</f>
        <v>157.72115384615384</v>
      </c>
    </row>
    <row r="28" spans="1:24" x14ac:dyDescent="0.2">
      <c r="O28" s="23" t="s">
        <v>30</v>
      </c>
      <c r="P28" s="38">
        <f>SUMPRODUCT(P25:P27,O25:O27)/SUM(O25:O27)</f>
        <v>192.89384716713471</v>
      </c>
    </row>
    <row r="29" spans="1:24" x14ac:dyDescent="0.2">
      <c r="A29" s="4" t="s">
        <v>87</v>
      </c>
    </row>
    <row r="30" spans="1:24" ht="48" customHeight="1" x14ac:dyDescent="0.2">
      <c r="A30" s="35" t="s">
        <v>0</v>
      </c>
      <c r="B30" s="1" t="s">
        <v>22</v>
      </c>
      <c r="C30" s="1" t="s">
        <v>23</v>
      </c>
      <c r="D30" s="1" t="s">
        <v>24</v>
      </c>
      <c r="E30" s="1" t="s">
        <v>14</v>
      </c>
      <c r="F30" s="1" t="s">
        <v>9</v>
      </c>
      <c r="G30" s="1" t="s">
        <v>11</v>
      </c>
      <c r="H30" s="5" t="s">
        <v>13</v>
      </c>
      <c r="I30" s="5" t="s">
        <v>20</v>
      </c>
      <c r="J30" s="5" t="s">
        <v>25</v>
      </c>
      <c r="K30" s="5" t="s">
        <v>26</v>
      </c>
      <c r="L30" s="5" t="s">
        <v>21</v>
      </c>
      <c r="M30" s="1"/>
      <c r="S30" s="5" t="s">
        <v>91</v>
      </c>
      <c r="T30" s="5" t="s">
        <v>92</v>
      </c>
      <c r="U30" s="5" t="s">
        <v>93</v>
      </c>
    </row>
    <row r="31" spans="1:24" x14ac:dyDescent="0.2">
      <c r="A31" s="36" t="s">
        <v>101</v>
      </c>
      <c r="B31" s="26">
        <v>0.62</v>
      </c>
      <c r="C31" s="26">
        <v>0.31</v>
      </c>
      <c r="D31" s="27">
        <v>50</v>
      </c>
      <c r="E31" s="25">
        <v>0</v>
      </c>
      <c r="F31" s="25">
        <v>18</v>
      </c>
      <c r="G31" s="25">
        <v>4</v>
      </c>
      <c r="H31" s="28">
        <v>0</v>
      </c>
      <c r="I31" s="28">
        <f>E31+F31+G31-H31</f>
        <v>22</v>
      </c>
      <c r="J31" s="29">
        <f>IF(I31&lt;8,B31,C31)*I31*D31/52</f>
        <v>6.5576923076923075</v>
      </c>
      <c r="K31" s="30">
        <f>G31/2*D31/52</f>
        <v>1.9230769230769231</v>
      </c>
      <c r="L31" s="30">
        <f>J31+K31</f>
        <v>8.4807692307692299</v>
      </c>
      <c r="M31" s="3"/>
      <c r="R31" t="s">
        <v>101</v>
      </c>
      <c r="S31" s="34">
        <f>SUM(O34:O36)*G31/2</f>
        <v>15942</v>
      </c>
      <c r="T31" s="34">
        <f>SUM(O34:O36)*I31*IF(I31&lt;8,B31,C31)</f>
        <v>54362.22</v>
      </c>
      <c r="U31" s="27">
        <f>SUM(S31:T31)*D31</f>
        <v>3515211</v>
      </c>
      <c r="V31" s="2"/>
    </row>
    <row r="32" spans="1:24" x14ac:dyDescent="0.2">
      <c r="A32" s="36" t="s">
        <v>102</v>
      </c>
      <c r="B32" s="26">
        <v>0.62</v>
      </c>
      <c r="C32" s="26">
        <v>0.31</v>
      </c>
      <c r="D32" s="27">
        <v>450</v>
      </c>
      <c r="E32" s="25">
        <v>0</v>
      </c>
      <c r="F32" s="25">
        <v>5</v>
      </c>
      <c r="G32" s="25">
        <v>4</v>
      </c>
      <c r="H32" s="28">
        <v>0</v>
      </c>
      <c r="I32" s="28">
        <f t="shared" ref="I32:I36" si="18">E32+F32+G32-H32</f>
        <v>9</v>
      </c>
      <c r="J32" s="29">
        <f t="shared" ref="J32:J36" si="19">IF(I32&lt;8,B32,C32)*I32*D32/52</f>
        <v>24.14423076923077</v>
      </c>
      <c r="K32" s="30">
        <f t="shared" ref="K32:K36" si="20">G32/2*D32/52</f>
        <v>17.307692307692307</v>
      </c>
      <c r="L32" s="30">
        <f t="shared" ref="L32:L36" si="21">J32+K32</f>
        <v>41.45192307692308</v>
      </c>
      <c r="M32" s="3"/>
      <c r="N32" s="35"/>
      <c r="O32" s="35"/>
      <c r="P32" s="35" t="s">
        <v>104</v>
      </c>
      <c r="R32" t="s">
        <v>102</v>
      </c>
      <c r="S32" s="34">
        <f>SUM(O34:O36)*G32/2</f>
        <v>15942</v>
      </c>
      <c r="T32" s="34">
        <f>SUM(O34:O36)*I32*IF(I32&lt;8,B32,C32)</f>
        <v>22239.09</v>
      </c>
      <c r="U32" s="27">
        <f t="shared" ref="U32:U35" si="22">SUM(S32:T32)*D32</f>
        <v>17181490.5</v>
      </c>
      <c r="V32" s="2"/>
    </row>
    <row r="33" spans="1:24" ht="17" customHeight="1" x14ac:dyDescent="0.2">
      <c r="A33" s="46" t="s">
        <v>100</v>
      </c>
      <c r="B33" s="26">
        <v>0.78</v>
      </c>
      <c r="C33" s="26">
        <v>0.39</v>
      </c>
      <c r="D33" s="27">
        <v>1000</v>
      </c>
      <c r="E33" s="25">
        <f>MAX(H31,H32)</f>
        <v>0</v>
      </c>
      <c r="F33" s="25">
        <v>3</v>
      </c>
      <c r="G33" s="25">
        <v>1</v>
      </c>
      <c r="H33" s="28">
        <v>4</v>
      </c>
      <c r="I33" s="28">
        <f t="shared" si="18"/>
        <v>0</v>
      </c>
      <c r="J33" s="29">
        <f t="shared" si="19"/>
        <v>0</v>
      </c>
      <c r="K33" s="30">
        <f t="shared" si="20"/>
        <v>9.615384615384615</v>
      </c>
      <c r="L33" s="30">
        <f t="shared" si="21"/>
        <v>9.615384615384615</v>
      </c>
      <c r="M33" s="3"/>
      <c r="N33" s="35" t="s">
        <v>71</v>
      </c>
      <c r="O33" s="35" t="s">
        <v>103</v>
      </c>
      <c r="P33" s="35" t="s">
        <v>105</v>
      </c>
      <c r="R33" s="1" t="s">
        <v>100</v>
      </c>
      <c r="S33" s="34">
        <f>SUM(O34:O36)*G33/2</f>
        <v>3985.5</v>
      </c>
      <c r="T33" s="34">
        <f>SUM(O34:O36)*I33*IF(I33&lt;8,B33,C33)</f>
        <v>0</v>
      </c>
      <c r="U33" s="27">
        <f t="shared" si="22"/>
        <v>3985500</v>
      </c>
      <c r="V33" s="24" t="s">
        <v>90</v>
      </c>
      <c r="X33" s="1" t="s">
        <v>70</v>
      </c>
    </row>
    <row r="34" spans="1:24" x14ac:dyDescent="0.2">
      <c r="A34" s="36" t="s">
        <v>97</v>
      </c>
      <c r="B34" s="26">
        <f>2*C34</f>
        <v>0.6</v>
      </c>
      <c r="C34" s="26">
        <v>0.3</v>
      </c>
      <c r="D34" s="27">
        <v>1000</v>
      </c>
      <c r="E34" s="25">
        <f>H33</f>
        <v>4</v>
      </c>
      <c r="F34" s="25">
        <v>0</v>
      </c>
      <c r="G34" s="25">
        <v>1</v>
      </c>
      <c r="H34" s="28">
        <v>0</v>
      </c>
      <c r="I34" s="28">
        <f t="shared" si="18"/>
        <v>5</v>
      </c>
      <c r="J34" s="29">
        <f t="shared" si="19"/>
        <v>57.692307692307693</v>
      </c>
      <c r="K34" s="30">
        <f t="shared" si="20"/>
        <v>9.615384615384615</v>
      </c>
      <c r="L34" s="30">
        <f t="shared" si="21"/>
        <v>67.307692307692307</v>
      </c>
      <c r="M34" s="3"/>
      <c r="N34" s="36" t="s">
        <v>7</v>
      </c>
      <c r="O34" s="36">
        <v>2028</v>
      </c>
      <c r="P34" s="37">
        <f>L34+SUM(L31:L33)</f>
        <v>126.85576923076923</v>
      </c>
      <c r="R34" t="s">
        <v>97</v>
      </c>
      <c r="S34" s="34">
        <f>O34*G34/2</f>
        <v>1014</v>
      </c>
      <c r="T34" s="34">
        <f>O34*I34*IF(I34&lt;8,B34,C34)</f>
        <v>6084</v>
      </c>
      <c r="U34" s="27">
        <f t="shared" si="22"/>
        <v>7098000</v>
      </c>
      <c r="V34" s="23" t="s">
        <v>7</v>
      </c>
      <c r="W34" s="27">
        <f>U34+SUM(U31:U33)*O34/SUM(O34:O36)</f>
        <v>13377702</v>
      </c>
      <c r="X34" s="33">
        <f>W34/O34/52</f>
        <v>126.85576923076923</v>
      </c>
    </row>
    <row r="35" spans="1:24" x14ac:dyDescent="0.2">
      <c r="A35" s="36" t="s">
        <v>98</v>
      </c>
      <c r="B35" s="26">
        <f>2*C35</f>
        <v>1.8</v>
      </c>
      <c r="C35" s="26">
        <v>0.9</v>
      </c>
      <c r="D35" s="27">
        <v>1000</v>
      </c>
      <c r="E35" s="25">
        <f>H33</f>
        <v>4</v>
      </c>
      <c r="F35" s="25">
        <v>0</v>
      </c>
      <c r="G35" s="25">
        <v>1</v>
      </c>
      <c r="H35" s="28">
        <v>0</v>
      </c>
      <c r="I35" s="28">
        <f t="shared" si="18"/>
        <v>5</v>
      </c>
      <c r="J35" s="29">
        <f t="shared" si="19"/>
        <v>173.07692307692307</v>
      </c>
      <c r="K35" s="30">
        <f t="shared" si="20"/>
        <v>9.615384615384615</v>
      </c>
      <c r="L35" s="30">
        <f t="shared" si="21"/>
        <v>182.69230769230768</v>
      </c>
      <c r="M35" s="3"/>
      <c r="N35" s="36" t="s">
        <v>8</v>
      </c>
      <c r="O35" s="36">
        <v>2762</v>
      </c>
      <c r="P35" s="37">
        <f>L35+SUM(L31:L33)</f>
        <v>242.24038461538458</v>
      </c>
      <c r="R35" t="s">
        <v>98</v>
      </c>
      <c r="S35" s="34">
        <f>O35*G35/2</f>
        <v>1381</v>
      </c>
      <c r="T35" s="34">
        <f>O35*I35*IF(I35&lt;8,B35,C35)</f>
        <v>24858</v>
      </c>
      <c r="U35" s="27">
        <f t="shared" si="22"/>
        <v>26239000</v>
      </c>
      <c r="V35" s="23" t="s">
        <v>8</v>
      </c>
      <c r="W35" s="27">
        <f>U35+SUM(U31:U33)*O35/SUM(O34:O36)</f>
        <v>34791533</v>
      </c>
      <c r="X35" s="33">
        <f>W35/O35/52</f>
        <v>242.24038461538461</v>
      </c>
    </row>
    <row r="36" spans="1:24" x14ac:dyDescent="0.2">
      <c r="A36" s="36" t="s">
        <v>99</v>
      </c>
      <c r="B36" s="26">
        <v>0</v>
      </c>
      <c r="C36" s="26">
        <v>0</v>
      </c>
      <c r="D36" s="27">
        <v>1000</v>
      </c>
      <c r="E36" s="25">
        <f>H33</f>
        <v>4</v>
      </c>
      <c r="F36" s="25">
        <v>0</v>
      </c>
      <c r="G36" s="25">
        <v>13</v>
      </c>
      <c r="H36" s="28">
        <f>E36+F36+G36</f>
        <v>17</v>
      </c>
      <c r="I36" s="28">
        <f t="shared" si="18"/>
        <v>0</v>
      </c>
      <c r="J36" s="29">
        <f t="shared" si="19"/>
        <v>0</v>
      </c>
      <c r="K36" s="30">
        <f t="shared" si="20"/>
        <v>125</v>
      </c>
      <c r="L36" s="30">
        <f t="shared" si="21"/>
        <v>125</v>
      </c>
      <c r="M36" s="3"/>
      <c r="N36" s="36" t="s">
        <v>18</v>
      </c>
      <c r="O36" s="36">
        <v>3181</v>
      </c>
      <c r="P36" s="37">
        <f>L36+SUM(L31:L33)</f>
        <v>184.54807692307691</v>
      </c>
      <c r="R36" t="s">
        <v>99</v>
      </c>
      <c r="S36" s="34">
        <f>O36*G36/2</f>
        <v>20676.5</v>
      </c>
      <c r="T36" s="34">
        <f>O36*I36*IF(I36&lt;8,B36,C36)</f>
        <v>0</v>
      </c>
      <c r="U36" s="27">
        <f t="shared" ref="U36" si="23">SUM(S36:T36)*D36</f>
        <v>20676500</v>
      </c>
      <c r="V36" s="23" t="s">
        <v>71</v>
      </c>
      <c r="W36" s="27">
        <f>U36+SUM(U31:U33)*O36/SUM(O34:O36)</f>
        <v>30526466.5</v>
      </c>
      <c r="X36" s="33">
        <f>W36/O36/52</f>
        <v>184.54807692307693</v>
      </c>
    </row>
    <row r="37" spans="1:24" x14ac:dyDescent="0.2">
      <c r="O37" s="23" t="s">
        <v>30</v>
      </c>
      <c r="P37" s="38">
        <f>SUMPRODUCT(P34:P36,O34:O36)/SUM(O34:O36)</f>
        <v>189.86060406473467</v>
      </c>
    </row>
    <row r="39" spans="1:24" x14ac:dyDescent="0.2">
      <c r="A39" t="s">
        <v>72</v>
      </c>
      <c r="D39" t="s">
        <v>74</v>
      </c>
    </row>
    <row r="40" spans="1:24" x14ac:dyDescent="0.2">
      <c r="A40" s="23" t="s">
        <v>71</v>
      </c>
      <c r="B40" t="s">
        <v>27</v>
      </c>
      <c r="C40" t="s">
        <v>28</v>
      </c>
      <c r="D40" t="s">
        <v>29</v>
      </c>
      <c r="E40" t="str">
        <f>"4-1"</f>
        <v>4-1</v>
      </c>
    </row>
    <row r="41" spans="1:24" x14ac:dyDescent="0.2">
      <c r="A41" s="23" t="s">
        <v>7</v>
      </c>
      <c r="B41" s="31">
        <f>P7</f>
        <v>378.84615384615387</v>
      </c>
      <c r="C41" s="31">
        <f>P16</f>
        <v>194.23076923076923</v>
      </c>
      <c r="D41" s="31">
        <f>P25</f>
        <v>123.10576923076923</v>
      </c>
      <c r="E41" s="31">
        <f>P34</f>
        <v>126.85576923076923</v>
      </c>
    </row>
    <row r="42" spans="1:24" x14ac:dyDescent="0.2">
      <c r="A42" s="23" t="s">
        <v>8</v>
      </c>
      <c r="B42" s="31">
        <f t="shared" ref="B42:B43" si="24">P8</f>
        <v>828.84615384615381</v>
      </c>
      <c r="C42" s="31">
        <f t="shared" ref="C42:C43" si="25">P17</f>
        <v>505.76923076923083</v>
      </c>
      <c r="D42" s="31">
        <f t="shared" ref="D42:D43" si="26">P26</f>
        <v>284.64423076923077</v>
      </c>
      <c r="E42" s="31">
        <f t="shared" ref="E42:E43" si="27">P35</f>
        <v>242.24038461538458</v>
      </c>
    </row>
    <row r="43" spans="1:24" x14ac:dyDescent="0.2">
      <c r="A43" s="23" t="s">
        <v>18</v>
      </c>
      <c r="B43" s="31">
        <f t="shared" si="24"/>
        <v>153.84615384615384</v>
      </c>
      <c r="C43" s="31">
        <f t="shared" si="25"/>
        <v>153.84615384615384</v>
      </c>
      <c r="D43" s="31">
        <f t="shared" si="26"/>
        <v>157.72115384615384</v>
      </c>
      <c r="E43" s="31">
        <f t="shared" si="27"/>
        <v>184.54807692307691</v>
      </c>
    </row>
    <row r="45" spans="1:24" x14ac:dyDescent="0.2">
      <c r="A45" s="23" t="s">
        <v>106</v>
      </c>
      <c r="B45" s="31">
        <f>SUMPRODUCT(B41:B43,O7:O9)/SUM(O7:O9)</f>
        <v>444.98277409455432</v>
      </c>
      <c r="C45" s="31">
        <f>SUMPRODUCT(C41:C43,O16:O18)/SUM(O16:O18)</f>
        <v>286.0643872499349</v>
      </c>
      <c r="D45" s="31">
        <f>SUMPRODUCT(D41:D43,O25:O27)/SUM(O25:O27)</f>
        <v>192.89384716713471</v>
      </c>
      <c r="E45" s="31">
        <f>SUMPRODUCT(E41:E43,O34:O36)/SUM(O34:O36)</f>
        <v>189.86060406473467</v>
      </c>
    </row>
    <row r="47" spans="1:24" x14ac:dyDescent="0.2">
      <c r="A47" s="4" t="s">
        <v>88</v>
      </c>
    </row>
    <row r="48" spans="1:24" ht="69" customHeight="1" x14ac:dyDescent="0.2">
      <c r="A48" s="35" t="s">
        <v>0</v>
      </c>
      <c r="B48" s="1" t="s">
        <v>22</v>
      </c>
      <c r="C48" s="1" t="s">
        <v>23</v>
      </c>
      <c r="D48" s="1" t="s">
        <v>24</v>
      </c>
      <c r="E48" s="1" t="s">
        <v>14</v>
      </c>
      <c r="F48" s="1" t="s">
        <v>9</v>
      </c>
      <c r="G48" s="1" t="s">
        <v>11</v>
      </c>
      <c r="H48" s="5" t="s">
        <v>13</v>
      </c>
      <c r="I48" s="5" t="s">
        <v>20</v>
      </c>
      <c r="J48" s="5" t="s">
        <v>25</v>
      </c>
      <c r="K48" s="5" t="s">
        <v>26</v>
      </c>
      <c r="L48" s="5" t="s">
        <v>21</v>
      </c>
      <c r="M48" s="1"/>
      <c r="S48" s="5" t="s">
        <v>91</v>
      </c>
      <c r="T48" s="5" t="s">
        <v>92</v>
      </c>
      <c r="U48" s="5" t="s">
        <v>93</v>
      </c>
    </row>
    <row r="49" spans="1:24" x14ac:dyDescent="0.2">
      <c r="A49" s="36" t="s">
        <v>101</v>
      </c>
      <c r="B49" s="26">
        <v>0.62</v>
      </c>
      <c r="C49" s="26">
        <v>0.31</v>
      </c>
      <c r="D49" s="27">
        <v>50</v>
      </c>
      <c r="E49" s="25">
        <v>0</v>
      </c>
      <c r="F49" s="25">
        <v>18</v>
      </c>
      <c r="G49" s="25">
        <v>4</v>
      </c>
      <c r="H49" s="28">
        <v>0</v>
      </c>
      <c r="I49" s="28">
        <f>E49+F49+G49-H49</f>
        <v>22</v>
      </c>
      <c r="J49" s="29">
        <f>IF(I49&lt;8,B49,C49)*I49*D49/52</f>
        <v>6.5576923076923075</v>
      </c>
      <c r="K49" s="30">
        <f>G49/2*D49/52</f>
        <v>1.9230769230769231</v>
      </c>
      <c r="L49" s="30">
        <f>J49+K49</f>
        <v>8.4807692307692299</v>
      </c>
      <c r="M49" s="3"/>
      <c r="R49" t="s">
        <v>101</v>
      </c>
      <c r="S49" s="34">
        <f>SUM(O52:O54)*G49/2</f>
        <v>15942</v>
      </c>
      <c r="T49" s="34">
        <f>SUM(O52:O54)*I49*IF(I49&lt;8,B49,C49)</f>
        <v>54362.22</v>
      </c>
      <c r="U49" s="27">
        <f>SUM(S49:T49)*D49</f>
        <v>3515211</v>
      </c>
      <c r="V49" s="2"/>
    </row>
    <row r="50" spans="1:24" x14ac:dyDescent="0.2">
      <c r="A50" s="36" t="s">
        <v>102</v>
      </c>
      <c r="B50" s="26">
        <v>0.62</v>
      </c>
      <c r="C50" s="26">
        <v>0.31</v>
      </c>
      <c r="D50" s="27">
        <v>450</v>
      </c>
      <c r="E50" s="25">
        <v>0</v>
      </c>
      <c r="F50" s="25">
        <v>5</v>
      </c>
      <c r="G50" s="25">
        <v>4</v>
      </c>
      <c r="H50" s="28">
        <v>0</v>
      </c>
      <c r="I50" s="28">
        <f t="shared" ref="I50:I54" si="28">E50+F50+G50-H50</f>
        <v>9</v>
      </c>
      <c r="J50" s="29">
        <f t="shared" ref="J50:J54" si="29">IF(I50&lt;8,B50,C50)*I50*D50/52</f>
        <v>24.14423076923077</v>
      </c>
      <c r="K50" s="30">
        <f t="shared" ref="K50:K54" si="30">G50/2*D50/52</f>
        <v>17.307692307692307</v>
      </c>
      <c r="L50" s="30">
        <f t="shared" ref="L50:L54" si="31">J50+K50</f>
        <v>41.45192307692308</v>
      </c>
      <c r="M50" s="3"/>
      <c r="N50" s="35"/>
      <c r="O50" s="35"/>
      <c r="P50" s="35" t="s">
        <v>104</v>
      </c>
      <c r="R50" t="s">
        <v>102</v>
      </c>
      <c r="S50" s="34">
        <f>SUM(O52:O54)*G50/2</f>
        <v>15942</v>
      </c>
      <c r="T50" s="34">
        <f>SUM(O52:O54)*I50*IF(I50&lt;8,B50,C50)</f>
        <v>22239.09</v>
      </c>
      <c r="U50" s="27">
        <f t="shared" ref="U50:U53" si="32">SUM(S50:T50)*D50</f>
        <v>17181490.5</v>
      </c>
      <c r="V50" s="2"/>
    </row>
    <row r="51" spans="1:24" ht="17" customHeight="1" x14ac:dyDescent="0.2">
      <c r="A51" s="46" t="s">
        <v>100</v>
      </c>
      <c r="B51" s="26">
        <v>0.78</v>
      </c>
      <c r="C51" s="26">
        <v>0.39</v>
      </c>
      <c r="D51" s="27">
        <v>1000</v>
      </c>
      <c r="E51" s="25">
        <f>MAX(H49,H50)</f>
        <v>0</v>
      </c>
      <c r="F51" s="25">
        <v>3</v>
      </c>
      <c r="G51" s="25">
        <v>1</v>
      </c>
      <c r="H51" s="28">
        <v>0</v>
      </c>
      <c r="I51" s="28">
        <f t="shared" si="28"/>
        <v>4</v>
      </c>
      <c r="J51" s="29">
        <f t="shared" si="29"/>
        <v>60</v>
      </c>
      <c r="K51" s="30">
        <f t="shared" si="30"/>
        <v>9.615384615384615</v>
      </c>
      <c r="L51" s="30">
        <f t="shared" si="31"/>
        <v>69.615384615384613</v>
      </c>
      <c r="M51" s="3"/>
      <c r="N51" s="35" t="s">
        <v>71</v>
      </c>
      <c r="O51" s="35" t="s">
        <v>103</v>
      </c>
      <c r="P51" s="35" t="s">
        <v>105</v>
      </c>
      <c r="R51" s="1" t="s">
        <v>100</v>
      </c>
      <c r="S51" s="34">
        <f>SUM(O52:O54)*G51/2</f>
        <v>3985.5</v>
      </c>
      <c r="T51" s="34">
        <f>SUM(O52:O54)*I51*IF(I51&lt;8,B51,C51)</f>
        <v>24869.52</v>
      </c>
      <c r="U51" s="27">
        <f t="shared" si="32"/>
        <v>28855020</v>
      </c>
      <c r="V51" s="24" t="s">
        <v>90</v>
      </c>
      <c r="X51" s="1" t="s">
        <v>70</v>
      </c>
    </row>
    <row r="52" spans="1:24" x14ac:dyDescent="0.2">
      <c r="A52" s="36" t="s">
        <v>97</v>
      </c>
      <c r="B52" s="26">
        <f>2*C52</f>
        <v>0.6</v>
      </c>
      <c r="C52" s="26">
        <v>0.3</v>
      </c>
      <c r="D52" s="27">
        <v>1000</v>
      </c>
      <c r="E52" s="25">
        <f>H51</f>
        <v>0</v>
      </c>
      <c r="F52" s="25">
        <v>0</v>
      </c>
      <c r="G52" s="25">
        <v>1</v>
      </c>
      <c r="H52" s="28">
        <v>0</v>
      </c>
      <c r="I52" s="28">
        <f t="shared" si="28"/>
        <v>1</v>
      </c>
      <c r="J52" s="29">
        <f t="shared" si="29"/>
        <v>11.538461538461538</v>
      </c>
      <c r="K52" s="30">
        <f t="shared" si="30"/>
        <v>9.615384615384615</v>
      </c>
      <c r="L52" s="30">
        <f t="shared" si="31"/>
        <v>21.153846153846153</v>
      </c>
      <c r="M52" s="3"/>
      <c r="N52" s="36" t="s">
        <v>7</v>
      </c>
      <c r="O52" s="36">
        <v>2028</v>
      </c>
      <c r="P52" s="37">
        <f>L52+SUM(L49:L51)</f>
        <v>140.70192307692307</v>
      </c>
      <c r="R52" t="s">
        <v>97</v>
      </c>
      <c r="S52" s="34">
        <f>O52*G52/2</f>
        <v>1014</v>
      </c>
      <c r="T52" s="34">
        <f>O52*I52*IF(I52&lt;8,B52,C52)</f>
        <v>1216.8</v>
      </c>
      <c r="U52" s="27">
        <f t="shared" si="32"/>
        <v>2230800</v>
      </c>
      <c r="V52" s="23" t="s">
        <v>7</v>
      </c>
      <c r="W52" s="27">
        <f>U52+SUM(U49:U51)*O52/SUM(O52:O54)</f>
        <v>14837862</v>
      </c>
      <c r="X52" s="33">
        <f>W52/O52/52</f>
        <v>140.70192307692307</v>
      </c>
    </row>
    <row r="53" spans="1:24" x14ac:dyDescent="0.2">
      <c r="A53" s="36" t="s">
        <v>98</v>
      </c>
      <c r="B53" s="26">
        <f>2*C53</f>
        <v>1.8</v>
      </c>
      <c r="C53" s="26">
        <v>0.9</v>
      </c>
      <c r="D53" s="27">
        <v>1000</v>
      </c>
      <c r="E53" s="25">
        <f>H51</f>
        <v>0</v>
      </c>
      <c r="F53" s="25">
        <v>0</v>
      </c>
      <c r="G53" s="25">
        <v>1</v>
      </c>
      <c r="H53" s="28">
        <v>0</v>
      </c>
      <c r="I53" s="28">
        <f t="shared" si="28"/>
        <v>1</v>
      </c>
      <c r="J53" s="29">
        <f t="shared" si="29"/>
        <v>34.615384615384613</v>
      </c>
      <c r="K53" s="30">
        <f t="shared" si="30"/>
        <v>9.615384615384615</v>
      </c>
      <c r="L53" s="30">
        <f t="shared" si="31"/>
        <v>44.230769230769226</v>
      </c>
      <c r="M53" s="3"/>
      <c r="N53" s="36" t="s">
        <v>8</v>
      </c>
      <c r="O53" s="36">
        <v>2762</v>
      </c>
      <c r="P53" s="37">
        <f>L53+SUM(L49:L51)</f>
        <v>163.77884615384613</v>
      </c>
      <c r="R53" t="s">
        <v>98</v>
      </c>
      <c r="S53" s="34">
        <f>O53*G53/2</f>
        <v>1381</v>
      </c>
      <c r="T53" s="34">
        <f>O53*I53*IF(I53&lt;8,B53,C53)</f>
        <v>4971.6000000000004</v>
      </c>
      <c r="U53" s="27">
        <f t="shared" si="32"/>
        <v>6352600</v>
      </c>
      <c r="V53" s="23" t="s">
        <v>8</v>
      </c>
      <c r="W53" s="27">
        <f>U53+SUM(U49:U51)*O53/SUM(O52:O54)</f>
        <v>23522573</v>
      </c>
      <c r="X53" s="33">
        <f>W53/O53/52</f>
        <v>163.77884615384616</v>
      </c>
    </row>
    <row r="54" spans="1:24" x14ac:dyDescent="0.2">
      <c r="A54" s="36" t="s">
        <v>99</v>
      </c>
      <c r="B54" s="26">
        <v>0</v>
      </c>
      <c r="C54" s="26">
        <v>0</v>
      </c>
      <c r="D54" s="27">
        <v>1000</v>
      </c>
      <c r="E54" s="25">
        <f>H51</f>
        <v>0</v>
      </c>
      <c r="F54" s="25">
        <v>0</v>
      </c>
      <c r="G54" s="25">
        <v>13</v>
      </c>
      <c r="H54" s="28">
        <f>E54+F54+G54</f>
        <v>13</v>
      </c>
      <c r="I54" s="28">
        <f t="shared" si="28"/>
        <v>0</v>
      </c>
      <c r="J54" s="29">
        <f t="shared" si="29"/>
        <v>0</v>
      </c>
      <c r="K54" s="30">
        <f t="shared" si="30"/>
        <v>125</v>
      </c>
      <c r="L54" s="30">
        <f t="shared" si="31"/>
        <v>125</v>
      </c>
      <c r="M54" s="3"/>
      <c r="N54" s="36" t="s">
        <v>18</v>
      </c>
      <c r="O54" s="36">
        <v>3181</v>
      </c>
      <c r="P54" s="37">
        <f>L54+SUM(L49:L51)</f>
        <v>244.54807692307691</v>
      </c>
      <c r="R54" t="s">
        <v>99</v>
      </c>
      <c r="S54" s="34">
        <f>O54*G54/2</f>
        <v>20676.5</v>
      </c>
      <c r="T54" s="34">
        <f>O54*I54*IF(I54&lt;8,B54,C54)</f>
        <v>0</v>
      </c>
      <c r="U54" s="27">
        <f t="shared" ref="U54" si="33">SUM(S54:T54)*D54</f>
        <v>20676500</v>
      </c>
      <c r="V54" s="23" t="s">
        <v>71</v>
      </c>
      <c r="W54" s="27">
        <f>U54+SUM(U49:U51)*O54/SUM(O52:O54)</f>
        <v>40451186.5</v>
      </c>
      <c r="X54" s="33">
        <f>W54/O54/52</f>
        <v>244.54807692307693</v>
      </c>
    </row>
    <row r="55" spans="1:24" x14ac:dyDescent="0.2">
      <c r="O55" s="23" t="s">
        <v>30</v>
      </c>
      <c r="P55" s="38">
        <f>SUMPRODUCT(P52:P54,O52:O54)/SUM(O52:O54)</f>
        <v>190.14027170608838</v>
      </c>
    </row>
    <row r="57" spans="1:24" x14ac:dyDescent="0.2">
      <c r="A57" t="s">
        <v>72</v>
      </c>
    </row>
    <row r="58" spans="1:24" x14ac:dyDescent="0.2">
      <c r="A58" s="23" t="s">
        <v>71</v>
      </c>
      <c r="B58" t="s">
        <v>27</v>
      </c>
      <c r="C58" t="s">
        <v>28</v>
      </c>
      <c r="D58" t="s">
        <v>29</v>
      </c>
      <c r="E58" t="str">
        <f>"4-1"</f>
        <v>4-1</v>
      </c>
      <c r="F58" t="s">
        <v>73</v>
      </c>
    </row>
    <row r="59" spans="1:24" x14ac:dyDescent="0.2">
      <c r="A59" s="23" t="s">
        <v>7</v>
      </c>
      <c r="B59" s="31">
        <f>B41</f>
        <v>378.84615384615387</v>
      </c>
      <c r="C59" s="31">
        <f t="shared" ref="C59:E59" si="34">C41</f>
        <v>194.23076923076923</v>
      </c>
      <c r="D59" s="31">
        <f t="shared" si="34"/>
        <v>123.10576923076923</v>
      </c>
      <c r="E59" s="31">
        <f t="shared" si="34"/>
        <v>126.85576923076923</v>
      </c>
      <c r="F59" s="31">
        <f>P52</f>
        <v>140.70192307692307</v>
      </c>
    </row>
    <row r="60" spans="1:24" x14ac:dyDescent="0.2">
      <c r="A60" s="23" t="s">
        <v>8</v>
      </c>
      <c r="B60" s="31">
        <f t="shared" ref="B60:E60" si="35">B42</f>
        <v>828.84615384615381</v>
      </c>
      <c r="C60" s="31">
        <f t="shared" si="35"/>
        <v>505.76923076923083</v>
      </c>
      <c r="D60" s="31">
        <f t="shared" si="35"/>
        <v>284.64423076923077</v>
      </c>
      <c r="E60" s="31">
        <f t="shared" si="35"/>
        <v>242.24038461538458</v>
      </c>
      <c r="F60" s="31">
        <f>P53</f>
        <v>163.77884615384613</v>
      </c>
    </row>
    <row r="61" spans="1:24" x14ac:dyDescent="0.2">
      <c r="A61" s="23" t="s">
        <v>18</v>
      </c>
      <c r="B61" s="31">
        <f t="shared" ref="B61:E63" si="36">B43</f>
        <v>153.84615384615384</v>
      </c>
      <c r="C61" s="31">
        <f t="shared" si="36"/>
        <v>153.84615384615384</v>
      </c>
      <c r="D61" s="31">
        <f t="shared" si="36"/>
        <v>157.72115384615384</v>
      </c>
      <c r="E61" s="31">
        <f t="shared" si="36"/>
        <v>184.54807692307691</v>
      </c>
      <c r="F61" s="31">
        <f>P54</f>
        <v>244.54807692307691</v>
      </c>
    </row>
    <row r="63" spans="1:24" x14ac:dyDescent="0.2">
      <c r="A63" s="23" t="s">
        <v>106</v>
      </c>
      <c r="B63" s="31">
        <f t="shared" si="36"/>
        <v>444.98277409455432</v>
      </c>
      <c r="C63" s="31">
        <f t="shared" si="36"/>
        <v>286.0643872499349</v>
      </c>
      <c r="D63" s="31">
        <f t="shared" si="36"/>
        <v>192.89384716713471</v>
      </c>
      <c r="E63" s="31">
        <f t="shared" si="36"/>
        <v>189.86060406473467</v>
      </c>
      <c r="F63" s="31">
        <f>P55</f>
        <v>190.14027170608838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0"/>
  <sheetViews>
    <sheetView workbookViewId="0">
      <selection activeCell="B7" sqref="B7:B8"/>
    </sheetView>
  </sheetViews>
  <sheetFormatPr baseColWidth="10" defaultColWidth="14.5" defaultRowHeight="15.75" customHeight="1" x14ac:dyDescent="0.15"/>
  <cols>
    <col min="1" max="1" width="11.5" style="9" customWidth="1"/>
    <col min="2" max="33" width="8.5" style="9" customWidth="1"/>
    <col min="34" max="16384" width="14.5" style="9"/>
  </cols>
  <sheetData>
    <row r="1" spans="1:33" ht="15.75" customHeight="1" x14ac:dyDescent="0.15">
      <c r="A1" s="6" t="s">
        <v>33</v>
      </c>
      <c r="B1" s="6"/>
      <c r="C1" s="6"/>
      <c r="D1" s="6"/>
      <c r="E1" s="6"/>
      <c r="F1" s="6"/>
      <c r="G1" s="6"/>
      <c r="H1" s="7"/>
      <c r="I1" s="6"/>
      <c r="J1" s="6"/>
      <c r="K1" s="6"/>
      <c r="L1" s="6"/>
      <c r="M1" s="6"/>
      <c r="N1" s="6"/>
      <c r="O1" s="6"/>
      <c r="P1" s="6"/>
      <c r="Q1" s="8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.75" customHeight="1" x14ac:dyDescent="0.15">
      <c r="D2" s="10"/>
      <c r="E2" s="11"/>
      <c r="Q2" s="12"/>
    </row>
    <row r="3" spans="1:33" ht="15.75" customHeight="1" x14ac:dyDescent="0.15">
      <c r="A3" s="9" t="s">
        <v>34</v>
      </c>
      <c r="B3" s="13">
        <v>0.9</v>
      </c>
      <c r="D3" s="10"/>
      <c r="E3" s="11"/>
      <c r="Q3" s="12"/>
    </row>
    <row r="4" spans="1:33" ht="15.75" customHeight="1" x14ac:dyDescent="0.15">
      <c r="A4" s="11"/>
      <c r="D4" s="10"/>
      <c r="E4" s="11"/>
      <c r="Q4" s="12"/>
    </row>
    <row r="5" spans="1:33" ht="15.75" customHeight="1" x14ac:dyDescent="0.2">
      <c r="A5" s="14" t="str">
        <f>"Incremental capacity forecast error: "&amp;100*B3&amp;"th percentile"</f>
        <v>Incremental capacity forecast error: 90th percentile</v>
      </c>
      <c r="C5" s="10"/>
      <c r="E5" s="11"/>
      <c r="Q5" s="12"/>
    </row>
    <row r="6" spans="1:33" ht="15.75" customHeight="1" x14ac:dyDescent="0.15">
      <c r="A6" s="11"/>
      <c r="B6" s="9" t="s">
        <v>35</v>
      </c>
      <c r="C6" s="9" t="s">
        <v>36</v>
      </c>
      <c r="D6" s="9" t="s">
        <v>37</v>
      </c>
      <c r="E6" s="11"/>
      <c r="Q6" s="12"/>
    </row>
    <row r="7" spans="1:33" ht="15.75" customHeight="1" x14ac:dyDescent="0.15">
      <c r="A7" s="9" t="s">
        <v>38</v>
      </c>
      <c r="B7" s="15">
        <f t="shared" ref="B7:D7" si="0">PERCENTILE(V20:V79,$B$3)</f>
        <v>0.34371760304526755</v>
      </c>
      <c r="C7" s="15">
        <f t="shared" si="0"/>
        <v>0.147424835445429</v>
      </c>
      <c r="D7" s="15">
        <f t="shared" si="0"/>
        <v>0.11041997463744568</v>
      </c>
      <c r="E7" s="11"/>
      <c r="F7" s="9" t="s">
        <v>39</v>
      </c>
      <c r="Q7" s="12"/>
    </row>
    <row r="8" spans="1:33" ht="15.75" customHeight="1" x14ac:dyDescent="0.15">
      <c r="A8" s="9" t="s">
        <v>40</v>
      </c>
      <c r="B8" s="15">
        <f t="shared" ref="B8:D8" si="1">PERCENTILE(Y20:Y79,$B$3)</f>
        <v>0.52185764534715517</v>
      </c>
      <c r="C8" s="15">
        <f t="shared" si="1"/>
        <v>0.45323086433385035</v>
      </c>
      <c r="D8" s="15">
        <f t="shared" si="1"/>
        <v>0.56265109374513811</v>
      </c>
      <c r="E8" s="11"/>
      <c r="F8" s="9" t="s">
        <v>41</v>
      </c>
      <c r="Q8" s="12"/>
    </row>
    <row r="9" spans="1:33" ht="15.75" customHeight="1" x14ac:dyDescent="0.15">
      <c r="A9" s="9" t="s">
        <v>42</v>
      </c>
      <c r="B9" s="15">
        <f t="shared" ref="B9:D9" si="2">PERCENTILE(AB20:AB79,$B$3)</f>
        <v>2.4206981574345572</v>
      </c>
      <c r="C9" s="15">
        <f t="shared" si="2"/>
        <v>0.94760005933355418</v>
      </c>
      <c r="D9" s="15">
        <f t="shared" si="2"/>
        <v>0.98388076449505457</v>
      </c>
      <c r="E9" s="11"/>
      <c r="F9" s="9" t="s">
        <v>43</v>
      </c>
      <c r="Q9" s="12"/>
    </row>
    <row r="10" spans="1:33" ht="15.75" customHeight="1" x14ac:dyDescent="0.15">
      <c r="A10" s="9" t="s">
        <v>44</v>
      </c>
      <c r="B10" s="15">
        <f t="shared" ref="B10:D10" si="3">PERCENTILE(AE20:AE79,$B$3)</f>
        <v>0.83083736403810282</v>
      </c>
      <c r="C10" s="15">
        <f t="shared" si="3"/>
        <v>0.46485246456931928</v>
      </c>
      <c r="D10" s="15">
        <f t="shared" si="3"/>
        <v>0.43641675329295543</v>
      </c>
      <c r="E10" s="11"/>
      <c r="Q10" s="12"/>
    </row>
    <row r="11" spans="1:33" ht="15.75" customHeight="1" x14ac:dyDescent="0.15">
      <c r="E11" s="11"/>
      <c r="Q11" s="12"/>
    </row>
    <row r="12" spans="1:33" ht="15.75" customHeight="1" x14ac:dyDescent="0.15">
      <c r="A12" s="16" t="s">
        <v>45</v>
      </c>
      <c r="B12" s="9" t="s">
        <v>35</v>
      </c>
      <c r="C12" s="9" t="s">
        <v>36</v>
      </c>
      <c r="D12" s="9" t="s">
        <v>37</v>
      </c>
      <c r="E12" s="11"/>
      <c r="Q12" s="12"/>
    </row>
    <row r="13" spans="1:33" ht="15.75" customHeight="1" x14ac:dyDescent="0.15">
      <c r="A13" s="9" t="s">
        <v>46</v>
      </c>
      <c r="B13" s="15">
        <f t="shared" ref="B13:D13" si="4">SUM($A$20:$A$79)/SUM($A$20:$C$79)*B7+SUM($B$20:$B$79)/SUM($A$20:$C$79)*B8+SUM($C$20:$C$79)/SUM($A$20:$C$79)*B9</f>
        <v>1.2343824138995034</v>
      </c>
      <c r="C13" s="15">
        <f t="shared" si="4"/>
        <v>0.57273801884082765</v>
      </c>
      <c r="D13" s="15">
        <f t="shared" si="4"/>
        <v>0.61571544096562936</v>
      </c>
      <c r="E13" s="11"/>
      <c r="Q13" s="12"/>
    </row>
    <row r="14" spans="1:33" ht="15.75" customHeight="1" x14ac:dyDescent="0.15">
      <c r="A14" s="9" t="s">
        <v>47</v>
      </c>
      <c r="B14" s="15">
        <f t="shared" ref="B14:D14" si="5">B10/B13</f>
        <v>0.67307939150998386</v>
      </c>
      <c r="C14" s="15">
        <f t="shared" si="5"/>
        <v>0.81163193166421987</v>
      </c>
      <c r="D14" s="15">
        <f t="shared" si="5"/>
        <v>0.70879618124976862</v>
      </c>
      <c r="E14" s="11"/>
      <c r="Q14" s="12"/>
    </row>
    <row r="15" spans="1:33" ht="15.75" customHeight="1" x14ac:dyDescent="0.15">
      <c r="H15" s="11"/>
      <c r="Q15" s="12"/>
    </row>
    <row r="16" spans="1:33" ht="15.75" customHeight="1" x14ac:dyDescent="0.15">
      <c r="A16" s="6" t="s">
        <v>48</v>
      </c>
      <c r="B16" s="6"/>
      <c r="C16" s="6"/>
      <c r="D16" s="6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6"/>
      <c r="Q16" s="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5.75" customHeight="1" x14ac:dyDescent="0.15">
      <c r="D17" s="16" t="s">
        <v>49</v>
      </c>
      <c r="H17" s="11"/>
      <c r="N17" s="10"/>
      <c r="Q17" s="12"/>
      <c r="V17" s="10">
        <v>4</v>
      </c>
      <c r="W17" s="10">
        <v>13</v>
      </c>
      <c r="X17" s="10">
        <v>26</v>
      </c>
      <c r="Y17" s="10">
        <v>4</v>
      </c>
      <c r="Z17" s="10">
        <v>13</v>
      </c>
      <c r="AA17" s="10">
        <v>26</v>
      </c>
      <c r="AB17" s="10">
        <v>4</v>
      </c>
      <c r="AC17" s="10">
        <v>13</v>
      </c>
      <c r="AD17" s="10">
        <v>26</v>
      </c>
      <c r="AE17" s="10">
        <v>4</v>
      </c>
      <c r="AF17" s="10">
        <v>13</v>
      </c>
      <c r="AG17" s="10">
        <v>26</v>
      </c>
    </row>
    <row r="18" spans="1:33" ht="15.75" customHeight="1" x14ac:dyDescent="0.15">
      <c r="A18" s="9" t="s">
        <v>50</v>
      </c>
      <c r="D18" s="17" t="s">
        <v>51</v>
      </c>
      <c r="E18" s="17"/>
      <c r="F18" s="17"/>
      <c r="G18" s="17"/>
      <c r="H18" s="17"/>
      <c r="I18" s="17"/>
      <c r="J18" s="17"/>
      <c r="K18" s="17"/>
      <c r="L18" s="17"/>
      <c r="M18" s="13" t="s">
        <v>52</v>
      </c>
      <c r="N18" s="13"/>
      <c r="O18" s="13"/>
      <c r="P18" s="13"/>
      <c r="Q18" s="13"/>
      <c r="R18" s="13"/>
      <c r="S18" s="13"/>
      <c r="T18" s="13"/>
      <c r="U18" s="13"/>
      <c r="V18" s="18" t="s">
        <v>53</v>
      </c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42" x14ac:dyDescent="0.15">
      <c r="A19" s="19" t="s">
        <v>54</v>
      </c>
      <c r="B19" s="19" t="s">
        <v>55</v>
      </c>
      <c r="C19" s="19" t="s">
        <v>56</v>
      </c>
      <c r="D19" s="20" t="s">
        <v>57</v>
      </c>
      <c r="E19" s="20" t="s">
        <v>58</v>
      </c>
      <c r="F19" s="20" t="s">
        <v>59</v>
      </c>
      <c r="G19" s="20" t="s">
        <v>60</v>
      </c>
      <c r="H19" s="20" t="s">
        <v>61</v>
      </c>
      <c r="I19" s="20" t="s">
        <v>62</v>
      </c>
      <c r="J19" s="20" t="s">
        <v>63</v>
      </c>
      <c r="K19" s="20" t="s">
        <v>64</v>
      </c>
      <c r="L19" s="20" t="s">
        <v>65</v>
      </c>
      <c r="M19" s="20" t="s">
        <v>57</v>
      </c>
      <c r="N19" s="20" t="s">
        <v>58</v>
      </c>
      <c r="O19" s="20" t="s">
        <v>59</v>
      </c>
      <c r="P19" s="20" t="s">
        <v>60</v>
      </c>
      <c r="Q19" s="20" t="s">
        <v>61</v>
      </c>
      <c r="R19" s="20" t="s">
        <v>62</v>
      </c>
      <c r="S19" s="20" t="s">
        <v>63</v>
      </c>
      <c r="T19" s="20" t="s">
        <v>64</v>
      </c>
      <c r="U19" s="20" t="s">
        <v>65</v>
      </c>
      <c r="V19" s="20" t="s">
        <v>57</v>
      </c>
      <c r="W19" s="20" t="s">
        <v>58</v>
      </c>
      <c r="X19" s="20" t="s">
        <v>59</v>
      </c>
      <c r="Y19" s="20" t="s">
        <v>60</v>
      </c>
      <c r="Z19" s="20" t="s">
        <v>61</v>
      </c>
      <c r="AA19" s="20" t="s">
        <v>62</v>
      </c>
      <c r="AB19" s="20" t="s">
        <v>63</v>
      </c>
      <c r="AC19" s="20" t="s">
        <v>64</v>
      </c>
      <c r="AD19" s="20" t="s">
        <v>65</v>
      </c>
      <c r="AE19" s="20" t="s">
        <v>66</v>
      </c>
      <c r="AF19" s="20" t="s">
        <v>67</v>
      </c>
      <c r="AG19" s="20" t="s">
        <v>68</v>
      </c>
    </row>
    <row r="20" spans="1:33" ht="15.75" customHeight="1" x14ac:dyDescent="0.15">
      <c r="A20" s="21">
        <v>550</v>
      </c>
      <c r="B20" s="21">
        <v>1050.2</v>
      </c>
      <c r="C20" s="21">
        <v>275.5</v>
      </c>
      <c r="D20" s="21"/>
      <c r="E20" s="21"/>
      <c r="F20" s="21"/>
      <c r="G20" s="21"/>
      <c r="H20" s="21"/>
      <c r="I20" s="21"/>
      <c r="J20" s="22"/>
      <c r="K20" s="22"/>
      <c r="L20" s="22"/>
      <c r="M20" s="22"/>
      <c r="N20" s="22"/>
      <c r="O20" s="22"/>
      <c r="P20" s="15"/>
      <c r="Q20" s="15"/>
      <c r="R20" s="15"/>
      <c r="V20" s="15" t="s">
        <v>69</v>
      </c>
      <c r="W20" s="15" t="s">
        <v>69</v>
      </c>
      <c r="X20" s="15" t="s">
        <v>69</v>
      </c>
      <c r="Y20" s="15" t="s">
        <v>69</v>
      </c>
      <c r="Z20" s="15" t="s">
        <v>69</v>
      </c>
      <c r="AA20" s="15" t="s">
        <v>69</v>
      </c>
      <c r="AB20" s="15" t="s">
        <v>69</v>
      </c>
      <c r="AC20" s="15" t="s">
        <v>69</v>
      </c>
      <c r="AD20" s="15" t="s">
        <v>69</v>
      </c>
      <c r="AE20" s="15" t="s">
        <v>69</v>
      </c>
      <c r="AF20" s="15" t="s">
        <v>69</v>
      </c>
      <c r="AG20" s="15" t="s">
        <v>69</v>
      </c>
    </row>
    <row r="21" spans="1:33" ht="15.75" customHeight="1" x14ac:dyDescent="0.15">
      <c r="A21" s="21">
        <v>596.30732507285995</v>
      </c>
      <c r="B21" s="21">
        <v>1110.3756810030684</v>
      </c>
      <c r="C21" s="21">
        <v>330.59230772696691</v>
      </c>
      <c r="D21" s="21"/>
      <c r="E21" s="21"/>
      <c r="F21" s="21"/>
      <c r="G21" s="21"/>
      <c r="H21" s="21"/>
      <c r="I21" s="21"/>
      <c r="J21" s="22"/>
      <c r="K21" s="22"/>
      <c r="L21" s="22"/>
      <c r="M21" s="22"/>
      <c r="N21" s="22"/>
      <c r="O21" s="22"/>
      <c r="P21" s="15"/>
      <c r="Q21" s="15"/>
      <c r="R21" s="15"/>
      <c r="V21" s="15" t="s">
        <v>69</v>
      </c>
      <c r="W21" s="15" t="s">
        <v>69</v>
      </c>
      <c r="X21" s="15" t="s">
        <v>69</v>
      </c>
      <c r="Y21" s="15" t="s">
        <v>69</v>
      </c>
      <c r="Z21" s="15" t="s">
        <v>69</v>
      </c>
      <c r="AA21" s="15" t="s">
        <v>69</v>
      </c>
      <c r="AB21" s="15" t="s">
        <v>69</v>
      </c>
      <c r="AC21" s="15" t="s">
        <v>69</v>
      </c>
      <c r="AD21" s="15" t="s">
        <v>69</v>
      </c>
      <c r="AE21" s="15" t="s">
        <v>69</v>
      </c>
      <c r="AF21" s="15" t="s">
        <v>69</v>
      </c>
      <c r="AG21" s="15" t="s">
        <v>69</v>
      </c>
    </row>
    <row r="22" spans="1:33" ht="15.75" customHeight="1" x14ac:dyDescent="0.15">
      <c r="A22" s="21">
        <v>641.04690865574548</v>
      </c>
      <c r="B22" s="21">
        <v>1165.9689606184756</v>
      </c>
      <c r="C22" s="21">
        <v>402.31122548463986</v>
      </c>
      <c r="D22" s="21"/>
      <c r="E22" s="21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15"/>
      <c r="Q22" s="15"/>
      <c r="R22" s="15"/>
      <c r="V22" s="15" t="s">
        <v>69</v>
      </c>
      <c r="W22" s="15" t="s">
        <v>69</v>
      </c>
      <c r="X22" s="15" t="s">
        <v>69</v>
      </c>
      <c r="Y22" s="15" t="s">
        <v>69</v>
      </c>
      <c r="Z22" s="15" t="s">
        <v>69</v>
      </c>
      <c r="AA22" s="15" t="s">
        <v>69</v>
      </c>
      <c r="AB22" s="15" t="s">
        <v>69</v>
      </c>
      <c r="AC22" s="15" t="s">
        <v>69</v>
      </c>
      <c r="AD22" s="15" t="s">
        <v>69</v>
      </c>
      <c r="AE22" s="15" t="s">
        <v>69</v>
      </c>
      <c r="AF22" s="15" t="s">
        <v>69</v>
      </c>
      <c r="AG22" s="15" t="s">
        <v>69</v>
      </c>
    </row>
    <row r="23" spans="1:33" ht="15.75" customHeight="1" x14ac:dyDescent="0.15">
      <c r="A23" s="21">
        <v>694.22683644138272</v>
      </c>
      <c r="B23" s="21">
        <v>1209.0928497277691</v>
      </c>
      <c r="C23" s="21">
        <v>503.53546698820253</v>
      </c>
      <c r="D23" s="21"/>
      <c r="E23" s="21"/>
      <c r="F23" s="21"/>
      <c r="G23" s="21"/>
      <c r="H23" s="21"/>
      <c r="I23" s="21"/>
      <c r="J23" s="22"/>
      <c r="K23" s="22"/>
      <c r="L23" s="22"/>
      <c r="M23" s="22"/>
      <c r="N23" s="22"/>
      <c r="O23" s="22"/>
      <c r="P23" s="15"/>
      <c r="Q23" s="15"/>
      <c r="R23" s="15"/>
      <c r="V23" s="15" t="s">
        <v>69</v>
      </c>
      <c r="W23" s="15" t="s">
        <v>69</v>
      </c>
      <c r="X23" s="15" t="s">
        <v>69</v>
      </c>
      <c r="Y23" s="15" t="s">
        <v>69</v>
      </c>
      <c r="Z23" s="15" t="s">
        <v>69</v>
      </c>
      <c r="AA23" s="15" t="s">
        <v>69</v>
      </c>
      <c r="AB23" s="15" t="s">
        <v>69</v>
      </c>
      <c r="AC23" s="15" t="s">
        <v>69</v>
      </c>
      <c r="AD23" s="15" t="s">
        <v>69</v>
      </c>
      <c r="AE23" s="15" t="s">
        <v>69</v>
      </c>
      <c r="AF23" s="15" t="s">
        <v>69</v>
      </c>
      <c r="AG23" s="15" t="s">
        <v>69</v>
      </c>
    </row>
    <row r="24" spans="1:33" ht="15.75" customHeight="1" x14ac:dyDescent="0.15">
      <c r="A24" s="21">
        <v>742.08661090995508</v>
      </c>
      <c r="B24" s="21">
        <v>1267.7580632256581</v>
      </c>
      <c r="C24" s="21">
        <v>619.37263117221005</v>
      </c>
      <c r="D24" s="21"/>
      <c r="E24" s="21"/>
      <c r="F24" s="21"/>
      <c r="G24" s="21"/>
      <c r="H24" s="21"/>
      <c r="I24" s="21"/>
      <c r="J24" s="22"/>
      <c r="K24" s="22"/>
      <c r="L24" s="22"/>
      <c r="M24" s="22"/>
      <c r="N24" s="22"/>
      <c r="O24" s="22"/>
      <c r="P24" s="15"/>
      <c r="Q24" s="15"/>
      <c r="R24" s="15"/>
      <c r="V24" s="15" t="s">
        <v>69</v>
      </c>
      <c r="W24" s="15" t="s">
        <v>69</v>
      </c>
      <c r="X24" s="15" t="s">
        <v>69</v>
      </c>
      <c r="Y24" s="15" t="s">
        <v>69</v>
      </c>
      <c r="Z24" s="15" t="s">
        <v>69</v>
      </c>
      <c r="AA24" s="15" t="s">
        <v>69</v>
      </c>
      <c r="AB24" s="15" t="s">
        <v>69</v>
      </c>
      <c r="AC24" s="15" t="s">
        <v>69</v>
      </c>
      <c r="AD24" s="15" t="s">
        <v>69</v>
      </c>
      <c r="AE24" s="15" t="s">
        <v>69</v>
      </c>
      <c r="AF24" s="15" t="s">
        <v>69</v>
      </c>
      <c r="AG24" s="15" t="s">
        <v>69</v>
      </c>
    </row>
    <row r="25" spans="1:33" ht="15.75" customHeight="1" x14ac:dyDescent="0.15">
      <c r="A25" s="21">
        <v>799.81270743770335</v>
      </c>
      <c r="B25" s="21">
        <v>1314.4249397456736</v>
      </c>
      <c r="C25" s="21">
        <v>668.64172062327577</v>
      </c>
      <c r="D25" s="21"/>
      <c r="E25" s="21"/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15"/>
      <c r="Q25" s="15"/>
      <c r="R25" s="15"/>
      <c r="V25" s="15" t="s">
        <v>69</v>
      </c>
      <c r="W25" s="15" t="s">
        <v>69</v>
      </c>
      <c r="X25" s="15" t="s">
        <v>69</v>
      </c>
      <c r="Y25" s="15" t="s">
        <v>69</v>
      </c>
      <c r="Z25" s="15" t="s">
        <v>69</v>
      </c>
      <c r="AA25" s="15" t="s">
        <v>69</v>
      </c>
      <c r="AB25" s="15" t="s">
        <v>69</v>
      </c>
      <c r="AC25" s="15" t="s">
        <v>69</v>
      </c>
      <c r="AD25" s="15" t="s">
        <v>69</v>
      </c>
      <c r="AE25" s="15" t="s">
        <v>69</v>
      </c>
      <c r="AF25" s="15" t="s">
        <v>69</v>
      </c>
      <c r="AG25" s="15" t="s">
        <v>69</v>
      </c>
    </row>
    <row r="26" spans="1:33" ht="15.75" customHeight="1" x14ac:dyDescent="0.15">
      <c r="A26" s="21">
        <v>859.68969376020004</v>
      </c>
      <c r="B26" s="21">
        <v>1371.6011378511516</v>
      </c>
      <c r="C26" s="21">
        <v>713.88669452835086</v>
      </c>
      <c r="D26" s="21"/>
      <c r="E26" s="21"/>
      <c r="F26" s="21"/>
      <c r="G26" s="21"/>
      <c r="H26" s="21"/>
      <c r="I26" s="21"/>
      <c r="J26" s="22"/>
      <c r="K26" s="22"/>
      <c r="L26" s="22"/>
      <c r="M26" s="22"/>
      <c r="N26" s="22"/>
      <c r="O26" s="22"/>
      <c r="P26" s="15"/>
      <c r="Q26" s="15"/>
      <c r="R26" s="15"/>
      <c r="V26" s="15" t="s">
        <v>69</v>
      </c>
      <c r="W26" s="15" t="s">
        <v>69</v>
      </c>
      <c r="X26" s="15" t="s">
        <v>69</v>
      </c>
      <c r="Y26" s="15" t="s">
        <v>69</v>
      </c>
      <c r="Z26" s="15" t="s">
        <v>69</v>
      </c>
      <c r="AA26" s="15" t="s">
        <v>69</v>
      </c>
      <c r="AB26" s="15" t="s">
        <v>69</v>
      </c>
      <c r="AC26" s="15" t="s">
        <v>69</v>
      </c>
      <c r="AD26" s="15" t="s">
        <v>69</v>
      </c>
      <c r="AE26" s="15" t="s">
        <v>69</v>
      </c>
      <c r="AF26" s="15" t="s">
        <v>69</v>
      </c>
      <c r="AG26" s="15" t="s">
        <v>69</v>
      </c>
    </row>
    <row r="27" spans="1:33" ht="15.75" customHeight="1" x14ac:dyDescent="0.15">
      <c r="A27" s="21">
        <v>916.93820024929255</v>
      </c>
      <c r="B27" s="21">
        <v>1438.1462228185019</v>
      </c>
      <c r="C27" s="21">
        <v>792.31071995034279</v>
      </c>
      <c r="D27" s="21"/>
      <c r="E27" s="21"/>
      <c r="F27" s="21"/>
      <c r="G27" s="21"/>
      <c r="H27" s="21"/>
      <c r="I27" s="21"/>
      <c r="J27" s="22"/>
      <c r="K27" s="22"/>
      <c r="L27" s="22"/>
      <c r="M27" s="22"/>
      <c r="N27" s="22"/>
      <c r="O27" s="22"/>
      <c r="P27" s="15"/>
      <c r="Q27" s="15"/>
      <c r="R27" s="15"/>
      <c r="V27" s="15" t="s">
        <v>69</v>
      </c>
      <c r="W27" s="15" t="s">
        <v>69</v>
      </c>
      <c r="X27" s="15" t="s">
        <v>69</v>
      </c>
      <c r="Y27" s="15" t="s">
        <v>69</v>
      </c>
      <c r="Z27" s="15" t="s">
        <v>69</v>
      </c>
      <c r="AA27" s="15" t="s">
        <v>69</v>
      </c>
      <c r="AB27" s="15" t="s">
        <v>69</v>
      </c>
      <c r="AC27" s="15" t="s">
        <v>69</v>
      </c>
      <c r="AD27" s="15" t="s">
        <v>69</v>
      </c>
      <c r="AE27" s="15" t="s">
        <v>69</v>
      </c>
      <c r="AF27" s="15" t="s">
        <v>69</v>
      </c>
      <c r="AG27" s="15" t="s">
        <v>69</v>
      </c>
    </row>
    <row r="28" spans="1:33" ht="15.75" customHeight="1" x14ac:dyDescent="0.15">
      <c r="A28" s="21">
        <v>959.6925638269862</v>
      </c>
      <c r="B28" s="21">
        <v>1479.0855991189865</v>
      </c>
      <c r="C28" s="21">
        <v>920.00183456094339</v>
      </c>
      <c r="D28" s="21"/>
      <c r="E28" s="21"/>
      <c r="F28" s="21"/>
      <c r="G28" s="21"/>
      <c r="H28" s="21"/>
      <c r="I28" s="21"/>
      <c r="J28" s="22"/>
      <c r="K28" s="22"/>
      <c r="L28" s="22"/>
      <c r="M28" s="22"/>
      <c r="N28" s="22"/>
      <c r="O28" s="22"/>
      <c r="P28" s="15"/>
      <c r="Q28" s="15"/>
      <c r="R28" s="15"/>
      <c r="V28" s="15" t="s">
        <v>69</v>
      </c>
      <c r="W28" s="15" t="s">
        <v>69</v>
      </c>
      <c r="X28" s="15" t="s">
        <v>69</v>
      </c>
      <c r="Y28" s="15" t="s">
        <v>69</v>
      </c>
      <c r="Z28" s="15" t="s">
        <v>69</v>
      </c>
      <c r="AA28" s="15" t="s">
        <v>69</v>
      </c>
      <c r="AB28" s="15" t="s">
        <v>69</v>
      </c>
      <c r="AC28" s="15" t="s">
        <v>69</v>
      </c>
      <c r="AD28" s="15" t="s">
        <v>69</v>
      </c>
      <c r="AE28" s="15" t="s">
        <v>69</v>
      </c>
      <c r="AF28" s="15" t="s">
        <v>69</v>
      </c>
      <c r="AG28" s="15" t="s">
        <v>69</v>
      </c>
    </row>
    <row r="29" spans="1:33" ht="15.75" customHeight="1" x14ac:dyDescent="0.15">
      <c r="A29" s="21">
        <v>1012.5050775159649</v>
      </c>
      <c r="B29" s="21">
        <v>1519.5134569897336</v>
      </c>
      <c r="C29" s="21">
        <v>998.16801607028469</v>
      </c>
      <c r="D29" s="21"/>
      <c r="E29" s="21"/>
      <c r="F29" s="21"/>
      <c r="G29" s="21"/>
      <c r="H29" s="21"/>
      <c r="I29" s="21"/>
      <c r="J29" s="22"/>
      <c r="K29" s="22"/>
      <c r="L29" s="22"/>
      <c r="M29" s="22"/>
      <c r="N29" s="22"/>
      <c r="O29" s="22"/>
      <c r="P29" s="15"/>
      <c r="Q29" s="15"/>
      <c r="R29" s="15"/>
      <c r="V29" s="15" t="s">
        <v>69</v>
      </c>
      <c r="W29" s="15" t="s">
        <v>69</v>
      </c>
      <c r="X29" s="15" t="s">
        <v>69</v>
      </c>
      <c r="Y29" s="15" t="s">
        <v>69</v>
      </c>
      <c r="Z29" s="15" t="s">
        <v>69</v>
      </c>
      <c r="AA29" s="15" t="s">
        <v>69</v>
      </c>
      <c r="AB29" s="15" t="s">
        <v>69</v>
      </c>
      <c r="AC29" s="15" t="s">
        <v>69</v>
      </c>
      <c r="AD29" s="15" t="s">
        <v>69</v>
      </c>
      <c r="AE29" s="15" t="s">
        <v>69</v>
      </c>
      <c r="AF29" s="15" t="s">
        <v>69</v>
      </c>
      <c r="AG29" s="15" t="s">
        <v>69</v>
      </c>
    </row>
    <row r="30" spans="1:33" ht="15.75" customHeight="1" x14ac:dyDescent="0.15">
      <c r="A30" s="21">
        <v>1050.1463504439121</v>
      </c>
      <c r="B30" s="21">
        <v>1614.3334898077519</v>
      </c>
      <c r="C30" s="21">
        <v>1077.2623806046897</v>
      </c>
      <c r="D30" s="21"/>
      <c r="E30" s="21"/>
      <c r="F30" s="21"/>
      <c r="G30" s="21"/>
      <c r="H30" s="21"/>
      <c r="I30" s="21"/>
      <c r="J30" s="22"/>
      <c r="K30" s="22"/>
      <c r="L30" s="22"/>
      <c r="M30" s="22"/>
      <c r="N30" s="22"/>
      <c r="O30" s="22"/>
      <c r="P30" s="15"/>
      <c r="Q30" s="15"/>
      <c r="R30" s="15"/>
      <c r="V30" s="15" t="s">
        <v>69</v>
      </c>
      <c r="W30" s="15" t="s">
        <v>69</v>
      </c>
      <c r="X30" s="15" t="s">
        <v>69</v>
      </c>
      <c r="Y30" s="15" t="s">
        <v>69</v>
      </c>
      <c r="Z30" s="15" t="s">
        <v>69</v>
      </c>
      <c r="AA30" s="15" t="s">
        <v>69</v>
      </c>
      <c r="AB30" s="15" t="s">
        <v>69</v>
      </c>
      <c r="AC30" s="15" t="s">
        <v>69</v>
      </c>
      <c r="AD30" s="15" t="s">
        <v>69</v>
      </c>
      <c r="AE30" s="15" t="s">
        <v>69</v>
      </c>
      <c r="AF30" s="15" t="s">
        <v>69</v>
      </c>
      <c r="AG30" s="15" t="s">
        <v>69</v>
      </c>
    </row>
    <row r="31" spans="1:33" ht="15.75" customHeight="1" x14ac:dyDescent="0.15">
      <c r="A31" s="21">
        <v>1099.2738193539105</v>
      </c>
      <c r="B31" s="21">
        <v>1620.0792339498541</v>
      </c>
      <c r="C31" s="21">
        <v>1146.9229959063869</v>
      </c>
      <c r="D31" s="21">
        <v>1118.7310724584099</v>
      </c>
      <c r="E31" s="21"/>
      <c r="F31" s="21"/>
      <c r="G31" s="21">
        <v>1645.0338385567707</v>
      </c>
      <c r="I31" s="21"/>
      <c r="J31" s="21">
        <v>1114.0702407431086</v>
      </c>
      <c r="K31" s="22"/>
      <c r="L31" s="22"/>
      <c r="M31" s="21">
        <f>A31-D31</f>
        <v>-19.457253104499387</v>
      </c>
      <c r="N31" s="22"/>
      <c r="O31" s="22"/>
      <c r="P31" s="21">
        <f>B31-G31</f>
        <v>-24.954604606916519</v>
      </c>
      <c r="Q31" s="15"/>
      <c r="R31" s="15"/>
      <c r="S31" s="21">
        <f>C31-J31</f>
        <v>32.852755163278289</v>
      </c>
      <c r="T31" s="15"/>
      <c r="U31" s="15"/>
      <c r="V31" s="15">
        <f>M31/(D31-A27)</f>
        <v>-9.6421904755564863E-2</v>
      </c>
      <c r="W31" s="15" t="s">
        <v>69</v>
      </c>
      <c r="X31" s="15" t="s">
        <v>69</v>
      </c>
      <c r="Y31" s="15">
        <f>P31/(G31-B27)</f>
        <v>-0.12061913187924361</v>
      </c>
      <c r="Z31" s="15" t="s">
        <v>69</v>
      </c>
      <c r="AA31" s="15" t="s">
        <v>69</v>
      </c>
      <c r="AB31" s="15">
        <f>S31/(J31-C27)</f>
        <v>0.10210344384630538</v>
      </c>
      <c r="AC31" s="15" t="s">
        <v>69</v>
      </c>
      <c r="AD31" s="15" t="s">
        <v>69</v>
      </c>
      <c r="AE31" s="15">
        <f>(M31+P31+S31)/(D31+G31+J31-SUM(A27:C27))</f>
        <v>-1.5824848597867088E-2</v>
      </c>
      <c r="AF31" s="15" t="s">
        <v>69</v>
      </c>
      <c r="AG31" s="15" t="s">
        <v>69</v>
      </c>
    </row>
    <row r="32" spans="1:33" ht="15.75" customHeight="1" x14ac:dyDescent="0.15">
      <c r="A32" s="21">
        <v>1143.5320124158734</v>
      </c>
      <c r="B32" s="21">
        <v>1673.8800576211704</v>
      </c>
      <c r="C32" s="21">
        <v>1224.533286946122</v>
      </c>
      <c r="D32" s="21">
        <v>1175.9811591630889</v>
      </c>
      <c r="E32" s="21"/>
      <c r="F32" s="21"/>
      <c r="G32" s="21">
        <v>1694.2037780763142</v>
      </c>
      <c r="H32" s="21"/>
      <c r="I32" s="21"/>
      <c r="J32" s="21">
        <v>1222.0625512220327</v>
      </c>
      <c r="K32" s="22"/>
      <c r="L32" s="22"/>
      <c r="M32" s="21">
        <f t="shared" ref="M32:M79" si="6">A32-D32</f>
        <v>-32.449146747215536</v>
      </c>
      <c r="N32" s="22"/>
      <c r="O32" s="22"/>
      <c r="P32" s="21">
        <f t="shared" ref="P32:P79" si="7">B32-G32</f>
        <v>-20.323720455143757</v>
      </c>
      <c r="Q32" s="15"/>
      <c r="R32" s="15"/>
      <c r="S32" s="21">
        <f t="shared" ref="S32:S79" si="8">C32-J32</f>
        <v>2.4707357240893089</v>
      </c>
      <c r="T32" s="15"/>
      <c r="U32" s="15"/>
      <c r="V32" s="15">
        <f t="shared" ref="V32:V79" si="9">M32/(D32-A28)</f>
        <v>-0.15002708162578349</v>
      </c>
      <c r="W32" s="15" t="s">
        <v>69</v>
      </c>
      <c r="X32" s="15" t="s">
        <v>69</v>
      </c>
      <c r="Y32" s="15">
        <f t="shared" ref="Y32:Y79" si="10">P32/(G32-B28)</f>
        <v>-9.4477001216969711E-2</v>
      </c>
      <c r="Z32" s="15" t="s">
        <v>69</v>
      </c>
      <c r="AA32" s="15" t="s">
        <v>69</v>
      </c>
      <c r="AB32" s="15">
        <f t="shared" ref="AB32:AB79" si="11">S32/(J32-C28)</f>
        <v>8.1795996228846372E-3</v>
      </c>
      <c r="AC32" s="15" t="s">
        <v>69</v>
      </c>
      <c r="AD32" s="15" t="s">
        <v>69</v>
      </c>
      <c r="AE32" s="15">
        <f t="shared" ref="AE32:AE79" si="12">(M32+P32+S32)/(D32+G32+J32-SUM(A28:C28))</f>
        <v>-6.8581269243177784E-2</v>
      </c>
      <c r="AF32" s="15" t="s">
        <v>69</v>
      </c>
      <c r="AG32" s="15" t="s">
        <v>69</v>
      </c>
    </row>
    <row r="33" spans="1:33" ht="15.75" customHeight="1" x14ac:dyDescent="0.15">
      <c r="A33" s="21">
        <v>1194.8578556896168</v>
      </c>
      <c r="B33" s="21">
        <v>1747.2534058545527</v>
      </c>
      <c r="C33" s="21">
        <v>1250.3591288848556</v>
      </c>
      <c r="D33" s="21">
        <v>1231.1040724648378</v>
      </c>
      <c r="E33" s="21"/>
      <c r="F33" s="21"/>
      <c r="G33" s="21">
        <v>1737.9413946940385</v>
      </c>
      <c r="H33" s="21"/>
      <c r="I33" s="21"/>
      <c r="J33" s="21">
        <v>1310.973950476093</v>
      </c>
      <c r="K33" s="22"/>
      <c r="L33" s="22"/>
      <c r="M33" s="21">
        <f t="shared" si="6"/>
        <v>-36.246216775221001</v>
      </c>
      <c r="N33" s="22"/>
      <c r="O33" s="22"/>
      <c r="P33" s="21">
        <f t="shared" si="7"/>
        <v>9.3120111605142029</v>
      </c>
      <c r="Q33" s="15"/>
      <c r="R33" s="15"/>
      <c r="S33" s="21">
        <f t="shared" si="8"/>
        <v>-60.614821591237387</v>
      </c>
      <c r="T33" s="15"/>
      <c r="U33" s="15"/>
      <c r="V33" s="15">
        <f t="shared" si="9"/>
        <v>-0.16581145207780326</v>
      </c>
      <c r="W33" s="15" t="s">
        <v>69</v>
      </c>
      <c r="X33" s="15" t="s">
        <v>69</v>
      </c>
      <c r="Y33" s="15">
        <f t="shared" si="10"/>
        <v>4.2631960262886633E-2</v>
      </c>
      <c r="Z33" s="15" t="s">
        <v>69</v>
      </c>
      <c r="AA33" s="15" t="s">
        <v>69</v>
      </c>
      <c r="AB33" s="15">
        <f t="shared" si="11"/>
        <v>-0.1937777226201878</v>
      </c>
      <c r="AC33" s="15" t="s">
        <v>69</v>
      </c>
      <c r="AD33" s="15" t="s">
        <v>69</v>
      </c>
      <c r="AE33" s="15">
        <f t="shared" si="12"/>
        <v>-0.11675805509743956</v>
      </c>
      <c r="AF33" s="15" t="s">
        <v>69</v>
      </c>
      <c r="AG33" s="15" t="s">
        <v>69</v>
      </c>
    </row>
    <row r="34" spans="1:33" ht="15.75" customHeight="1" x14ac:dyDescent="0.15">
      <c r="A34" s="21">
        <v>1242.8518005839612</v>
      </c>
      <c r="B34" s="21">
        <v>1796.2536745942837</v>
      </c>
      <c r="C34" s="21">
        <v>1282.506035117847</v>
      </c>
      <c r="D34" s="21">
        <v>1270.4959163860938</v>
      </c>
      <c r="E34" s="21"/>
      <c r="F34" s="21"/>
      <c r="G34" s="21">
        <v>1817.4577299523985</v>
      </c>
      <c r="H34" s="21"/>
      <c r="I34" s="21"/>
      <c r="J34" s="21">
        <v>1388.6625836909284</v>
      </c>
      <c r="K34" s="22"/>
      <c r="L34" s="22"/>
      <c r="M34" s="21">
        <f t="shared" si="6"/>
        <v>-27.644115802132546</v>
      </c>
      <c r="N34" s="22"/>
      <c r="O34" s="22"/>
      <c r="P34" s="21">
        <f t="shared" si="7"/>
        <v>-21.204055358114829</v>
      </c>
      <c r="Q34" s="15"/>
      <c r="R34" s="15"/>
      <c r="S34" s="21">
        <f t="shared" si="8"/>
        <v>-106.15654857308141</v>
      </c>
      <c r="T34" s="15"/>
      <c r="U34" s="15"/>
      <c r="V34" s="15">
        <f t="shared" si="9"/>
        <v>-0.12545573068832902</v>
      </c>
      <c r="W34" s="15" t="s">
        <v>69</v>
      </c>
      <c r="X34" s="15" t="s">
        <v>69</v>
      </c>
      <c r="Y34" s="15">
        <f t="shared" si="10"/>
        <v>-0.10438958611249564</v>
      </c>
      <c r="Z34" s="15" t="s">
        <v>69</v>
      </c>
      <c r="AA34" s="15" t="s">
        <v>69</v>
      </c>
      <c r="AB34" s="15">
        <f t="shared" si="11"/>
        <v>-0.34090070437006936</v>
      </c>
      <c r="AC34" s="15" t="s">
        <v>69</v>
      </c>
      <c r="AD34" s="15" t="s">
        <v>69</v>
      </c>
      <c r="AE34" s="15">
        <f t="shared" si="12"/>
        <v>-0.21092693141747035</v>
      </c>
      <c r="AF34" s="15" t="s">
        <v>69</v>
      </c>
      <c r="AG34" s="15" t="s">
        <v>69</v>
      </c>
    </row>
    <row r="35" spans="1:33" ht="15.75" customHeight="1" x14ac:dyDescent="0.15">
      <c r="A35" s="21">
        <v>1305.8842528304256</v>
      </c>
      <c r="B35" s="21">
        <v>1853.8924454541441</v>
      </c>
      <c r="C35" s="21">
        <v>1318.6060942194579</v>
      </c>
      <c r="D35" s="21">
        <v>1309.766269810787</v>
      </c>
      <c r="E35" s="21"/>
      <c r="F35" s="21"/>
      <c r="G35" s="21">
        <v>1850.4809178576998</v>
      </c>
      <c r="H35" s="21"/>
      <c r="I35" s="21"/>
      <c r="J35" s="21">
        <v>1466.7575645594454</v>
      </c>
      <c r="K35" s="22"/>
      <c r="L35" s="22"/>
      <c r="M35" s="21">
        <f t="shared" si="6"/>
        <v>-3.8820169803614135</v>
      </c>
      <c r="N35" s="22"/>
      <c r="O35" s="22"/>
      <c r="P35" s="21">
        <f t="shared" si="7"/>
        <v>3.4115275964443299</v>
      </c>
      <c r="Q35" s="15"/>
      <c r="R35" s="15"/>
      <c r="S35" s="21">
        <f t="shared" si="8"/>
        <v>-148.15147033998755</v>
      </c>
      <c r="T35" s="15"/>
      <c r="U35" s="15"/>
      <c r="V35" s="15">
        <f t="shared" si="9"/>
        <v>-1.8442547330963406E-2</v>
      </c>
      <c r="W35" s="15" t="s">
        <v>69</v>
      </c>
      <c r="X35" s="15" t="s">
        <v>69</v>
      </c>
      <c r="Y35" s="15">
        <f t="shared" si="10"/>
        <v>1.4806869197227082E-2</v>
      </c>
      <c r="Z35" s="15" t="s">
        <v>69</v>
      </c>
      <c r="AA35" s="15" t="s">
        <v>69</v>
      </c>
      <c r="AB35" s="15">
        <f t="shared" si="11"/>
        <v>-0.46321281331129427</v>
      </c>
      <c r="AC35" s="15" t="s">
        <v>69</v>
      </c>
      <c r="AD35" s="15" t="s">
        <v>69</v>
      </c>
      <c r="AE35" s="15">
        <f t="shared" si="12"/>
        <v>-0.19536788757191265</v>
      </c>
      <c r="AF35" s="15" t="s">
        <v>69</v>
      </c>
      <c r="AG35" s="15" t="s">
        <v>69</v>
      </c>
    </row>
    <row r="36" spans="1:33" ht="15.75" customHeight="1" x14ac:dyDescent="0.15">
      <c r="A36" s="21">
        <v>1352.4949217996427</v>
      </c>
      <c r="B36" s="21">
        <v>1920.5804363534494</v>
      </c>
      <c r="C36" s="21">
        <v>1517.2681331274002</v>
      </c>
      <c r="D36" s="21">
        <v>1342.3767251869608</v>
      </c>
      <c r="E36" s="21"/>
      <c r="F36" s="21"/>
      <c r="G36" s="21">
        <v>1890.2728354932538</v>
      </c>
      <c r="H36" s="21"/>
      <c r="I36" s="21"/>
      <c r="J36" s="21">
        <v>1566.7734235258074</v>
      </c>
      <c r="K36" s="15"/>
      <c r="L36" s="15"/>
      <c r="M36" s="21">
        <f t="shared" si="6"/>
        <v>10.118196612681913</v>
      </c>
      <c r="N36" s="15"/>
      <c r="O36" s="15"/>
      <c r="P36" s="21">
        <f t="shared" si="7"/>
        <v>30.307600860195635</v>
      </c>
      <c r="Q36" s="15"/>
      <c r="R36" s="15"/>
      <c r="S36" s="21">
        <f t="shared" si="8"/>
        <v>-49.505290398407169</v>
      </c>
      <c r="T36" s="15"/>
      <c r="U36" s="15"/>
      <c r="V36" s="15">
        <f t="shared" si="9"/>
        <v>5.0884916534492473E-2</v>
      </c>
      <c r="W36" s="15" t="s">
        <v>69</v>
      </c>
      <c r="X36" s="15" t="s">
        <v>69</v>
      </c>
      <c r="Y36" s="15">
        <f t="shared" si="10"/>
        <v>0.14005828271270412</v>
      </c>
      <c r="Z36" s="15" t="s">
        <v>69</v>
      </c>
      <c r="AA36" s="15" t="s">
        <v>69</v>
      </c>
      <c r="AB36" s="15">
        <f t="shared" si="11"/>
        <v>-0.14465074404527248</v>
      </c>
      <c r="AC36" s="15" t="s">
        <v>69</v>
      </c>
      <c r="AD36" s="15" t="s">
        <v>69</v>
      </c>
      <c r="AE36" s="15">
        <f t="shared" si="12"/>
        <v>-1.1986483295642416E-2</v>
      </c>
      <c r="AF36" s="15" t="s">
        <v>69</v>
      </c>
      <c r="AG36" s="15" t="s">
        <v>69</v>
      </c>
    </row>
    <row r="37" spans="1:33" ht="15.75" customHeight="1" x14ac:dyDescent="0.15">
      <c r="A37" s="21">
        <v>1442.6103351679392</v>
      </c>
      <c r="B37" s="21">
        <v>2023.282374929111</v>
      </c>
      <c r="C37" s="21">
        <v>1728.960163179426</v>
      </c>
      <c r="D37" s="21">
        <v>1380.9661639647857</v>
      </c>
      <c r="E37" s="21"/>
      <c r="F37" s="21"/>
      <c r="G37" s="21">
        <v>1944.2397886575143</v>
      </c>
      <c r="H37" s="21"/>
      <c r="I37" s="21"/>
      <c r="J37" s="21">
        <v>1611.5268575426726</v>
      </c>
      <c r="K37" s="15"/>
      <c r="L37" s="15"/>
      <c r="M37" s="21">
        <f t="shared" si="6"/>
        <v>61.644171203153519</v>
      </c>
      <c r="N37" s="15"/>
      <c r="O37" s="15"/>
      <c r="P37" s="21">
        <f t="shared" si="7"/>
        <v>79.042586271596747</v>
      </c>
      <c r="Q37" s="15"/>
      <c r="R37" s="15"/>
      <c r="S37" s="21">
        <f t="shared" si="8"/>
        <v>117.4333056367534</v>
      </c>
      <c r="T37" s="15"/>
      <c r="U37" s="15"/>
      <c r="V37" s="15">
        <f t="shared" si="9"/>
        <v>0.33122740072415285</v>
      </c>
      <c r="W37" s="15" t="s">
        <v>69</v>
      </c>
      <c r="X37" s="15" t="s">
        <v>69</v>
      </c>
      <c r="Y37" s="15">
        <f t="shared" si="10"/>
        <v>0.40125913856015227</v>
      </c>
      <c r="Z37" s="15" t="s">
        <v>69</v>
      </c>
      <c r="AA37" s="15" t="s">
        <v>69</v>
      </c>
      <c r="AB37" s="15">
        <f t="shared" si="11"/>
        <v>0.325148944157228</v>
      </c>
      <c r="AC37" s="15" t="s">
        <v>69</v>
      </c>
      <c r="AD37" s="15" t="s">
        <v>69</v>
      </c>
      <c r="AE37" s="15">
        <f t="shared" si="12"/>
        <v>0.34681324256984603</v>
      </c>
      <c r="AF37" s="15" t="s">
        <v>69</v>
      </c>
      <c r="AG37" s="15" t="s">
        <v>69</v>
      </c>
    </row>
    <row r="38" spans="1:33" ht="15.75" customHeight="1" x14ac:dyDescent="0.15">
      <c r="A38" s="21">
        <v>1468.2563647297486</v>
      </c>
      <c r="B38" s="21">
        <v>2009.9500591582059</v>
      </c>
      <c r="C38" s="21">
        <v>1785.4297315303575</v>
      </c>
      <c r="D38" s="21">
        <v>1425.6380970872217</v>
      </c>
      <c r="E38" s="21"/>
      <c r="F38" s="21"/>
      <c r="G38" s="21">
        <v>1996.4642802858471</v>
      </c>
      <c r="H38" s="21"/>
      <c r="I38" s="21"/>
      <c r="J38" s="21">
        <v>1607.2143091945859</v>
      </c>
      <c r="K38" s="15"/>
      <c r="L38" s="15"/>
      <c r="M38" s="21">
        <f t="shared" si="6"/>
        <v>42.618267642526916</v>
      </c>
      <c r="N38" s="15"/>
      <c r="O38" s="15"/>
      <c r="P38" s="21">
        <f t="shared" si="7"/>
        <v>13.485778872358878</v>
      </c>
      <c r="Q38" s="15"/>
      <c r="R38" s="15"/>
      <c r="S38" s="21">
        <f t="shared" si="8"/>
        <v>178.21542233577156</v>
      </c>
      <c r="T38" s="15"/>
      <c r="U38" s="15"/>
      <c r="V38" s="15">
        <f t="shared" si="9"/>
        <v>0.23315898652045125</v>
      </c>
      <c r="W38" s="15" t="s">
        <v>69</v>
      </c>
      <c r="X38" s="15" t="s">
        <v>69</v>
      </c>
      <c r="Y38" s="15">
        <f t="shared" si="10"/>
        <v>6.7357964508306528E-2</v>
      </c>
      <c r="Z38" s="15" t="s">
        <v>69</v>
      </c>
      <c r="AA38" s="15" t="s">
        <v>69</v>
      </c>
      <c r="AB38" s="15">
        <f t="shared" si="11"/>
        <v>0.54884780143807965</v>
      </c>
      <c r="AC38" s="15" t="s">
        <v>69</v>
      </c>
      <c r="AD38" s="15" t="s">
        <v>69</v>
      </c>
      <c r="AE38" s="15">
        <f t="shared" si="12"/>
        <v>0.33109757665633333</v>
      </c>
      <c r="AF38" s="15" t="s">
        <v>69</v>
      </c>
      <c r="AG38" s="15" t="s">
        <v>69</v>
      </c>
    </row>
    <row r="39" spans="1:33" ht="15.75" customHeight="1" x14ac:dyDescent="0.15">
      <c r="A39" s="21">
        <v>1490.4781569069935</v>
      </c>
      <c r="B39" s="21">
        <v>2132.3014270275935</v>
      </c>
      <c r="C39" s="21">
        <v>1873.7295398095005</v>
      </c>
      <c r="D39" s="21">
        <v>1488.0097654364326</v>
      </c>
      <c r="E39" s="21"/>
      <c r="F39" s="21"/>
      <c r="G39" s="21">
        <v>2061.2426332970749</v>
      </c>
      <c r="H39" s="21"/>
      <c r="I39" s="21"/>
      <c r="J39" s="21">
        <v>1581.6539401752202</v>
      </c>
      <c r="K39" s="15"/>
      <c r="L39" s="15"/>
      <c r="M39" s="21">
        <f t="shared" si="6"/>
        <v>2.4683914705608458</v>
      </c>
      <c r="N39" s="15"/>
      <c r="O39" s="15"/>
      <c r="P39" s="21">
        <f t="shared" si="7"/>
        <v>71.058793730518573</v>
      </c>
      <c r="Q39" s="15"/>
      <c r="R39" s="15"/>
      <c r="S39" s="21">
        <f t="shared" si="8"/>
        <v>292.07559963428025</v>
      </c>
      <c r="T39" s="15"/>
      <c r="U39" s="15"/>
      <c r="V39" s="15">
        <f t="shared" si="9"/>
        <v>1.3553243778101139E-2</v>
      </c>
      <c r="W39" s="15" t="s">
        <v>69</v>
      </c>
      <c r="X39" s="15" t="s">
        <v>69</v>
      </c>
      <c r="Y39" s="15">
        <f t="shared" si="10"/>
        <v>0.34269944228044824</v>
      </c>
      <c r="Z39" s="15" t="s">
        <v>69</v>
      </c>
      <c r="AA39" s="15" t="s">
        <v>69</v>
      </c>
      <c r="AB39" s="15">
        <f t="shared" si="11"/>
        <v>1.1103516114076053</v>
      </c>
      <c r="AC39" s="15" t="s">
        <v>69</v>
      </c>
      <c r="AD39" s="15" t="s">
        <v>69</v>
      </c>
      <c r="AE39" s="15">
        <f t="shared" si="12"/>
        <v>0.56029056246287556</v>
      </c>
      <c r="AF39" s="15" t="s">
        <v>69</v>
      </c>
      <c r="AG39" s="15" t="s">
        <v>69</v>
      </c>
    </row>
    <row r="40" spans="1:33" ht="15.75" customHeight="1" x14ac:dyDescent="0.15">
      <c r="A40" s="21">
        <v>1512.399962644578</v>
      </c>
      <c r="B40" s="21">
        <v>2118.2344250548681</v>
      </c>
      <c r="C40" s="21">
        <v>2131.8746914916742</v>
      </c>
      <c r="D40" s="21">
        <v>1544.8966728365033</v>
      </c>
      <c r="E40" s="21">
        <v>1591.1921170294306</v>
      </c>
      <c r="F40" s="21"/>
      <c r="G40" s="21">
        <v>2129.5768736446034</v>
      </c>
      <c r="H40" s="21">
        <v>2129.9392665763507</v>
      </c>
      <c r="J40" s="21">
        <v>1697.7563255602345</v>
      </c>
      <c r="K40" s="21">
        <v>1805.0319146637407</v>
      </c>
      <c r="L40" s="15"/>
      <c r="M40" s="21">
        <f t="shared" si="6"/>
        <v>-32.496710191925331</v>
      </c>
      <c r="N40" s="21">
        <f>A40-E40</f>
        <v>-78.792154384852665</v>
      </c>
      <c r="O40" s="15"/>
      <c r="P40" s="21">
        <f t="shared" si="7"/>
        <v>-11.342448589735341</v>
      </c>
      <c r="Q40" s="21">
        <f>B40-H40</f>
        <v>-11.704841521482649</v>
      </c>
      <c r="R40" s="15"/>
      <c r="S40" s="21">
        <f t="shared" si="8"/>
        <v>434.11836593143971</v>
      </c>
      <c r="T40" s="21">
        <f>C40-K40</f>
        <v>326.84277682793345</v>
      </c>
      <c r="U40" s="15"/>
      <c r="V40" s="15">
        <f t="shared" si="9"/>
        <v>-0.16890028295896106</v>
      </c>
      <c r="W40" s="15">
        <f>N40/(E40-A27)</f>
        <v>-0.11685828205658812</v>
      </c>
      <c r="X40" s="15" t="s">
        <v>69</v>
      </c>
      <c r="Y40" s="15">
        <f t="shared" si="10"/>
        <v>-5.4271014074436665E-2</v>
      </c>
      <c r="Z40" s="15">
        <f>Q40/(H40-B27)</f>
        <v>-1.6919571000456234E-2</v>
      </c>
      <c r="AA40" s="15" t="s">
        <v>69</v>
      </c>
      <c r="AB40" s="15">
        <f t="shared" si="11"/>
        <v>2.4052452411422416</v>
      </c>
      <c r="AC40" s="15">
        <f>T40/(K40-C27)</f>
        <v>0.32273717439125049</v>
      </c>
      <c r="AD40" s="15" t="s">
        <v>69</v>
      </c>
      <c r="AE40" s="15">
        <f t="shared" si="12"/>
        <v>0.67071376827803975</v>
      </c>
      <c r="AF40" s="15">
        <f>(N40+Q40+T40)/(E40+H40+K40-SUM(A27:C27))</f>
        <v>9.9356375021180401E-2</v>
      </c>
      <c r="AG40" s="15" t="s">
        <v>69</v>
      </c>
    </row>
    <row r="41" spans="1:33" ht="15.75" customHeight="1" x14ac:dyDescent="0.15">
      <c r="A41" s="21">
        <v>1569.2330312151212</v>
      </c>
      <c r="B41" s="21">
        <v>2128.2773333427149</v>
      </c>
      <c r="C41" s="21">
        <v>2329.3493138017184</v>
      </c>
      <c r="D41" s="21">
        <v>1635.0639249137719</v>
      </c>
      <c r="E41" s="21">
        <v>1655.6884232056768</v>
      </c>
      <c r="F41" s="21"/>
      <c r="G41" s="21">
        <v>2223.5323934014455</v>
      </c>
      <c r="H41" s="21">
        <v>2173.7802936514991</v>
      </c>
      <c r="I41" s="21"/>
      <c r="J41" s="21">
        <v>1919.014374764454</v>
      </c>
      <c r="K41" s="21">
        <v>1945.9397225332318</v>
      </c>
      <c r="L41" s="15"/>
      <c r="M41" s="21">
        <f t="shared" si="6"/>
        <v>-65.830893698650698</v>
      </c>
      <c r="N41" s="21">
        <f t="shared" ref="N41:N79" si="13">A41-E41</f>
        <v>-86.455391990555654</v>
      </c>
      <c r="O41" s="15"/>
      <c r="P41" s="21">
        <f t="shared" si="7"/>
        <v>-95.255060058730578</v>
      </c>
      <c r="Q41" s="21">
        <f t="shared" ref="Q41:Q79" si="14">B41-H41</f>
        <v>-45.502960308784168</v>
      </c>
      <c r="R41" s="15"/>
      <c r="S41" s="21">
        <f t="shared" si="8"/>
        <v>410.33493903726435</v>
      </c>
      <c r="T41" s="21">
        <f t="shared" ref="T41:T79" si="15">C41-K41</f>
        <v>383.40959126848657</v>
      </c>
      <c r="U41" s="15"/>
      <c r="V41" s="15">
        <f t="shared" si="9"/>
        <v>-0.34206113684650652</v>
      </c>
      <c r="W41" s="15">
        <f t="shared" ref="W41:W79" si="16">N41/(E41-A28)</f>
        <v>-0.12421825622315286</v>
      </c>
      <c r="X41" s="15" t="s">
        <v>69</v>
      </c>
      <c r="Y41" s="15">
        <f t="shared" si="10"/>
        <v>-0.47568065553956768</v>
      </c>
      <c r="Z41" s="15">
        <f t="shared" ref="Z41:Z79" si="17">Q41/(H41-B28)</f>
        <v>-6.5500659018858501E-2</v>
      </c>
      <c r="AA41" s="15" t="s">
        <v>69</v>
      </c>
      <c r="AB41" s="15">
        <f t="shared" si="11"/>
        <v>2.1590415472255149</v>
      </c>
      <c r="AC41" s="15">
        <f t="shared" ref="AC41:AC79" si="18">T41/(K41-C28)</f>
        <v>0.3737161827859532</v>
      </c>
      <c r="AD41" s="15" t="s">
        <v>69</v>
      </c>
      <c r="AE41" s="15">
        <f t="shared" si="12"/>
        <v>0.42770594715324056</v>
      </c>
      <c r="AF41" s="15">
        <f t="shared" ref="AF41:AF79" si="19">(N41+Q41+T41)/(E41+H41+K41-SUM(A28:C28))</f>
        <v>0.10405043432045706</v>
      </c>
      <c r="AG41" s="15" t="s">
        <v>69</v>
      </c>
    </row>
    <row r="42" spans="1:33" ht="15.75" customHeight="1" x14ac:dyDescent="0.15">
      <c r="A42" s="21">
        <v>1672.6087321664766</v>
      </c>
      <c r="B42" s="21">
        <v>2262.8921184022497</v>
      </c>
      <c r="C42" s="21">
        <v>2341.5798957116731</v>
      </c>
      <c r="D42" s="21">
        <v>1693.2034812113664</v>
      </c>
      <c r="E42" s="21">
        <v>1714.529169603059</v>
      </c>
      <c r="F42" s="21"/>
      <c r="G42" s="21">
        <v>2281.8721061103033</v>
      </c>
      <c r="H42" s="21">
        <v>2208.6323838124927</v>
      </c>
      <c r="I42" s="21"/>
      <c r="J42" s="21">
        <v>2105.7971784678712</v>
      </c>
      <c r="K42" s="21">
        <v>2041.4084446406671</v>
      </c>
      <c r="L42" s="15"/>
      <c r="M42" s="21">
        <f t="shared" si="6"/>
        <v>-20.594749044889795</v>
      </c>
      <c r="N42" s="21">
        <f t="shared" si="13"/>
        <v>-41.920437436582461</v>
      </c>
      <c r="O42" s="15"/>
      <c r="P42" s="21">
        <f t="shared" si="7"/>
        <v>-18.979987708053613</v>
      </c>
      <c r="Q42" s="21">
        <f t="shared" si="14"/>
        <v>54.259734589757045</v>
      </c>
      <c r="R42" s="15"/>
      <c r="S42" s="21">
        <f t="shared" si="8"/>
        <v>235.78271724380193</v>
      </c>
      <c r="T42" s="21">
        <f t="shared" si="15"/>
        <v>300.171451071006</v>
      </c>
      <c r="U42" s="15"/>
      <c r="V42" s="15">
        <f t="shared" si="9"/>
        <v>-9.1553736571558852E-2</v>
      </c>
      <c r="W42" s="15">
        <f t="shared" si="16"/>
        <v>-5.9713673517890822E-2</v>
      </c>
      <c r="X42" s="15" t="s">
        <v>69</v>
      </c>
      <c r="Y42" s="15">
        <f t="shared" si="10"/>
        <v>-6.979937052105667E-2</v>
      </c>
      <c r="Z42" s="15">
        <f t="shared" si="17"/>
        <v>7.8737838242124811E-2</v>
      </c>
      <c r="AA42" s="15" t="s">
        <v>69</v>
      </c>
      <c r="AB42" s="15">
        <f t="shared" si="11"/>
        <v>0.73597589111415029</v>
      </c>
      <c r="AC42" s="15">
        <f t="shared" si="18"/>
        <v>0.28772988742618966</v>
      </c>
      <c r="AD42" s="15" t="s">
        <v>69</v>
      </c>
      <c r="AE42" s="15">
        <f t="shared" si="12"/>
        <v>0.24008711553161008</v>
      </c>
      <c r="AF42" s="15">
        <f t="shared" si="19"/>
        <v>0.12837367447090228</v>
      </c>
      <c r="AG42" s="15" t="s">
        <v>69</v>
      </c>
    </row>
    <row r="43" spans="1:33" ht="15.75" customHeight="1" x14ac:dyDescent="0.15">
      <c r="A43" s="21">
        <v>1759.3473376755221</v>
      </c>
      <c r="B43" s="21">
        <v>2345.7395591635791</v>
      </c>
      <c r="C43" s="21">
        <v>2464.3264171551345</v>
      </c>
      <c r="D43" s="21">
        <v>1726.683375851208</v>
      </c>
      <c r="E43" s="21">
        <v>1739.826309961597</v>
      </c>
      <c r="F43" s="21"/>
      <c r="G43" s="21">
        <v>2365.2284265764756</v>
      </c>
      <c r="H43" s="21">
        <v>2316.313642002493</v>
      </c>
      <c r="I43" s="21"/>
      <c r="J43" s="21">
        <v>2279.616086098642</v>
      </c>
      <c r="K43" s="21">
        <v>2111.0807644452975</v>
      </c>
      <c r="L43" s="15"/>
      <c r="M43" s="21">
        <f t="shared" si="6"/>
        <v>32.663961824314129</v>
      </c>
      <c r="N43" s="21">
        <f t="shared" si="13"/>
        <v>19.52102771392515</v>
      </c>
      <c r="O43" s="15"/>
      <c r="P43" s="21">
        <f t="shared" si="7"/>
        <v>-19.488867412896525</v>
      </c>
      <c r="Q43" s="21">
        <f t="shared" si="14"/>
        <v>29.42591716108609</v>
      </c>
      <c r="R43" s="15"/>
      <c r="S43" s="21">
        <f t="shared" si="8"/>
        <v>184.71033105649258</v>
      </c>
      <c r="T43" s="21">
        <f t="shared" si="15"/>
        <v>353.24565270983703</v>
      </c>
      <c r="U43" s="15"/>
      <c r="V43" s="15">
        <f t="shared" si="9"/>
        <v>0.13828636797406454</v>
      </c>
      <c r="W43" s="15">
        <f t="shared" si="16"/>
        <v>2.8304472885621941E-2</v>
      </c>
      <c r="X43" s="15" t="s">
        <v>69</v>
      </c>
      <c r="Y43" s="15">
        <f t="shared" si="10"/>
        <v>-8.3669421967574806E-2</v>
      </c>
      <c r="Z43" s="15">
        <f t="shared" si="17"/>
        <v>4.191844608296396E-2</v>
      </c>
      <c r="AA43" s="15" t="s">
        <v>69</v>
      </c>
      <c r="AB43" s="15">
        <f t="shared" si="11"/>
        <v>0.45507872272492234</v>
      </c>
      <c r="AC43" s="15">
        <f t="shared" si="18"/>
        <v>0.34169024098559636</v>
      </c>
      <c r="AD43" s="15" t="s">
        <v>69</v>
      </c>
      <c r="AE43" s="15">
        <f t="shared" si="12"/>
        <v>0.22614992207299361</v>
      </c>
      <c r="AF43" s="15">
        <f t="shared" si="19"/>
        <v>0.16581989835087957</v>
      </c>
      <c r="AG43" s="15" t="s">
        <v>69</v>
      </c>
    </row>
    <row r="44" spans="1:33" ht="15.75" customHeight="1" x14ac:dyDescent="0.15">
      <c r="A44" s="21">
        <v>1728.8351923709977</v>
      </c>
      <c r="B44" s="21">
        <v>2390.6504310837445</v>
      </c>
      <c r="C44" s="21">
        <v>2363.0691787245205</v>
      </c>
      <c r="D44" s="21">
        <v>1736.7790526660915</v>
      </c>
      <c r="E44" s="21">
        <v>1765.4640400590429</v>
      </c>
      <c r="F44" s="21"/>
      <c r="G44" s="21">
        <v>2383.0739485761869</v>
      </c>
      <c r="H44" s="21">
        <v>2327.3166977608421</v>
      </c>
      <c r="I44" s="21"/>
      <c r="J44" s="21">
        <v>2569.9211007138792</v>
      </c>
      <c r="K44" s="21">
        <v>2186.3815930183073</v>
      </c>
      <c r="L44" s="15"/>
      <c r="M44" s="21">
        <f t="shared" si="6"/>
        <v>-7.9438602950938275</v>
      </c>
      <c r="N44" s="21">
        <f t="shared" si="13"/>
        <v>-36.628847688045198</v>
      </c>
      <c r="O44" s="15"/>
      <c r="P44" s="21">
        <f t="shared" si="7"/>
        <v>7.5764825075575573</v>
      </c>
      <c r="Q44" s="21">
        <f t="shared" si="14"/>
        <v>63.33373332290239</v>
      </c>
      <c r="R44" s="15"/>
      <c r="S44" s="21">
        <f t="shared" si="8"/>
        <v>-206.85192198935874</v>
      </c>
      <c r="T44" s="21">
        <f t="shared" si="15"/>
        <v>176.68758570621321</v>
      </c>
      <c r="U44" s="15"/>
      <c r="V44" s="15">
        <f t="shared" si="9"/>
        <v>-3.5403745929855436E-2</v>
      </c>
      <c r="W44" s="15">
        <f t="shared" si="16"/>
        <v>-5.498256586425903E-2</v>
      </c>
      <c r="X44" s="15" t="s">
        <v>69</v>
      </c>
      <c r="Y44" s="15">
        <f t="shared" si="10"/>
        <v>2.8607824114846182E-2</v>
      </c>
      <c r="Z44" s="15">
        <f t="shared" si="17"/>
        <v>8.9550874442687306E-2</v>
      </c>
      <c r="AA44" s="15" t="s">
        <v>69</v>
      </c>
      <c r="AB44" s="15">
        <f t="shared" si="11"/>
        <v>-0.47221462757027249</v>
      </c>
      <c r="AC44" s="15">
        <f t="shared" si="18"/>
        <v>0.16998039767733908</v>
      </c>
      <c r="AD44" s="15" t="s">
        <v>69</v>
      </c>
      <c r="AE44" s="15">
        <f t="shared" si="12"/>
        <v>-0.22347365067106942</v>
      </c>
      <c r="AF44" s="15">
        <f t="shared" si="19"/>
        <v>8.4294263219000909E-2</v>
      </c>
      <c r="AG44" s="15" t="s">
        <v>69</v>
      </c>
    </row>
    <row r="45" spans="1:33" ht="15.75" customHeight="1" x14ac:dyDescent="0.15">
      <c r="A45" s="21">
        <v>1782.4062890912455</v>
      </c>
      <c r="B45" s="21">
        <v>2487.733373307321</v>
      </c>
      <c r="C45" s="21">
        <v>2416.0203088072517</v>
      </c>
      <c r="D45" s="21">
        <v>1758.4585048752247</v>
      </c>
      <c r="E45" s="21">
        <v>1776.9902316607372</v>
      </c>
      <c r="F45" s="21"/>
      <c r="G45" s="21">
        <v>2378.8917153369903</v>
      </c>
      <c r="H45" s="21">
        <v>2353.9406173997349</v>
      </c>
      <c r="I45" s="21"/>
      <c r="J45" s="21">
        <v>2863.83150970837</v>
      </c>
      <c r="K45" s="21">
        <v>2315.6423843782168</v>
      </c>
      <c r="L45" s="15"/>
      <c r="M45" s="21">
        <f t="shared" si="6"/>
        <v>23.947784216020864</v>
      </c>
      <c r="N45" s="21">
        <f t="shared" si="13"/>
        <v>5.4160574305083173</v>
      </c>
      <c r="O45" s="15"/>
      <c r="P45" s="21">
        <f t="shared" si="7"/>
        <v>108.84165797033074</v>
      </c>
      <c r="Q45" s="21">
        <f t="shared" si="14"/>
        <v>133.79275590758607</v>
      </c>
      <c r="R45" s="15"/>
      <c r="S45" s="21">
        <f t="shared" si="8"/>
        <v>-447.81120090111835</v>
      </c>
      <c r="T45" s="21">
        <f t="shared" si="15"/>
        <v>100.37792442903492</v>
      </c>
      <c r="U45" s="15"/>
      <c r="V45" s="15">
        <f t="shared" si="9"/>
        <v>0.12655687288190967</v>
      </c>
      <c r="W45" s="15">
        <f t="shared" si="16"/>
        <v>8.5499836705327133E-3</v>
      </c>
      <c r="X45" s="15" t="s">
        <v>69</v>
      </c>
      <c r="Y45" s="15">
        <f t="shared" si="10"/>
        <v>0.43429932912955066</v>
      </c>
      <c r="Z45" s="15">
        <f t="shared" si="17"/>
        <v>0.1967365317452765</v>
      </c>
      <c r="AA45" s="15" t="s">
        <v>69</v>
      </c>
      <c r="AB45" s="15">
        <f t="shared" si="11"/>
        <v>-0.83784119345919139</v>
      </c>
      <c r="AC45" s="15">
        <f t="shared" si="18"/>
        <v>9.1996230867538831E-2</v>
      </c>
      <c r="AD45" s="15" t="s">
        <v>69</v>
      </c>
      <c r="AE45" s="15">
        <f t="shared" si="12"/>
        <v>-0.32332405718422175</v>
      </c>
      <c r="AF45" s="15">
        <f t="shared" si="19"/>
        <v>9.9635681725642147E-2</v>
      </c>
      <c r="AG45" s="15" t="s">
        <v>69</v>
      </c>
    </row>
    <row r="46" spans="1:33" ht="15.75" customHeight="1" x14ac:dyDescent="0.15">
      <c r="A46" s="21">
        <v>1850.7435172953731</v>
      </c>
      <c r="B46" s="21">
        <v>2527.1302138240221</v>
      </c>
      <c r="C46" s="21">
        <v>2513.7012899130855</v>
      </c>
      <c r="D46" s="21">
        <v>1823.3843426323397</v>
      </c>
      <c r="E46" s="21">
        <v>1802.6302247341655</v>
      </c>
      <c r="F46" s="21"/>
      <c r="G46" s="21">
        <v>2440.8807662000891</v>
      </c>
      <c r="H46" s="21">
        <v>2407.7436444447758</v>
      </c>
      <c r="I46" s="21"/>
      <c r="J46" s="21">
        <v>2996.0520084868458</v>
      </c>
      <c r="K46" s="21">
        <v>2326.8423279760827</v>
      </c>
      <c r="L46" s="15"/>
      <c r="M46" s="21">
        <f t="shared" si="6"/>
        <v>27.3591746630334</v>
      </c>
      <c r="N46" s="21">
        <f t="shared" si="13"/>
        <v>48.113292561207572</v>
      </c>
      <c r="O46" s="15"/>
      <c r="P46" s="21">
        <f t="shared" si="7"/>
        <v>86.249447623933065</v>
      </c>
      <c r="Q46" s="21">
        <f t="shared" si="14"/>
        <v>119.38656937924634</v>
      </c>
      <c r="R46" s="15"/>
      <c r="S46" s="21">
        <f t="shared" si="8"/>
        <v>-482.35071857376033</v>
      </c>
      <c r="T46" s="21">
        <f t="shared" si="15"/>
        <v>186.85896193700273</v>
      </c>
      <c r="U46" s="15"/>
      <c r="V46" s="15">
        <f t="shared" si="9"/>
        <v>0.18145623538515038</v>
      </c>
      <c r="W46" s="15">
        <f t="shared" si="16"/>
        <v>7.9163343073401463E-2</v>
      </c>
      <c r="X46" s="15" t="s">
        <v>69</v>
      </c>
      <c r="Y46" s="15">
        <f t="shared" si="10"/>
        <v>0.48457836323300651</v>
      </c>
      <c r="Z46" s="15">
        <f t="shared" si="17"/>
        <v>0.18075447963329455</v>
      </c>
      <c r="AA46" s="15" t="s">
        <v>69</v>
      </c>
      <c r="AB46" s="15">
        <f t="shared" si="11"/>
        <v>-0.73700729054510483</v>
      </c>
      <c r="AC46" s="15">
        <f t="shared" si="18"/>
        <v>0.17358279450598957</v>
      </c>
      <c r="AD46" s="15" t="s">
        <v>69</v>
      </c>
      <c r="AE46" s="15">
        <f t="shared" si="12"/>
        <v>-0.37502894232562362</v>
      </c>
      <c r="AF46" s="15">
        <f t="shared" si="19"/>
        <v>0.15112888691855805</v>
      </c>
      <c r="AG46" s="15" t="s">
        <v>69</v>
      </c>
    </row>
    <row r="47" spans="1:33" ht="15.75" customHeight="1" x14ac:dyDescent="0.15">
      <c r="A47" s="21">
        <v>1904.8123051280272</v>
      </c>
      <c r="B47" s="21">
        <v>2580.0219387015022</v>
      </c>
      <c r="C47" s="21">
        <v>2761.5722427298592</v>
      </c>
      <c r="D47" s="21">
        <v>1919.3938464773196</v>
      </c>
      <c r="E47" s="21">
        <v>1843.4341615799594</v>
      </c>
      <c r="F47" s="21"/>
      <c r="G47" s="21">
        <v>2520.7891271805256</v>
      </c>
      <c r="H47" s="21">
        <v>2458.9396455156375</v>
      </c>
      <c r="I47" s="21"/>
      <c r="J47" s="21">
        <v>3055.708534775114</v>
      </c>
      <c r="K47" s="21">
        <v>2232.0618205218684</v>
      </c>
      <c r="L47" s="15"/>
      <c r="M47" s="21">
        <f t="shared" si="6"/>
        <v>-14.581541349292365</v>
      </c>
      <c r="N47" s="21">
        <f t="shared" si="13"/>
        <v>61.378143548067783</v>
      </c>
      <c r="O47" s="15"/>
      <c r="P47" s="21">
        <f t="shared" si="7"/>
        <v>59.232811520976611</v>
      </c>
      <c r="Q47" s="21">
        <f t="shared" si="14"/>
        <v>121.08229318586473</v>
      </c>
      <c r="R47" s="15"/>
      <c r="S47" s="21">
        <f t="shared" si="8"/>
        <v>-294.13629204525478</v>
      </c>
      <c r="T47" s="21">
        <f t="shared" si="15"/>
        <v>529.51042220799081</v>
      </c>
      <c r="U47" s="15"/>
      <c r="V47" s="15">
        <f t="shared" si="9"/>
        <v>-9.1108150114978331E-2</v>
      </c>
      <c r="W47" s="15">
        <f t="shared" si="16"/>
        <v>0.10219771264390623</v>
      </c>
      <c r="X47" s="15" t="s">
        <v>69</v>
      </c>
      <c r="Y47" s="15">
        <f t="shared" si="10"/>
        <v>0.33837736472015911</v>
      </c>
      <c r="Z47" s="15">
        <f t="shared" si="17"/>
        <v>0.18271443564365802</v>
      </c>
      <c r="AA47" s="15" t="s">
        <v>69</v>
      </c>
      <c r="AB47" s="15">
        <f t="shared" si="11"/>
        <v>-0.49737096080789167</v>
      </c>
      <c r="AC47" s="15">
        <f t="shared" si="18"/>
        <v>0.55764014115578497</v>
      </c>
      <c r="AD47" s="15" t="s">
        <v>69</v>
      </c>
      <c r="AE47" s="15">
        <f t="shared" si="12"/>
        <v>-0.26928320965472125</v>
      </c>
      <c r="AF47" s="15">
        <f t="shared" si="19"/>
        <v>0.32174760450630163</v>
      </c>
      <c r="AG47" s="15" t="s">
        <v>69</v>
      </c>
    </row>
    <row r="48" spans="1:33" ht="15.75" customHeight="1" x14ac:dyDescent="0.15">
      <c r="A48" s="21">
        <v>1944.1594303557576</v>
      </c>
      <c r="B48" s="21">
        <v>2627.4223505797336</v>
      </c>
      <c r="C48" s="21">
        <v>2864.1538382536332</v>
      </c>
      <c r="D48" s="21">
        <v>1943.1723587078209</v>
      </c>
      <c r="E48" s="21">
        <v>1922.3099240610545</v>
      </c>
      <c r="F48" s="21"/>
      <c r="G48" s="21">
        <v>2591.8033656203579</v>
      </c>
      <c r="H48" s="21">
        <v>2539.090088744993</v>
      </c>
      <c r="I48" s="21"/>
      <c r="J48" s="21">
        <v>2969.635600975153</v>
      </c>
      <c r="K48" s="21">
        <v>2096.8847025388968</v>
      </c>
      <c r="L48" s="15"/>
      <c r="M48" s="21">
        <f t="shared" si="6"/>
        <v>0.98707164793677293</v>
      </c>
      <c r="N48" s="21">
        <f t="shared" si="13"/>
        <v>21.849506294703133</v>
      </c>
      <c r="O48" s="15"/>
      <c r="P48" s="21">
        <f t="shared" si="7"/>
        <v>35.618984959375666</v>
      </c>
      <c r="Q48" s="21">
        <f t="shared" si="14"/>
        <v>88.332261834740621</v>
      </c>
      <c r="R48" s="15"/>
      <c r="S48" s="21">
        <f t="shared" si="8"/>
        <v>-105.48176272151977</v>
      </c>
      <c r="T48" s="21">
        <f t="shared" si="15"/>
        <v>767.26913571473642</v>
      </c>
      <c r="U48" s="15"/>
      <c r="V48" s="15">
        <f t="shared" si="9"/>
        <v>4.6052285975714778E-3</v>
      </c>
      <c r="W48" s="15">
        <f t="shared" si="16"/>
        <v>3.5445484045274908E-2</v>
      </c>
      <c r="X48" s="15" t="s">
        <v>69</v>
      </c>
      <c r="Y48" s="15">
        <f t="shared" si="10"/>
        <v>0.17707415027988258</v>
      </c>
      <c r="Z48" s="15">
        <f t="shared" si="17"/>
        <v>0.12891501116451715</v>
      </c>
      <c r="AA48" s="15" t="s">
        <v>69</v>
      </c>
      <c r="AB48" s="15">
        <f t="shared" si="11"/>
        <v>-0.17389977231205</v>
      </c>
      <c r="AC48" s="15">
        <f t="shared" si="18"/>
        <v>0.98585407270993142</v>
      </c>
      <c r="AD48" s="15" t="s">
        <v>69</v>
      </c>
      <c r="AE48" s="15">
        <f t="shared" si="12"/>
        <v>-6.7389331759928964E-2</v>
      </c>
      <c r="AF48" s="15">
        <f t="shared" si="19"/>
        <v>0.42187128835655829</v>
      </c>
      <c r="AG48" s="15" t="s">
        <v>69</v>
      </c>
    </row>
    <row r="49" spans="1:33" ht="15.75" customHeight="1" x14ac:dyDescent="0.15">
      <c r="A49" s="21">
        <v>2002.4985839428007</v>
      </c>
      <c r="B49" s="21">
        <v>2703.2888002716363</v>
      </c>
      <c r="C49" s="21">
        <v>2762.4926945684206</v>
      </c>
      <c r="D49" s="21">
        <v>2001.0753185192539</v>
      </c>
      <c r="E49" s="21">
        <v>1988.5407666453116</v>
      </c>
      <c r="F49" s="21"/>
      <c r="G49" s="21">
        <v>2721.3793414166621</v>
      </c>
      <c r="H49" s="21">
        <v>2623.2011919243869</v>
      </c>
      <c r="I49" s="21"/>
      <c r="J49" s="21">
        <v>2915.8882769873444</v>
      </c>
      <c r="K49" s="21">
        <v>2262.7200056009592</v>
      </c>
      <c r="L49" s="15"/>
      <c r="M49" s="21">
        <f t="shared" si="6"/>
        <v>1.423265423546809</v>
      </c>
      <c r="N49" s="21">
        <f t="shared" si="13"/>
        <v>13.9578172974891</v>
      </c>
      <c r="O49" s="15"/>
      <c r="P49" s="21">
        <f t="shared" si="7"/>
        <v>-18.090541145025782</v>
      </c>
      <c r="Q49" s="21">
        <f t="shared" si="14"/>
        <v>80.087608347249443</v>
      </c>
      <c r="R49" s="15"/>
      <c r="S49" s="21">
        <f t="shared" si="8"/>
        <v>-153.39558241892382</v>
      </c>
      <c r="T49" s="21">
        <f t="shared" si="15"/>
        <v>499.77268896746136</v>
      </c>
      <c r="U49" s="15"/>
      <c r="V49" s="15">
        <f t="shared" si="9"/>
        <v>6.5087654491802907E-3</v>
      </c>
      <c r="W49" s="15">
        <f t="shared" si="16"/>
        <v>2.1944671772639042E-2</v>
      </c>
      <c r="X49" s="15" t="s">
        <v>69</v>
      </c>
      <c r="Y49" s="15">
        <f t="shared" si="10"/>
        <v>-7.742714882441204E-2</v>
      </c>
      <c r="Z49" s="15">
        <f t="shared" si="17"/>
        <v>0.1139841197577086</v>
      </c>
      <c r="AA49" s="15" t="s">
        <v>69</v>
      </c>
      <c r="AB49" s="15">
        <f t="shared" si="11"/>
        <v>-0.30687219862757514</v>
      </c>
      <c r="AC49" s="15">
        <f t="shared" si="18"/>
        <v>0.6704291818452548</v>
      </c>
      <c r="AD49" s="15" t="s">
        <v>69</v>
      </c>
      <c r="AE49" s="15">
        <f t="shared" si="12"/>
        <v>-0.17860313013714252</v>
      </c>
      <c r="AF49" s="15">
        <f t="shared" si="19"/>
        <v>0.28492531606838967</v>
      </c>
      <c r="AG49" s="15" t="s">
        <v>69</v>
      </c>
    </row>
    <row r="50" spans="1:33" ht="15.75" customHeight="1" x14ac:dyDescent="0.15">
      <c r="A50" s="21">
        <v>2019.7046448613803</v>
      </c>
      <c r="B50" s="21">
        <v>2618.404268376959</v>
      </c>
      <c r="C50" s="21">
        <v>2912.8856742564212</v>
      </c>
      <c r="D50" s="21">
        <v>2066.9560134858484</v>
      </c>
      <c r="E50" s="21">
        <v>2122.3929325675058</v>
      </c>
      <c r="G50" s="21">
        <v>2788.5183407598406</v>
      </c>
      <c r="H50" s="21">
        <v>2754.3379976985325</v>
      </c>
      <c r="I50" s="21"/>
      <c r="J50" s="21">
        <v>2851.0310127763605</v>
      </c>
      <c r="K50" s="21">
        <v>2639.8688917838704</v>
      </c>
      <c r="L50" s="15"/>
      <c r="M50" s="21">
        <f t="shared" si="6"/>
        <v>-47.251368624468114</v>
      </c>
      <c r="N50" s="21">
        <f t="shared" si="13"/>
        <v>-102.68828770612549</v>
      </c>
      <c r="O50" s="15"/>
      <c r="P50" s="21">
        <f t="shared" si="7"/>
        <v>-170.11407238288166</v>
      </c>
      <c r="Q50" s="21">
        <f t="shared" si="14"/>
        <v>-135.93372932157354</v>
      </c>
      <c r="R50" s="15"/>
      <c r="S50" s="21">
        <f t="shared" si="8"/>
        <v>61.854661480060713</v>
      </c>
      <c r="T50" s="21">
        <f t="shared" si="15"/>
        <v>273.01678247255086</v>
      </c>
      <c r="U50" s="15"/>
      <c r="V50" s="15">
        <f t="shared" si="9"/>
        <v>-0.21854133991793598</v>
      </c>
      <c r="W50" s="15">
        <f t="shared" si="16"/>
        <v>-0.15106048330591018</v>
      </c>
      <c r="X50" s="15" t="s">
        <v>69</v>
      </c>
      <c r="Y50" s="15">
        <f t="shared" si="10"/>
        <v>-0.65081025055377384</v>
      </c>
      <c r="Z50" s="15">
        <f t="shared" si="17"/>
        <v>-0.18594170551157596</v>
      </c>
      <c r="AA50" s="15" t="s">
        <v>69</v>
      </c>
      <c r="AB50" s="15">
        <f t="shared" si="11"/>
        <v>0.18336558354548368</v>
      </c>
      <c r="AC50" s="15">
        <f t="shared" si="18"/>
        <v>0.29971914188463822</v>
      </c>
      <c r="AD50" s="15" t="s">
        <v>69</v>
      </c>
      <c r="AE50" s="15">
        <f t="shared" si="12"/>
        <v>-0.19082708147093538</v>
      </c>
      <c r="AF50" s="15">
        <f t="shared" si="19"/>
        <v>1.4814174931089035E-2</v>
      </c>
      <c r="AG50" s="15" t="s">
        <v>69</v>
      </c>
    </row>
    <row r="51" spans="1:33" ht="15.75" customHeight="1" x14ac:dyDescent="0.15">
      <c r="A51" s="21">
        <v>2085.2999319173723</v>
      </c>
      <c r="B51" s="21">
        <v>2716.393165286132</v>
      </c>
      <c r="C51" s="21">
        <v>2974.9897751965091</v>
      </c>
      <c r="D51" s="21">
        <v>2120.1660953462024</v>
      </c>
      <c r="E51" s="21">
        <v>2187.5834542793386</v>
      </c>
      <c r="F51" s="21"/>
      <c r="G51" s="21">
        <v>2885.9966771964605</v>
      </c>
      <c r="H51" s="21">
        <v>2823.3428802554508</v>
      </c>
      <c r="I51" s="21"/>
      <c r="J51" s="21">
        <v>2901.9461976561729</v>
      </c>
      <c r="K51" s="21">
        <v>2944.5659572925379</v>
      </c>
      <c r="L51" s="15"/>
      <c r="M51" s="21">
        <f t="shared" si="6"/>
        <v>-34.866163428830077</v>
      </c>
      <c r="N51" s="21">
        <f t="shared" si="13"/>
        <v>-102.28352236196633</v>
      </c>
      <c r="O51" s="15"/>
      <c r="P51" s="21">
        <f t="shared" si="7"/>
        <v>-169.60351191032851</v>
      </c>
      <c r="Q51" s="21">
        <f t="shared" si="14"/>
        <v>-106.94971496931885</v>
      </c>
      <c r="R51" s="15"/>
      <c r="S51" s="21">
        <f t="shared" si="8"/>
        <v>73.043577540336173</v>
      </c>
      <c r="T51" s="21">
        <f t="shared" si="15"/>
        <v>30.423817903971212</v>
      </c>
      <c r="U51" s="15"/>
      <c r="V51" s="15">
        <f t="shared" si="9"/>
        <v>-0.16190178679236214</v>
      </c>
      <c r="W51" s="15">
        <f t="shared" si="16"/>
        <v>-0.1421933413157172</v>
      </c>
      <c r="X51" s="15" t="s">
        <v>69</v>
      </c>
      <c r="Y51" s="15">
        <f t="shared" si="10"/>
        <v>-0.55430560295461506</v>
      </c>
      <c r="Z51" s="15">
        <f t="shared" si="17"/>
        <v>-0.131485934219393</v>
      </c>
      <c r="AA51" s="15" t="s">
        <v>69</v>
      </c>
      <c r="AB51" s="15">
        <f t="shared" si="11"/>
        <v>0.52034992943440861</v>
      </c>
      <c r="AC51" s="15">
        <f t="shared" si="18"/>
        <v>2.6246973589291702E-2</v>
      </c>
      <c r="AD51" s="15" t="s">
        <v>69</v>
      </c>
      <c r="AE51" s="15">
        <f t="shared" si="12"/>
        <v>-0.19861811168663354</v>
      </c>
      <c r="AF51" s="15">
        <f t="shared" si="19"/>
        <v>-6.6426068246666761E-2</v>
      </c>
      <c r="AG51" s="15" t="s">
        <v>69</v>
      </c>
    </row>
    <row r="52" spans="1:33" ht="15.75" customHeight="1" x14ac:dyDescent="0.15">
      <c r="A52" s="21">
        <v>2183.8909332333956</v>
      </c>
      <c r="B52" s="21">
        <v>2745.6644725950309</v>
      </c>
      <c r="C52" s="21">
        <v>3609.1225853409246</v>
      </c>
      <c r="D52" s="21">
        <v>2143.7737914098161</v>
      </c>
      <c r="E52" s="21">
        <v>2202.5585718540278</v>
      </c>
      <c r="F52" s="21"/>
      <c r="G52" s="21">
        <v>2929.5297655470645</v>
      </c>
      <c r="H52" s="21">
        <v>2929.8934563193698</v>
      </c>
      <c r="I52" s="21"/>
      <c r="J52" s="21">
        <v>3046.4241637273699</v>
      </c>
      <c r="K52" s="21">
        <v>3217.9465724947677</v>
      </c>
      <c r="L52" s="15"/>
      <c r="M52" s="21">
        <f t="shared" si="6"/>
        <v>40.117141823579459</v>
      </c>
      <c r="N52" s="21">
        <f t="shared" si="13"/>
        <v>-18.66763862063226</v>
      </c>
      <c r="O52" s="15"/>
      <c r="P52" s="21">
        <f t="shared" si="7"/>
        <v>-183.86529295203354</v>
      </c>
      <c r="Q52" s="21">
        <f t="shared" si="14"/>
        <v>-184.22898372433883</v>
      </c>
      <c r="R52" s="15"/>
      <c r="S52" s="21">
        <f t="shared" si="8"/>
        <v>562.69842161355473</v>
      </c>
      <c r="T52" s="21">
        <f t="shared" si="15"/>
        <v>391.17601284615694</v>
      </c>
      <c r="U52" s="15"/>
      <c r="V52" s="15">
        <f t="shared" si="9"/>
        <v>0.20097322463044207</v>
      </c>
      <c r="W52" s="15">
        <f t="shared" si="16"/>
        <v>-2.6215632713365369E-2</v>
      </c>
      <c r="X52" s="15" t="s">
        <v>69</v>
      </c>
      <c r="Y52" s="15">
        <f t="shared" si="10"/>
        <v>-0.60860900409186003</v>
      </c>
      <c r="Z52" s="15">
        <f t="shared" si="17"/>
        <v>-0.23098147543917333</v>
      </c>
      <c r="AA52" s="15" t="s">
        <v>69</v>
      </c>
      <c r="AB52" s="15">
        <f t="shared" si="11"/>
        <v>3.0871641895138549</v>
      </c>
      <c r="AC52" s="15">
        <f t="shared" si="18"/>
        <v>0.29100658847085614</v>
      </c>
      <c r="AD52" s="15" t="s">
        <v>69</v>
      </c>
      <c r="AE52" s="15">
        <f t="shared" si="12"/>
        <v>0.61250746838936498</v>
      </c>
      <c r="AF52" s="15">
        <f t="shared" si="19"/>
        <v>6.5972908910303468E-2</v>
      </c>
      <c r="AG52" s="15" t="s">
        <v>69</v>
      </c>
    </row>
    <row r="53" spans="1:33" ht="15.75" customHeight="1" x14ac:dyDescent="0.15">
      <c r="A53" s="21">
        <v>2202.7435196297188</v>
      </c>
      <c r="B53" s="21">
        <v>2894.8232056186839</v>
      </c>
      <c r="C53" s="21">
        <v>3779.2792574467931</v>
      </c>
      <c r="D53" s="21">
        <v>2172.6012442452984</v>
      </c>
      <c r="E53" s="21">
        <v>2169.4388683124648</v>
      </c>
      <c r="F53" s="21">
        <v>2273.6358480764611</v>
      </c>
      <c r="G53" s="21">
        <v>2945.8511065181929</v>
      </c>
      <c r="H53" s="21">
        <v>2902.5004496036813</v>
      </c>
      <c r="I53" s="21">
        <v>2830.3582181601892</v>
      </c>
      <c r="J53" s="21">
        <v>3117.8927752518375</v>
      </c>
      <c r="K53" s="21">
        <v>3720.5163939664567</v>
      </c>
      <c r="L53" s="21">
        <v>2803.0876658824313</v>
      </c>
      <c r="M53" s="21">
        <f t="shared" si="6"/>
        <v>30.142275384420373</v>
      </c>
      <c r="N53" s="21">
        <f t="shared" si="13"/>
        <v>33.304651317253956</v>
      </c>
      <c r="O53" s="21">
        <f>A53-F53</f>
        <v>-70.89232844674234</v>
      </c>
      <c r="P53" s="21">
        <f t="shared" si="7"/>
        <v>-51.02790089950895</v>
      </c>
      <c r="Q53" s="21">
        <f t="shared" si="14"/>
        <v>-7.6772439849974035</v>
      </c>
      <c r="R53" s="21">
        <f>B53-I53</f>
        <v>64.464987458494761</v>
      </c>
      <c r="S53" s="21">
        <f t="shared" si="8"/>
        <v>661.38648219495553</v>
      </c>
      <c r="T53" s="21">
        <f t="shared" si="15"/>
        <v>58.762863480336364</v>
      </c>
      <c r="U53" s="21">
        <f>C53-L53</f>
        <v>976.19159156436172</v>
      </c>
      <c r="V53" s="15">
        <f t="shared" si="9"/>
        <v>0.17720049369491123</v>
      </c>
      <c r="W53" s="15">
        <f t="shared" si="16"/>
        <v>5.0689009478669202E-2</v>
      </c>
      <c r="X53" s="15">
        <f>O53/(F53-A27)</f>
        <v>-5.2253594277457911E-2</v>
      </c>
      <c r="Y53" s="15">
        <f t="shared" si="10"/>
        <v>-0.21037028254357368</v>
      </c>
      <c r="Z53" s="15">
        <f t="shared" si="17"/>
        <v>-9.7890814400816446E-3</v>
      </c>
      <c r="AA53" s="15">
        <f>R53/(I53-B27)</f>
        <v>4.6304002317314664E-2</v>
      </c>
      <c r="AB53" s="15">
        <f t="shared" si="11"/>
        <v>1.8609632302928625</v>
      </c>
      <c r="AC53" s="15">
        <f t="shared" si="18"/>
        <v>3.6989374878423312E-2</v>
      </c>
      <c r="AD53" s="15">
        <f>U53/(L53-C27)</f>
        <v>0.48547980099893756</v>
      </c>
      <c r="AE53" s="15">
        <f t="shared" si="12"/>
        <v>0.83391486045062313</v>
      </c>
      <c r="AF53" s="15">
        <f t="shared" si="19"/>
        <v>2.785206508328154E-2</v>
      </c>
      <c r="AG53" s="15">
        <f>(O53+R53+U53)/(F53+I53+L53-SUM(A27:C27))</f>
        <v>0.20374540054732737</v>
      </c>
    </row>
    <row r="54" spans="1:33" ht="15.75" customHeight="1" x14ac:dyDescent="0.15">
      <c r="A54" s="21">
        <v>2229.5821040147553</v>
      </c>
      <c r="B54" s="21">
        <v>2941.9385339684272</v>
      </c>
      <c r="C54" s="21">
        <v>3845.8782532546543</v>
      </c>
      <c r="D54" s="21">
        <v>2207.1121911424784</v>
      </c>
      <c r="E54" s="21">
        <v>2160.9773868437337</v>
      </c>
      <c r="F54" s="21">
        <v>2348.5989157116369</v>
      </c>
      <c r="G54" s="21">
        <v>2887.1741764785475</v>
      </c>
      <c r="H54" s="21">
        <v>2836.1459473542232</v>
      </c>
      <c r="I54" s="21">
        <v>2866.5019272600994</v>
      </c>
      <c r="J54" s="21">
        <v>3233.1084127014356</v>
      </c>
      <c r="K54" s="21">
        <v>4205.2707660168071</v>
      </c>
      <c r="L54" s="21">
        <v>2991.5400810938527</v>
      </c>
      <c r="M54" s="21">
        <f t="shared" si="6"/>
        <v>22.469912872276836</v>
      </c>
      <c r="N54" s="21">
        <f t="shared" si="13"/>
        <v>68.604717171021548</v>
      </c>
      <c r="O54" s="21">
        <f t="shared" ref="O54:O79" si="20">A54-F54</f>
        <v>-119.01681169688163</v>
      </c>
      <c r="P54" s="21">
        <f t="shared" si="7"/>
        <v>54.764357489879785</v>
      </c>
      <c r="Q54" s="21">
        <f t="shared" si="14"/>
        <v>105.79258661420408</v>
      </c>
      <c r="R54" s="21">
        <f t="shared" ref="R54:R79" si="21">B54-I54</f>
        <v>75.436606708327872</v>
      </c>
      <c r="S54" s="21">
        <f t="shared" si="8"/>
        <v>612.76984055321873</v>
      </c>
      <c r="T54" s="21">
        <f t="shared" si="15"/>
        <v>-359.39251276215282</v>
      </c>
      <c r="U54" s="21">
        <f t="shared" ref="U54:U79" si="22">C54-L54</f>
        <v>854.33817216080161</v>
      </c>
      <c r="V54" s="15">
        <f t="shared" si="9"/>
        <v>0.11989865572741425</v>
      </c>
      <c r="W54" s="15">
        <f t="shared" si="16"/>
        <v>0.11593641159135766</v>
      </c>
      <c r="X54" s="15">
        <f t="shared" ref="X54:X79" si="23">O54/(F54-A28)</f>
        <v>-8.5691026997885056E-2</v>
      </c>
      <c r="Y54" s="15">
        <f t="shared" si="10"/>
        <v>0.20375925964591315</v>
      </c>
      <c r="Z54" s="15">
        <f t="shared" si="17"/>
        <v>0.14945229173910535</v>
      </c>
      <c r="AA54" s="15">
        <f t="shared" ref="AA54:AA79" si="24">R54/(I54-B28)</f>
        <v>5.4372004407213001E-2</v>
      </c>
      <c r="AB54" s="15">
        <f t="shared" si="11"/>
        <v>1.9135737940684616</v>
      </c>
      <c r="AC54" s="15">
        <f t="shared" si="18"/>
        <v>-0.19158185559303775</v>
      </c>
      <c r="AD54" s="15">
        <f t="shared" ref="AD54:AD79" si="25">U54/(L54-C28)</f>
        <v>0.41241728150116935</v>
      </c>
      <c r="AE54" s="15">
        <f t="shared" si="12"/>
        <v>0.88872223022296593</v>
      </c>
      <c r="AF54" s="15">
        <f t="shared" si="19"/>
        <v>-5.8256401726815288E-2</v>
      </c>
      <c r="AG54" s="15">
        <f t="shared" ref="AG54:AG79" si="26">(O54+R54+U54)/(F54+I54+L54-SUM(A28:C28))</f>
        <v>0.16724035186953612</v>
      </c>
    </row>
    <row r="55" spans="1:33" ht="15.75" customHeight="1" x14ac:dyDescent="0.15">
      <c r="A55" s="21">
        <v>2225.8763388198099</v>
      </c>
      <c r="B55" s="21">
        <v>2986.4006076582591</v>
      </c>
      <c r="C55" s="21">
        <v>3641.5308173496041</v>
      </c>
      <c r="D55" s="21">
        <v>2287.6965298029863</v>
      </c>
      <c r="E55" s="21">
        <v>2239.3506901720089</v>
      </c>
      <c r="F55" s="21">
        <v>2412.8098654693781</v>
      </c>
      <c r="G55" s="21">
        <v>2894.7225128562004</v>
      </c>
      <c r="H55" s="21">
        <v>2902.5260926818455</v>
      </c>
      <c r="I55" s="21">
        <v>2888.5193680947036</v>
      </c>
      <c r="J55" s="21">
        <v>3376.1755192383148</v>
      </c>
      <c r="K55" s="21">
        <v>4337.2947842403792</v>
      </c>
      <c r="L55" s="21">
        <v>3096.4804917672736</v>
      </c>
      <c r="M55" s="21">
        <f t="shared" si="6"/>
        <v>-61.820190983176417</v>
      </c>
      <c r="N55" s="21">
        <f t="shared" si="13"/>
        <v>-13.474351352198937</v>
      </c>
      <c r="O55" s="21">
        <f t="shared" si="20"/>
        <v>-186.93352664956819</v>
      </c>
      <c r="P55" s="21">
        <f t="shared" si="7"/>
        <v>91.678094802058695</v>
      </c>
      <c r="Q55" s="21">
        <f t="shared" si="14"/>
        <v>83.874514976413593</v>
      </c>
      <c r="R55" s="21">
        <f t="shared" si="21"/>
        <v>97.881239563555482</v>
      </c>
      <c r="S55" s="21">
        <f t="shared" si="8"/>
        <v>265.35529811128936</v>
      </c>
      <c r="T55" s="21">
        <f t="shared" si="15"/>
        <v>-695.76396689077501</v>
      </c>
      <c r="U55" s="21">
        <f t="shared" si="22"/>
        <v>545.05032558233052</v>
      </c>
      <c r="V55" s="15">
        <f t="shared" si="9"/>
        <v>-0.30544086031581702</v>
      </c>
      <c r="W55" s="15">
        <f t="shared" si="16"/>
        <v>-2.3775108163188802E-2</v>
      </c>
      <c r="X55" s="15">
        <f t="shared" si="23"/>
        <v>-0.13349488501198159</v>
      </c>
      <c r="Y55" s="15">
        <f t="shared" si="10"/>
        <v>0.51409426463603769</v>
      </c>
      <c r="Z55" s="15">
        <f t="shared" si="17"/>
        <v>0.13112892427404191</v>
      </c>
      <c r="AA55" s="15">
        <f t="shared" si="24"/>
        <v>7.149804012500742E-2</v>
      </c>
      <c r="AB55" s="15">
        <f t="shared" si="11"/>
        <v>0.66142753587883696</v>
      </c>
      <c r="AC55" s="15">
        <f t="shared" si="18"/>
        <v>-0.34862894038121378</v>
      </c>
      <c r="AD55" s="15">
        <f t="shared" si="25"/>
        <v>0.25975651000277405</v>
      </c>
      <c r="AE55" s="15">
        <f t="shared" si="12"/>
        <v>0.3775531251104538</v>
      </c>
      <c r="AF55" s="15">
        <f t="shared" si="19"/>
        <v>-0.19529858403816905</v>
      </c>
      <c r="AG55" s="15">
        <f t="shared" si="26"/>
        <v>9.3679814999080013E-2</v>
      </c>
    </row>
    <row r="56" spans="1:33" ht="15.75" customHeight="1" x14ac:dyDescent="0.15">
      <c r="A56" s="21">
        <v>2306.5286281769404</v>
      </c>
      <c r="B56" s="21">
        <v>3220.9143374788878</v>
      </c>
      <c r="C56" s="21">
        <v>3574.6576454200076</v>
      </c>
      <c r="D56" s="21">
        <v>2363.3136290221105</v>
      </c>
      <c r="E56" s="21">
        <v>2382.5521359041995</v>
      </c>
      <c r="F56" s="21">
        <v>2417.747989570657</v>
      </c>
      <c r="G56" s="21">
        <v>2888.511420282327</v>
      </c>
      <c r="H56" s="21">
        <v>3004.5474197823887</v>
      </c>
      <c r="I56" s="21">
        <v>3036.8832927415178</v>
      </c>
      <c r="J56" s="21">
        <v>3834.9420790839158</v>
      </c>
      <c r="K56" s="21">
        <v>4296.6810936342172</v>
      </c>
      <c r="L56" s="21">
        <v>3154.5736922016085</v>
      </c>
      <c r="M56" s="21">
        <f t="shared" si="6"/>
        <v>-56.785000845170089</v>
      </c>
      <c r="N56" s="21">
        <f t="shared" si="13"/>
        <v>-76.02350772725913</v>
      </c>
      <c r="O56" s="21">
        <f t="shared" si="20"/>
        <v>-111.21936139371655</v>
      </c>
      <c r="P56" s="21">
        <f t="shared" si="7"/>
        <v>332.40291719656079</v>
      </c>
      <c r="Q56" s="21">
        <f t="shared" si="14"/>
        <v>216.36691769649906</v>
      </c>
      <c r="R56" s="21">
        <f t="shared" si="21"/>
        <v>184.03104473736994</v>
      </c>
      <c r="S56" s="21">
        <f t="shared" si="8"/>
        <v>-260.2844336639082</v>
      </c>
      <c r="T56" s="21">
        <f t="shared" si="15"/>
        <v>-722.02344821420957</v>
      </c>
      <c r="U56" s="21">
        <f t="shared" si="22"/>
        <v>420.08395321839907</v>
      </c>
      <c r="V56" s="15">
        <f t="shared" si="9"/>
        <v>-0.31648727935756316</v>
      </c>
      <c r="W56" s="15">
        <f t="shared" si="16"/>
        <v>-0.12198800128519426</v>
      </c>
      <c r="X56" s="15">
        <f t="shared" si="23"/>
        <v>-8.1324384390715918E-2</v>
      </c>
      <c r="Y56" s="15">
        <f t="shared" si="10"/>
        <v>2.3269864885332985</v>
      </c>
      <c r="Z56" s="15">
        <f t="shared" si="17"/>
        <v>0.3284218823577309</v>
      </c>
      <c r="AA56" s="15">
        <f t="shared" si="24"/>
        <v>0.12936703119837165</v>
      </c>
      <c r="AB56" s="15">
        <f t="shared" si="11"/>
        <v>-1.1526216331002057</v>
      </c>
      <c r="AC56" s="15">
        <f t="shared" si="18"/>
        <v>-0.39404131606310877</v>
      </c>
      <c r="AD56" s="15">
        <f t="shared" si="25"/>
        <v>0.20222484269604366</v>
      </c>
      <c r="AE56" s="15">
        <f t="shared" si="12"/>
        <v>2.7976257229406925E-2</v>
      </c>
      <c r="AF56" s="15">
        <f t="shared" si="19"/>
        <v>-0.18677309887209417</v>
      </c>
      <c r="AG56" s="15">
        <f t="shared" si="26"/>
        <v>0.10126336070916798</v>
      </c>
    </row>
    <row r="57" spans="1:33" ht="15.75" customHeight="1" x14ac:dyDescent="0.15">
      <c r="A57" s="21">
        <v>2396.3819566278275</v>
      </c>
      <c r="B57" s="21">
        <v>3213.4041373921705</v>
      </c>
      <c r="C57" s="21">
        <v>3660.7428989200748</v>
      </c>
      <c r="D57" s="21">
        <v>2408.1620299446467</v>
      </c>
      <c r="E57" s="21">
        <v>2378.4138222256001</v>
      </c>
      <c r="F57" s="21">
        <v>2423.6941526398568</v>
      </c>
      <c r="G57" s="21">
        <v>2996.6517237151761</v>
      </c>
      <c r="H57" s="21">
        <v>3090.2682451404762</v>
      </c>
      <c r="I57" s="21">
        <v>3016.0794909542701</v>
      </c>
      <c r="J57" s="21">
        <v>4234.7477300978408</v>
      </c>
      <c r="K57" s="21">
        <v>3980.4504824347359</v>
      </c>
      <c r="L57" s="21">
        <v>3225.8385230144413</v>
      </c>
      <c r="M57" s="21">
        <f t="shared" si="6"/>
        <v>-11.780073316819198</v>
      </c>
      <c r="N57" s="21">
        <f t="shared" si="13"/>
        <v>17.968134402227406</v>
      </c>
      <c r="O57" s="21">
        <f t="shared" si="20"/>
        <v>-27.31219601202929</v>
      </c>
      <c r="P57" s="21">
        <f t="shared" si="7"/>
        <v>216.75241367699437</v>
      </c>
      <c r="Q57" s="21">
        <f t="shared" si="14"/>
        <v>123.13589225169426</v>
      </c>
      <c r="R57" s="21">
        <f t="shared" si="21"/>
        <v>197.32464643790036</v>
      </c>
      <c r="S57" s="21">
        <f t="shared" si="8"/>
        <v>-574.00483117776594</v>
      </c>
      <c r="T57" s="21">
        <f t="shared" si="15"/>
        <v>-319.70758351466111</v>
      </c>
      <c r="U57" s="21">
        <f t="shared" si="22"/>
        <v>434.90437590563351</v>
      </c>
      <c r="V57" s="15">
        <f t="shared" si="9"/>
        <v>-5.7346698205332711E-2</v>
      </c>
      <c r="W57" s="15">
        <f t="shared" si="16"/>
        <v>2.7661215403975464E-2</v>
      </c>
      <c r="X57" s="15">
        <f t="shared" si="23"/>
        <v>-2.0621999923745134E-2</v>
      </c>
      <c r="Y57" s="15">
        <f t="shared" si="10"/>
        <v>2.1286022592570863</v>
      </c>
      <c r="Z57" s="15">
        <f t="shared" si="17"/>
        <v>0.17600451243185358</v>
      </c>
      <c r="AA57" s="15">
        <f t="shared" si="24"/>
        <v>0.14135000724235264</v>
      </c>
      <c r="AB57" s="15">
        <f t="shared" si="11"/>
        <v>-1.2602515116727597</v>
      </c>
      <c r="AC57" s="15">
        <f t="shared" si="18"/>
        <v>-0.19766988945727468</v>
      </c>
      <c r="AD57" s="15">
        <f t="shared" si="25"/>
        <v>0.2091977140170875</v>
      </c>
      <c r="AE57" s="15">
        <f t="shared" si="12"/>
        <v>-0.48384029209256374</v>
      </c>
      <c r="AF57" s="15">
        <f t="shared" si="19"/>
        <v>-6.020525064746228E-2</v>
      </c>
      <c r="AG57" s="15">
        <f t="shared" si="26"/>
        <v>0.12604177151472626</v>
      </c>
    </row>
    <row r="58" spans="1:33" ht="15.75" customHeight="1" x14ac:dyDescent="0.15">
      <c r="A58" s="21">
        <v>2465.2546606190458</v>
      </c>
      <c r="B58" s="21">
        <v>3213.8408170703065</v>
      </c>
      <c r="C58" s="21">
        <v>3719.6589859133283</v>
      </c>
      <c r="D58" s="21">
        <v>2444.4508399840329</v>
      </c>
      <c r="E58" s="21">
        <v>2454.8309407222564</v>
      </c>
      <c r="F58" s="21">
        <v>2404.7652965673037</v>
      </c>
      <c r="G58" s="21">
        <v>3094.1674808482085</v>
      </c>
      <c r="H58" s="21">
        <v>3305.6677421356153</v>
      </c>
      <c r="I58" s="21">
        <v>3023.6829690424292</v>
      </c>
      <c r="J58" s="21">
        <v>4507.3470528895596</v>
      </c>
      <c r="K58" s="21">
        <v>3759.1473478173834</v>
      </c>
      <c r="L58" s="21">
        <v>3397.3419944983639</v>
      </c>
      <c r="M58" s="21">
        <f t="shared" si="6"/>
        <v>20.803820635012926</v>
      </c>
      <c r="N58" s="21">
        <f t="shared" si="13"/>
        <v>10.423719896789407</v>
      </c>
      <c r="O58" s="21">
        <f t="shared" si="20"/>
        <v>60.489364051742086</v>
      </c>
      <c r="P58" s="21">
        <f t="shared" si="7"/>
        <v>119.67333622209799</v>
      </c>
      <c r="Q58" s="21">
        <f t="shared" si="14"/>
        <v>-91.826925065308842</v>
      </c>
      <c r="R58" s="21">
        <f t="shared" si="21"/>
        <v>190.15784802787721</v>
      </c>
      <c r="S58" s="21">
        <f t="shared" si="8"/>
        <v>-787.68806697623131</v>
      </c>
      <c r="T58" s="21">
        <f t="shared" si="15"/>
        <v>-39.488361904055182</v>
      </c>
      <c r="U58" s="21">
        <f t="shared" si="22"/>
        <v>322.31699141496438</v>
      </c>
      <c r="V58" s="15">
        <f t="shared" si="9"/>
        <v>9.6821068645312355E-2</v>
      </c>
      <c r="W58" s="15">
        <f t="shared" si="16"/>
        <v>1.5501692080303688E-2</v>
      </c>
      <c r="X58" s="15">
        <f t="shared" si="23"/>
        <v>4.7960488207730662E-2</v>
      </c>
      <c r="Y58" s="15">
        <f t="shared" si="10"/>
        <v>0.78614047245959617</v>
      </c>
      <c r="Z58" s="15">
        <f t="shared" si="17"/>
        <v>-0.11226686218950864</v>
      </c>
      <c r="AA58" s="15">
        <f t="shared" si="24"/>
        <v>0.14087823223588455</v>
      </c>
      <c r="AB58" s="15">
        <f t="shared" si="11"/>
        <v>-1.1908166604547217</v>
      </c>
      <c r="AC58" s="15">
        <f t="shared" si="18"/>
        <v>-2.9400317882929097E-2</v>
      </c>
      <c r="AD58" s="15">
        <f t="shared" si="25"/>
        <v>0.14834117255451709</v>
      </c>
      <c r="AE58" s="15">
        <f t="shared" si="12"/>
        <v>-0.62923585508650948</v>
      </c>
      <c r="AF58" s="15">
        <f t="shared" si="19"/>
        <v>-4.2665312105051006E-2</v>
      </c>
      <c r="AG58" s="15">
        <f t="shared" si="26"/>
        <v>0.11977064789878715</v>
      </c>
    </row>
    <row r="59" spans="1:33" ht="15.75" customHeight="1" x14ac:dyDescent="0.15">
      <c r="A59" s="21">
        <v>2534.051769486256</v>
      </c>
      <c r="B59" s="21">
        <v>3282.1960500408695</v>
      </c>
      <c r="C59" s="21">
        <v>3582.9930186154934</v>
      </c>
      <c r="D59" s="21">
        <v>2447.0001130994792</v>
      </c>
      <c r="E59" s="21">
        <v>2542.3953967639204</v>
      </c>
      <c r="F59" s="21">
        <v>2411.7005347343807</v>
      </c>
      <c r="G59" s="21">
        <v>3186.8476922468317</v>
      </c>
      <c r="H59" s="21">
        <v>3375.7965174907363</v>
      </c>
      <c r="I59" s="21">
        <v>3077.2492139152655</v>
      </c>
      <c r="J59" s="21">
        <v>4556.9952018528784</v>
      </c>
      <c r="K59" s="21">
        <v>3507.2206327958093</v>
      </c>
      <c r="L59" s="21">
        <v>3360.0757852687866</v>
      </c>
      <c r="M59" s="21">
        <f t="shared" si="6"/>
        <v>87.051656386776813</v>
      </c>
      <c r="N59" s="21">
        <f t="shared" si="13"/>
        <v>-8.3436272776643818</v>
      </c>
      <c r="O59" s="21">
        <f t="shared" si="20"/>
        <v>122.35123475187538</v>
      </c>
      <c r="P59" s="21">
        <f t="shared" si="7"/>
        <v>95.348357794037838</v>
      </c>
      <c r="Q59" s="21">
        <f t="shared" si="14"/>
        <v>-93.600467449866755</v>
      </c>
      <c r="R59" s="21">
        <f t="shared" si="21"/>
        <v>204.94683612560402</v>
      </c>
      <c r="S59" s="21">
        <f t="shared" si="8"/>
        <v>-974.002183237385</v>
      </c>
      <c r="T59" s="21">
        <f t="shared" si="15"/>
        <v>75.772385819684132</v>
      </c>
      <c r="U59" s="21">
        <f t="shared" si="22"/>
        <v>222.91723334670678</v>
      </c>
      <c r="V59" s="15">
        <f t="shared" si="9"/>
        <v>0.39367841232972556</v>
      </c>
      <c r="W59" s="15">
        <f t="shared" si="16"/>
        <v>-1.2063333485156539E-2</v>
      </c>
      <c r="X59" s="15">
        <f t="shared" si="23"/>
        <v>0.10054811263517037</v>
      </c>
      <c r="Y59" s="15">
        <f t="shared" si="10"/>
        <v>0.47567844645755258</v>
      </c>
      <c r="Z59" s="15">
        <f t="shared" si="17"/>
        <v>-0.11029124998301484</v>
      </c>
      <c r="AA59" s="15">
        <f t="shared" si="24"/>
        <v>0.15409585119252378</v>
      </c>
      <c r="AB59" s="15">
        <f t="shared" si="11"/>
        <v>-1.0639432835673592</v>
      </c>
      <c r="AC59" s="15">
        <f t="shared" si="18"/>
        <v>7.6266643787556737E-2</v>
      </c>
      <c r="AD59" s="15">
        <f t="shared" si="25"/>
        <v>0.10566216684698715</v>
      </c>
      <c r="AE59" s="15">
        <f t="shared" si="12"/>
        <v>-0.59205781820712355</v>
      </c>
      <c r="AF59" s="15">
        <f t="shared" si="19"/>
        <v>-1.0328882037269676E-2</v>
      </c>
      <c r="AG59" s="15">
        <f t="shared" si="26"/>
        <v>0.11815930173048057</v>
      </c>
    </row>
    <row r="60" spans="1:33" ht="15.75" customHeight="1" x14ac:dyDescent="0.15">
      <c r="A60" s="21">
        <v>2589.5960035235121</v>
      </c>
      <c r="B60" s="21">
        <v>3386.2357104473117</v>
      </c>
      <c r="C60" s="21">
        <v>4105.934545799978</v>
      </c>
      <c r="D60" s="21">
        <v>2479.4055750494858</v>
      </c>
      <c r="E60" s="21">
        <v>2597.3074546235439</v>
      </c>
      <c r="F60" s="21">
        <v>2446.9173658472478</v>
      </c>
      <c r="G60" s="21">
        <v>3415.0101467574486</v>
      </c>
      <c r="H60" s="21">
        <v>3523.0907809002133</v>
      </c>
      <c r="I60" s="21">
        <v>3126.9596175142237</v>
      </c>
      <c r="J60" s="21">
        <v>4468.9619519351791</v>
      </c>
      <c r="K60" s="21">
        <v>3486.0576340933435</v>
      </c>
      <c r="L60" s="21">
        <v>3134.6193368834984</v>
      </c>
      <c r="M60" s="21">
        <f t="shared" si="6"/>
        <v>110.19042847402625</v>
      </c>
      <c r="N60" s="21">
        <f t="shared" si="13"/>
        <v>-7.7114511000318089</v>
      </c>
      <c r="O60" s="21">
        <f t="shared" si="20"/>
        <v>142.67863767626432</v>
      </c>
      <c r="P60" s="21">
        <f t="shared" si="7"/>
        <v>-28.774436310136934</v>
      </c>
      <c r="Q60" s="21">
        <f t="shared" si="14"/>
        <v>-136.8550704529016</v>
      </c>
      <c r="R60" s="21">
        <f t="shared" si="21"/>
        <v>259.27609293308797</v>
      </c>
      <c r="S60" s="21">
        <f t="shared" si="8"/>
        <v>-363.02740613520109</v>
      </c>
      <c r="T60" s="21">
        <f t="shared" si="15"/>
        <v>619.87691170663447</v>
      </c>
      <c r="U60" s="21">
        <f t="shared" si="22"/>
        <v>971.31520891647961</v>
      </c>
      <c r="V60" s="15">
        <f t="shared" si="9"/>
        <v>0.63739226349979905</v>
      </c>
      <c r="W60" s="15">
        <f t="shared" si="16"/>
        <v>-1.1135747457075486E-2</v>
      </c>
      <c r="X60" s="15">
        <f t="shared" si="23"/>
        <v>0.118497398972676</v>
      </c>
      <c r="Y60" s="15">
        <f t="shared" si="10"/>
        <v>-0.14824862225047153</v>
      </c>
      <c r="Z60" s="15">
        <f t="shared" si="17"/>
        <v>-0.14511673414406506</v>
      </c>
      <c r="AA60" s="15">
        <f t="shared" si="24"/>
        <v>0.19484101225561817</v>
      </c>
      <c r="AB60" s="15">
        <f t="shared" si="11"/>
        <v>-0.40593274961383907</v>
      </c>
      <c r="AC60" s="15">
        <f t="shared" si="18"/>
        <v>0.85560995307306853</v>
      </c>
      <c r="AD60" s="15">
        <f t="shared" si="25"/>
        <v>0.52443617136732845</v>
      </c>
      <c r="AE60" s="15">
        <f t="shared" si="12"/>
        <v>-0.22327482383291652</v>
      </c>
      <c r="AF60" s="15">
        <f t="shared" si="19"/>
        <v>0.20139849342384622</v>
      </c>
      <c r="AG60" s="15">
        <f t="shared" si="26"/>
        <v>0.31303989026824608</v>
      </c>
    </row>
    <row r="61" spans="1:33" ht="15.75" customHeight="1" x14ac:dyDescent="0.15">
      <c r="A61" s="21">
        <v>2552.1072586482451</v>
      </c>
      <c r="B61" s="21">
        <v>3401.9531246953693</v>
      </c>
      <c r="C61" s="21">
        <v>4547.7432241659299</v>
      </c>
      <c r="D61" s="21">
        <v>2554.079530803655</v>
      </c>
      <c r="E61" s="21">
        <v>2584.4804658068169</v>
      </c>
      <c r="F61" s="21">
        <v>2549.6323754077303</v>
      </c>
      <c r="G61" s="21">
        <v>3583.0400444048273</v>
      </c>
      <c r="H61" s="21">
        <v>3542.485386442811</v>
      </c>
      <c r="I61" s="21">
        <v>3229.3141910586523</v>
      </c>
      <c r="J61" s="21">
        <v>4249.6326147907112</v>
      </c>
      <c r="K61" s="21">
        <v>3694.0672874356815</v>
      </c>
      <c r="L61" s="21">
        <v>2841.1069148419851</v>
      </c>
      <c r="M61" s="21">
        <f t="shared" si="6"/>
        <v>-1.9722721554098825</v>
      </c>
      <c r="N61" s="21">
        <f t="shared" si="13"/>
        <v>-32.373207158571859</v>
      </c>
      <c r="O61" s="21">
        <f t="shared" si="20"/>
        <v>2.4748832405148278</v>
      </c>
      <c r="P61" s="21">
        <f t="shared" si="7"/>
        <v>-181.08691970945802</v>
      </c>
      <c r="Q61" s="21">
        <f t="shared" si="14"/>
        <v>-140.53226174744168</v>
      </c>
      <c r="R61" s="21">
        <f t="shared" si="21"/>
        <v>172.63893363671696</v>
      </c>
      <c r="S61" s="21">
        <f t="shared" si="8"/>
        <v>298.1106093752187</v>
      </c>
      <c r="T61" s="21">
        <f t="shared" si="15"/>
        <v>853.6759367302484</v>
      </c>
      <c r="U61" s="21">
        <f t="shared" si="22"/>
        <v>1706.6363093239447</v>
      </c>
      <c r="V61" s="15">
        <f t="shared" si="9"/>
        <v>-1.2506674029182379E-2</v>
      </c>
      <c r="W61" s="15">
        <f t="shared" si="16"/>
        <v>-5.0557775500483605E-2</v>
      </c>
      <c r="X61" s="15">
        <f t="shared" si="23"/>
        <v>1.9898588754340028E-3</v>
      </c>
      <c r="Y61" s="15">
        <f t="shared" si="10"/>
        <v>-0.48990619221215798</v>
      </c>
      <c r="Z61" s="15">
        <f t="shared" si="17"/>
        <v>-0.15357659116335434</v>
      </c>
      <c r="AA61" s="15">
        <f t="shared" si="24"/>
        <v>0.12551708898628824</v>
      </c>
      <c r="AB61" s="15">
        <f t="shared" si="11"/>
        <v>0.50622485219406654</v>
      </c>
      <c r="AC61" s="15">
        <f t="shared" si="18"/>
        <v>1.0286324888114782</v>
      </c>
      <c r="AD61" s="15">
        <f t="shared" si="25"/>
        <v>1.120942784534019</v>
      </c>
      <c r="AE61" s="15">
        <f t="shared" si="12"/>
        <v>0.1030720538808666</v>
      </c>
      <c r="AF61" s="15">
        <f t="shared" si="19"/>
        <v>0.2854027482838376</v>
      </c>
      <c r="AG61" s="15">
        <f t="shared" si="26"/>
        <v>0.45434566569666596</v>
      </c>
    </row>
    <row r="62" spans="1:33" ht="15.75" customHeight="1" x14ac:dyDescent="0.15">
      <c r="A62" s="21">
        <v>2659.1142209892378</v>
      </c>
      <c r="B62" s="21">
        <v>3518.7284186848465</v>
      </c>
      <c r="C62" s="21">
        <v>4752.160163107108</v>
      </c>
      <c r="D62" s="21">
        <v>2621.7472393379471</v>
      </c>
      <c r="E62" s="21">
        <v>2582.9110291357269</v>
      </c>
      <c r="F62" s="21">
        <v>2629.3600132580345</v>
      </c>
      <c r="G62" s="21">
        <v>3602.7052092536092</v>
      </c>
      <c r="H62" s="21">
        <v>3492.1406165399562</v>
      </c>
      <c r="I62" s="21">
        <v>3336.214096106296</v>
      </c>
      <c r="J62" s="21">
        <v>4016.1408997595308</v>
      </c>
      <c r="K62" s="21">
        <v>3786.3267256745057</v>
      </c>
      <c r="L62" s="21">
        <v>3078.7786545486729</v>
      </c>
      <c r="M62" s="21">
        <f t="shared" si="6"/>
        <v>37.366981651290644</v>
      </c>
      <c r="N62" s="21">
        <f t="shared" si="13"/>
        <v>76.203191853510816</v>
      </c>
      <c r="O62" s="21">
        <f t="shared" si="20"/>
        <v>29.754207731203223</v>
      </c>
      <c r="P62" s="21">
        <f t="shared" si="7"/>
        <v>-83.976790568762681</v>
      </c>
      <c r="Q62" s="21">
        <f t="shared" si="14"/>
        <v>26.587802144890247</v>
      </c>
      <c r="R62" s="21">
        <f t="shared" si="21"/>
        <v>182.51432257855049</v>
      </c>
      <c r="S62" s="21">
        <f t="shared" si="8"/>
        <v>736.01926334757718</v>
      </c>
      <c r="T62" s="21">
        <f t="shared" si="15"/>
        <v>965.8334374326023</v>
      </c>
      <c r="U62" s="21">
        <f t="shared" si="22"/>
        <v>1673.3815085584351</v>
      </c>
      <c r="V62" s="15">
        <f t="shared" si="9"/>
        <v>0.23877797884851026</v>
      </c>
      <c r="W62" s="15">
        <f t="shared" si="16"/>
        <v>0.13129145056181771</v>
      </c>
      <c r="X62" s="15">
        <f t="shared" si="23"/>
        <v>2.3302546157964881E-2</v>
      </c>
      <c r="Y62" s="15">
        <f t="shared" si="10"/>
        <v>-0.21595392187304654</v>
      </c>
      <c r="Z62" s="15">
        <f t="shared" si="17"/>
        <v>3.370443167725011E-2</v>
      </c>
      <c r="AA62" s="15">
        <f t="shared" si="24"/>
        <v>0.12892765110601806</v>
      </c>
      <c r="AB62" s="15">
        <f t="shared" si="11"/>
        <v>2.4825098226038191</v>
      </c>
      <c r="AC62" s="15">
        <f t="shared" si="18"/>
        <v>0.94334961340284551</v>
      </c>
      <c r="AD62" s="15">
        <f t="shared" si="25"/>
        <v>1.0716428007384404</v>
      </c>
      <c r="AE62" s="15">
        <f t="shared" si="12"/>
        <v>0.81893277552288701</v>
      </c>
      <c r="AF62" s="15">
        <f t="shared" si="19"/>
        <v>0.44654431234605768</v>
      </c>
      <c r="AG62" s="15">
        <f t="shared" si="26"/>
        <v>0.4432642051344875</v>
      </c>
    </row>
    <row r="63" spans="1:33" ht="15.75" customHeight="1" x14ac:dyDescent="0.15">
      <c r="A63" s="21">
        <v>2692.5827075869361</v>
      </c>
      <c r="B63" s="21">
        <v>3621.2176147767823</v>
      </c>
      <c r="C63" s="21">
        <v>4667.3100438974716</v>
      </c>
      <c r="D63" s="21">
        <v>2705.9613643539155</v>
      </c>
      <c r="E63" s="21">
        <v>2606.7707254052875</v>
      </c>
      <c r="F63" s="21">
        <v>2826.3126102895658</v>
      </c>
      <c r="G63" s="21">
        <v>3633.8013094662974</v>
      </c>
      <c r="H63" s="21">
        <v>3309.7245479565308</v>
      </c>
      <c r="I63" s="21">
        <v>3521.0572039054364</v>
      </c>
      <c r="J63" s="21">
        <v>3578.2251149541567</v>
      </c>
      <c r="K63" s="21">
        <v>3954.1052612819094</v>
      </c>
      <c r="L63" s="21">
        <v>3681.1031941452502</v>
      </c>
      <c r="M63" s="21">
        <f t="shared" si="6"/>
        <v>-13.378656766979475</v>
      </c>
      <c r="N63" s="21">
        <f t="shared" si="13"/>
        <v>85.811982181648546</v>
      </c>
      <c r="O63" s="21">
        <f t="shared" si="20"/>
        <v>-133.72990270262972</v>
      </c>
      <c r="P63" s="21">
        <f t="shared" si="7"/>
        <v>-12.583694689515141</v>
      </c>
      <c r="Q63" s="21">
        <f t="shared" si="14"/>
        <v>311.49306682025144</v>
      </c>
      <c r="R63" s="21">
        <f t="shared" si="21"/>
        <v>100.1604108713459</v>
      </c>
      <c r="S63" s="21">
        <f t="shared" si="8"/>
        <v>1089.0849289433149</v>
      </c>
      <c r="T63" s="21">
        <f t="shared" si="15"/>
        <v>713.20478261556218</v>
      </c>
      <c r="U63" s="21">
        <f t="shared" si="22"/>
        <v>986.20684975222139</v>
      </c>
      <c r="V63" s="15">
        <f t="shared" si="9"/>
        <v>-7.7823793240154593E-2</v>
      </c>
      <c r="W63" s="15">
        <f t="shared" si="16"/>
        <v>0.14617090822577442</v>
      </c>
      <c r="X63" s="15">
        <f t="shared" si="23"/>
        <v>-9.664644274063576E-2</v>
      </c>
      <c r="Y63" s="15">
        <f t="shared" si="10"/>
        <v>-3.5789267515732429E-2</v>
      </c>
      <c r="Z63" s="15">
        <f t="shared" si="17"/>
        <v>0.45057707117992651</v>
      </c>
      <c r="AA63" s="15">
        <f t="shared" si="24"/>
        <v>6.6872809539603423E-2</v>
      </c>
      <c r="AB63" s="15">
        <f t="shared" si="11"/>
        <v>-228.42007857138174</v>
      </c>
      <c r="AC63" s="15">
        <f t="shared" si="18"/>
        <v>0.68497057825527008</v>
      </c>
      <c r="AD63" s="15">
        <f t="shared" si="25"/>
        <v>0.5051919014685593</v>
      </c>
      <c r="AE63" s="15">
        <f t="shared" si="12"/>
        <v>2.049404967474227</v>
      </c>
      <c r="AF63" s="15">
        <f t="shared" si="19"/>
        <v>0.47874934662173668</v>
      </c>
      <c r="AG63" s="15">
        <f t="shared" si="26"/>
        <v>0.19708568966981266</v>
      </c>
    </row>
    <row r="64" spans="1:33" ht="15.75" customHeight="1" x14ac:dyDescent="0.15">
      <c r="A64" s="21">
        <v>2768.7977815267527</v>
      </c>
      <c r="B64" s="21">
        <v>3602.5283644602455</v>
      </c>
      <c r="C64" s="21">
        <v>5048.3401985891387</v>
      </c>
      <c r="D64" s="21">
        <v>2818.6004447963978</v>
      </c>
      <c r="E64" s="21">
        <v>2735.163381322127</v>
      </c>
      <c r="F64" s="21">
        <v>2901.687859821965</v>
      </c>
      <c r="G64" s="21">
        <v>3661.7535983800813</v>
      </c>
      <c r="H64" s="21">
        <v>3270.7328470689836</v>
      </c>
      <c r="I64" s="21">
        <v>3605.4673317984416</v>
      </c>
      <c r="J64" s="21">
        <v>3854.2478746674669</v>
      </c>
      <c r="K64" s="21">
        <v>4192.2533919568368</v>
      </c>
      <c r="L64" s="21">
        <v>4156.1208600392783</v>
      </c>
      <c r="M64" s="21">
        <f t="shared" si="6"/>
        <v>-49.802663269645109</v>
      </c>
      <c r="N64" s="21">
        <f t="shared" si="13"/>
        <v>33.634400204625763</v>
      </c>
      <c r="O64" s="21">
        <f t="shared" si="20"/>
        <v>-132.89007829521233</v>
      </c>
      <c r="P64" s="21">
        <f t="shared" si="7"/>
        <v>-59.225233919835773</v>
      </c>
      <c r="Q64" s="21">
        <f t="shared" si="14"/>
        <v>331.79551739126191</v>
      </c>
      <c r="R64" s="21">
        <f t="shared" si="21"/>
        <v>-2.9389673381961074</v>
      </c>
      <c r="S64" s="21">
        <f t="shared" si="8"/>
        <v>1194.0923239216718</v>
      </c>
      <c r="T64" s="21">
        <f t="shared" si="15"/>
        <v>856.08680663230189</v>
      </c>
      <c r="U64" s="21">
        <f t="shared" si="22"/>
        <v>892.21933854986037</v>
      </c>
      <c r="V64" s="15">
        <f t="shared" si="9"/>
        <v>-0.21747466115864267</v>
      </c>
      <c r="W64" s="15">
        <f t="shared" si="16"/>
        <v>5.1756103894492519E-2</v>
      </c>
      <c r="X64" s="15">
        <f t="shared" si="23"/>
        <v>-9.270765903372534E-2</v>
      </c>
      <c r="Y64" s="15">
        <f t="shared" si="10"/>
        <v>-0.21495966873224437</v>
      </c>
      <c r="Z64" s="15">
        <f t="shared" si="17"/>
        <v>0.59854188378531836</v>
      </c>
      <c r="AA64" s="15">
        <f t="shared" si="24"/>
        <v>-1.8420153693057505E-3</v>
      </c>
      <c r="AB64" s="15">
        <f t="shared" si="11"/>
        <v>-4.7443605914792029</v>
      </c>
      <c r="AC64" s="15">
        <f t="shared" si="18"/>
        <v>0.70328792781199212</v>
      </c>
      <c r="AD64" s="15">
        <f t="shared" si="25"/>
        <v>0.37635410527352592</v>
      </c>
      <c r="AE64" s="15">
        <f t="shared" si="12"/>
        <v>4.291579894234232</v>
      </c>
      <c r="AF64" s="15">
        <f t="shared" si="19"/>
        <v>0.50445323077979942</v>
      </c>
      <c r="AG64" s="15">
        <f t="shared" si="26"/>
        <v>0.14008161793214519</v>
      </c>
    </row>
    <row r="65" spans="1:33" ht="15.75" customHeight="1" x14ac:dyDescent="0.15">
      <c r="A65" s="21">
        <v>2792.8082181018299</v>
      </c>
      <c r="B65" s="21">
        <v>3671.9644240184289</v>
      </c>
      <c r="C65" s="21">
        <v>4985.6652113848759</v>
      </c>
      <c r="D65" s="21">
        <v>2843.4684590852726</v>
      </c>
      <c r="E65" s="21">
        <v>2833.2626384748405</v>
      </c>
      <c r="F65" s="21">
        <v>2889.9338549692125</v>
      </c>
      <c r="G65" s="21">
        <v>3688.3210814866238</v>
      </c>
      <c r="H65" s="21">
        <v>3203.8163371797691</v>
      </c>
      <c r="I65" s="21">
        <v>3745.5207215035507</v>
      </c>
      <c r="J65" s="21">
        <v>4488.374177716536</v>
      </c>
      <c r="K65" s="21">
        <v>5014.6318126246988</v>
      </c>
      <c r="L65" s="21">
        <v>4573.3128306225044</v>
      </c>
      <c r="M65" s="21">
        <f t="shared" si="6"/>
        <v>-50.660240983442691</v>
      </c>
      <c r="N65" s="21">
        <f t="shared" si="13"/>
        <v>-40.454420373010635</v>
      </c>
      <c r="O65" s="21">
        <f t="shared" si="20"/>
        <v>-97.125636867382582</v>
      </c>
      <c r="P65" s="21">
        <f t="shared" si="7"/>
        <v>-16.356657468194953</v>
      </c>
      <c r="Q65" s="21">
        <f t="shared" si="14"/>
        <v>468.14808683865976</v>
      </c>
      <c r="R65" s="21">
        <f t="shared" si="21"/>
        <v>-73.556297485121831</v>
      </c>
      <c r="S65" s="21">
        <f t="shared" si="8"/>
        <v>497.29103366833988</v>
      </c>
      <c r="T65" s="21">
        <f t="shared" si="15"/>
        <v>-28.966601239822921</v>
      </c>
      <c r="U65" s="21">
        <f t="shared" si="22"/>
        <v>412.35238076237147</v>
      </c>
      <c r="V65" s="15">
        <f t="shared" si="9"/>
        <v>-0.17387435563642248</v>
      </c>
      <c r="W65" s="15">
        <f t="shared" si="16"/>
        <v>-6.2297787301910774E-2</v>
      </c>
      <c r="X65" s="15">
        <f t="shared" si="23"/>
        <v>-6.9402437677640885E-2</v>
      </c>
      <c r="Y65" s="15">
        <f t="shared" si="10"/>
        <v>-5.7117624651413075E-2</v>
      </c>
      <c r="Z65" s="15">
        <f t="shared" si="17"/>
        <v>1.0218185781323448</v>
      </c>
      <c r="AA65" s="15">
        <f t="shared" si="24"/>
        <v>-4.5595969337210336E-2</v>
      </c>
      <c r="AB65" s="15">
        <f t="shared" si="11"/>
        <v>-8.3762678265723949</v>
      </c>
      <c r="AC65" s="15">
        <f t="shared" si="18"/>
        <v>-2.0609328403914155E-2</v>
      </c>
      <c r="AD65" s="15">
        <f t="shared" si="25"/>
        <v>0.15274667840983258</v>
      </c>
      <c r="AE65" s="15">
        <f t="shared" si="12"/>
        <v>0.83006798993497277</v>
      </c>
      <c r="AF65" s="15">
        <f t="shared" si="19"/>
        <v>0.15866369340040898</v>
      </c>
      <c r="AG65" s="15">
        <f t="shared" si="26"/>
        <v>4.2307338783022876E-2</v>
      </c>
    </row>
    <row r="66" spans="1:33" ht="15.75" customHeight="1" x14ac:dyDescent="0.15">
      <c r="A66" s="21">
        <v>2905.9854087611052</v>
      </c>
      <c r="B66" s="21">
        <v>3829.2118552394509</v>
      </c>
      <c r="C66" s="21">
        <v>4938.3210233254995</v>
      </c>
      <c r="D66" s="21">
        <v>2904.4172097092869</v>
      </c>
      <c r="E66" s="21">
        <v>2868.8785359236485</v>
      </c>
      <c r="F66" s="21">
        <v>2794.3919353572269</v>
      </c>
      <c r="G66" s="21">
        <v>3743.8822366303334</v>
      </c>
      <c r="H66" s="21">
        <v>3380.661529885333</v>
      </c>
      <c r="I66" s="21">
        <v>3652.7831733100616</v>
      </c>
      <c r="J66" s="21">
        <v>5183.7796523555489</v>
      </c>
      <c r="K66" s="21">
        <v>5689.7154025594027</v>
      </c>
      <c r="L66" s="21">
        <v>5382.4873731090684</v>
      </c>
      <c r="M66" s="21">
        <f t="shared" si="6"/>
        <v>1.5681990518182829</v>
      </c>
      <c r="N66" s="21">
        <f t="shared" si="13"/>
        <v>37.106872837456649</v>
      </c>
      <c r="O66" s="21">
        <f t="shared" si="20"/>
        <v>111.59347340387831</v>
      </c>
      <c r="P66" s="21">
        <f t="shared" si="7"/>
        <v>85.32961860911746</v>
      </c>
      <c r="Q66" s="21">
        <f t="shared" si="14"/>
        <v>448.55032535411783</v>
      </c>
      <c r="R66" s="21">
        <f t="shared" si="21"/>
        <v>176.42868192938931</v>
      </c>
      <c r="S66" s="21">
        <f t="shared" si="8"/>
        <v>-245.45862903004945</v>
      </c>
      <c r="T66" s="21">
        <f t="shared" si="15"/>
        <v>-751.39437923390324</v>
      </c>
      <c r="U66" s="21">
        <f t="shared" si="22"/>
        <v>-444.16634978356888</v>
      </c>
      <c r="V66" s="15">
        <f t="shared" si="9"/>
        <v>6.3929064215682363E-3</v>
      </c>
      <c r="W66" s="15">
        <f t="shared" si="16"/>
        <v>5.5704732418815482E-2</v>
      </c>
      <c r="X66" s="15">
        <f t="shared" si="23"/>
        <v>8.7046936158071672E-2</v>
      </c>
      <c r="Y66" s="15">
        <f t="shared" si="10"/>
        <v>0.37898366275883905</v>
      </c>
      <c r="Z66" s="15">
        <f t="shared" si="17"/>
        <v>0.92325019034096201</v>
      </c>
      <c r="AA66" s="15">
        <f t="shared" si="24"/>
        <v>0.11497105069486489</v>
      </c>
      <c r="AB66" s="15">
        <f t="shared" si="11"/>
        <v>-0.56869218175818526</v>
      </c>
      <c r="AC66" s="15">
        <f t="shared" si="18"/>
        <v>-0.39331038682248798</v>
      </c>
      <c r="AD66" s="15">
        <f t="shared" si="25"/>
        <v>-0.13664080999110814</v>
      </c>
      <c r="AE66" s="15">
        <f t="shared" si="12"/>
        <v>-0.175773171390632</v>
      </c>
      <c r="AF66" s="15">
        <f t="shared" si="19"/>
        <v>-8.6773889084892725E-2</v>
      </c>
      <c r="AG66" s="15">
        <f t="shared" si="26"/>
        <v>-2.5735989201091842E-2</v>
      </c>
    </row>
    <row r="67" spans="1:33" ht="15.75" customHeight="1" x14ac:dyDescent="0.15">
      <c r="A67" s="21">
        <v>2917.8849164319072</v>
      </c>
      <c r="B67" s="21">
        <v>3814.9672876324653</v>
      </c>
      <c r="C67" s="21">
        <v>5140.2822632834514</v>
      </c>
      <c r="D67" s="21">
        <v>2911.2505351538462</v>
      </c>
      <c r="E67" s="21">
        <v>2891.8881300023904</v>
      </c>
      <c r="F67" s="21">
        <v>2742.393549687135</v>
      </c>
      <c r="G67" s="21">
        <v>3803.4827880045927</v>
      </c>
      <c r="H67" s="21">
        <v>3532.9749475563422</v>
      </c>
      <c r="I67" s="21">
        <v>3496.624282490227</v>
      </c>
      <c r="J67" s="21">
        <v>5515.0471507495404</v>
      </c>
      <c r="K67" s="21">
        <v>6089.6073681999478</v>
      </c>
      <c r="L67" s="21">
        <v>6142.9052473512147</v>
      </c>
      <c r="M67" s="21">
        <f t="shared" si="6"/>
        <v>6.6343812780610278</v>
      </c>
      <c r="N67" s="21">
        <f t="shared" si="13"/>
        <v>25.99678642951676</v>
      </c>
      <c r="O67" s="21">
        <f t="shared" si="20"/>
        <v>175.49136674477222</v>
      </c>
      <c r="P67" s="21">
        <f t="shared" si="7"/>
        <v>11.484499627872538</v>
      </c>
      <c r="Q67" s="21">
        <f t="shared" si="14"/>
        <v>281.99234007612313</v>
      </c>
      <c r="R67" s="21">
        <f t="shared" si="21"/>
        <v>318.34300514223833</v>
      </c>
      <c r="S67" s="21">
        <f t="shared" si="8"/>
        <v>-374.76488746608902</v>
      </c>
      <c r="T67" s="21">
        <f t="shared" si="15"/>
        <v>-949.32510491649646</v>
      </c>
      <c r="U67" s="21">
        <f t="shared" si="22"/>
        <v>-1002.6229840677634</v>
      </c>
      <c r="V67" s="15">
        <f t="shared" si="9"/>
        <v>3.0339997208921717E-2</v>
      </c>
      <c r="W67" s="15">
        <f t="shared" si="16"/>
        <v>3.9251924955310769E-2</v>
      </c>
      <c r="X67" s="15">
        <f t="shared" si="23"/>
        <v>0.14958853795501187</v>
      </c>
      <c r="Y67" s="15">
        <f t="shared" si="10"/>
        <v>6.3009841235649761E-2</v>
      </c>
      <c r="Z67" s="15">
        <f t="shared" si="17"/>
        <v>0.47711500271916429</v>
      </c>
      <c r="AA67" s="15">
        <f t="shared" si="24"/>
        <v>0.23264787146313134</v>
      </c>
      <c r="AB67" s="15">
        <f t="shared" si="11"/>
        <v>-0.44207677644041832</v>
      </c>
      <c r="AC67" s="15">
        <f t="shared" si="18"/>
        <v>-0.42310147806752635</v>
      </c>
      <c r="AD67" s="15">
        <f t="shared" si="25"/>
        <v>-0.26291026053853217</v>
      </c>
      <c r="AE67" s="15">
        <f t="shared" si="12"/>
        <v>-0.28562068105584804</v>
      </c>
      <c r="AF67" s="15">
        <f t="shared" si="19"/>
        <v>-0.18339229507093402</v>
      </c>
      <c r="AG67" s="15">
        <f t="shared" si="26"/>
        <v>-8.006035188998438E-2</v>
      </c>
    </row>
    <row r="68" spans="1:33" ht="15.75" customHeight="1" x14ac:dyDescent="0.15">
      <c r="A68" s="21">
        <v>2948.2864680488501</v>
      </c>
      <c r="B68" s="21">
        <v>3927.8752618066314</v>
      </c>
      <c r="C68" s="21">
        <v>4879.6583808002788</v>
      </c>
      <c r="D68" s="21">
        <v>2946.6330822657633</v>
      </c>
      <c r="E68" s="21">
        <v>2849.336925802605</v>
      </c>
      <c r="F68" s="21">
        <v>2840.1909699515309</v>
      </c>
      <c r="G68" s="21">
        <v>3894.8405384628536</v>
      </c>
      <c r="H68" s="21">
        <v>3675.914612289801</v>
      </c>
      <c r="I68" s="21">
        <v>3569.3471198221609</v>
      </c>
      <c r="J68" s="21">
        <v>5903.5341794693659</v>
      </c>
      <c r="K68" s="21">
        <v>6066.8395097262892</v>
      </c>
      <c r="L68" s="21">
        <v>6274.6454603288166</v>
      </c>
      <c r="M68" s="21">
        <f t="shared" si="6"/>
        <v>1.6533857830868328</v>
      </c>
      <c r="N68" s="21">
        <f t="shared" si="13"/>
        <v>98.949542246245073</v>
      </c>
      <c r="O68" s="21">
        <f t="shared" si="20"/>
        <v>108.09549809731925</v>
      </c>
      <c r="P68" s="21">
        <f t="shared" si="7"/>
        <v>33.034723343777841</v>
      </c>
      <c r="Q68" s="21">
        <f t="shared" si="14"/>
        <v>251.96064951683047</v>
      </c>
      <c r="R68" s="21">
        <f t="shared" si="21"/>
        <v>358.52814198447049</v>
      </c>
      <c r="S68" s="21">
        <f t="shared" si="8"/>
        <v>-1023.8757986690871</v>
      </c>
      <c r="T68" s="21">
        <f t="shared" si="15"/>
        <v>-1187.1811289260104</v>
      </c>
      <c r="U68" s="21">
        <f t="shared" si="22"/>
        <v>-1394.9870795285378</v>
      </c>
      <c r="V68" s="15">
        <f t="shared" si="9"/>
        <v>9.2972867378750997E-3</v>
      </c>
      <c r="W68" s="15">
        <f t="shared" si="16"/>
        <v>0.15871018042232021</v>
      </c>
      <c r="X68" s="15">
        <f t="shared" si="23"/>
        <v>9.2580629097595998E-2</v>
      </c>
      <c r="Y68" s="15">
        <f t="shared" si="10"/>
        <v>0.11301179451897578</v>
      </c>
      <c r="Z68" s="15">
        <f t="shared" si="17"/>
        <v>0.36541774035680624</v>
      </c>
      <c r="AA68" s="15">
        <f t="shared" si="24"/>
        <v>0.27442823640677005</v>
      </c>
      <c r="AB68" s="15">
        <f t="shared" si="11"/>
        <v>-1.1972439254252474</v>
      </c>
      <c r="AC68" s="15">
        <f t="shared" si="18"/>
        <v>-0.48949691750893382</v>
      </c>
      <c r="AD68" s="15">
        <f t="shared" si="25"/>
        <v>-0.35468187768802933</v>
      </c>
      <c r="AE68" s="15">
        <f t="shared" si="12"/>
        <v>-0.74636440695812956</v>
      </c>
      <c r="AF68" s="15">
        <f t="shared" si="19"/>
        <v>-0.22370453858973605</v>
      </c>
      <c r="AG68" s="15">
        <f t="shared" si="26"/>
        <v>-0.14489597995726552</v>
      </c>
    </row>
    <row r="69" spans="1:33" ht="15.75" customHeight="1" x14ac:dyDescent="0.15">
      <c r="A69" s="21">
        <v>2970.1823872613609</v>
      </c>
      <c r="B69" s="21">
        <v>4067.5502818801478</v>
      </c>
      <c r="C69" s="21">
        <v>5113.5649825242226</v>
      </c>
      <c r="D69" s="21">
        <v>2978.4472951596226</v>
      </c>
      <c r="E69" s="21">
        <v>2866.2735624194429</v>
      </c>
      <c r="F69" s="21">
        <v>3051.5585539652484</v>
      </c>
      <c r="G69" s="21">
        <v>3965.033764427094</v>
      </c>
      <c r="H69" s="21">
        <v>4088.8482141782838</v>
      </c>
      <c r="I69" s="21">
        <v>3703.309397985081</v>
      </c>
      <c r="J69" s="21">
        <v>6040.272362452265</v>
      </c>
      <c r="K69" s="21">
        <v>5766.5907888323918</v>
      </c>
      <c r="L69" s="21">
        <v>6089.1970119862544</v>
      </c>
      <c r="M69" s="21">
        <f t="shared" si="6"/>
        <v>-8.2649078982617539</v>
      </c>
      <c r="N69" s="21">
        <f t="shared" si="13"/>
        <v>103.90882484191798</v>
      </c>
      <c r="O69" s="21">
        <f t="shared" si="20"/>
        <v>-81.37616670388752</v>
      </c>
      <c r="P69" s="21">
        <f t="shared" si="7"/>
        <v>102.51651745305389</v>
      </c>
      <c r="Q69" s="21">
        <f t="shared" si="14"/>
        <v>-21.297932298135947</v>
      </c>
      <c r="R69" s="21">
        <f t="shared" si="21"/>
        <v>364.24088389506687</v>
      </c>
      <c r="S69" s="21">
        <f t="shared" si="8"/>
        <v>-926.70737992804243</v>
      </c>
      <c r="T69" s="21">
        <f t="shared" si="15"/>
        <v>-653.02580630816919</v>
      </c>
      <c r="U69" s="21">
        <f t="shared" si="22"/>
        <v>-975.63202946203182</v>
      </c>
      <c r="V69" s="15">
        <f t="shared" si="9"/>
        <v>-4.4521380030825841E-2</v>
      </c>
      <c r="W69" s="15">
        <f t="shared" si="16"/>
        <v>0.18563602542028684</v>
      </c>
      <c r="X69" s="15">
        <f t="shared" si="23"/>
        <v>-6.2974354097884724E-2</v>
      </c>
      <c r="Y69" s="15">
        <f t="shared" si="10"/>
        <v>0.34980294189116351</v>
      </c>
      <c r="Z69" s="15">
        <f t="shared" si="17"/>
        <v>-2.4538657690293571E-2</v>
      </c>
      <c r="AA69" s="15">
        <f t="shared" si="24"/>
        <v>0.26830360654687363</v>
      </c>
      <c r="AB69" s="15">
        <f t="shared" si="11"/>
        <v>-0.8787228296243802</v>
      </c>
      <c r="AC69" s="15">
        <f t="shared" si="18"/>
        <v>-0.29792231951543185</v>
      </c>
      <c r="AD69" s="15">
        <f t="shared" si="25"/>
        <v>-0.26914947828847552</v>
      </c>
      <c r="AE69" s="15">
        <f t="shared" si="12"/>
        <v>-0.54291222723919919</v>
      </c>
      <c r="AF69" s="15">
        <f t="shared" si="19"/>
        <v>-0.15759007345475118</v>
      </c>
      <c r="AG69" s="15">
        <f t="shared" si="26"/>
        <v>-0.11040729444752805</v>
      </c>
    </row>
    <row r="70" spans="1:33" ht="15.75" customHeight="1" x14ac:dyDescent="0.15">
      <c r="A70" s="21">
        <v>3081.6126487614092</v>
      </c>
      <c r="B70" s="21">
        <v>4086.3034225613842</v>
      </c>
      <c r="C70" s="21">
        <v>5627.8502354811008</v>
      </c>
      <c r="D70" s="21">
        <v>3071.0890463501951</v>
      </c>
      <c r="E70" s="21">
        <v>2971.4737591758603</v>
      </c>
      <c r="F70" s="21">
        <v>3007.0959361957252</v>
      </c>
      <c r="G70" s="21">
        <v>4071.5731166911469</v>
      </c>
      <c r="H70" s="21">
        <v>4381.9966884344367</v>
      </c>
      <c r="I70" s="21">
        <v>3810.2730711139811</v>
      </c>
      <c r="J70" s="21">
        <v>5944.887907624483</v>
      </c>
      <c r="K70" s="21">
        <v>5149.328716461815</v>
      </c>
      <c r="L70" s="21">
        <v>5440.5164223208003</v>
      </c>
      <c r="M70" s="21">
        <f t="shared" si="6"/>
        <v>10.523602411214142</v>
      </c>
      <c r="N70" s="21">
        <f t="shared" si="13"/>
        <v>110.1388895855489</v>
      </c>
      <c r="O70" s="21">
        <f t="shared" si="20"/>
        <v>74.516712565683974</v>
      </c>
      <c r="P70" s="21">
        <f t="shared" si="7"/>
        <v>14.730305870237316</v>
      </c>
      <c r="Q70" s="21">
        <f t="shared" si="14"/>
        <v>-295.6932658730525</v>
      </c>
      <c r="R70" s="21">
        <f t="shared" si="21"/>
        <v>276.03035144740306</v>
      </c>
      <c r="S70" s="21">
        <f t="shared" si="8"/>
        <v>-317.03767214338222</v>
      </c>
      <c r="T70" s="21">
        <f t="shared" si="15"/>
        <v>478.52151901928573</v>
      </c>
      <c r="U70" s="21">
        <f t="shared" si="22"/>
        <v>187.33381316030045</v>
      </c>
      <c r="V70" s="15">
        <f t="shared" si="9"/>
        <v>6.3739373431645985E-2</v>
      </c>
      <c r="W70" s="15">
        <f t="shared" si="16"/>
        <v>0.19151531824582022</v>
      </c>
      <c r="X70" s="15">
        <f t="shared" si="23"/>
        <v>5.8295393115742548E-2</v>
      </c>
      <c r="Y70" s="15">
        <f t="shared" si="10"/>
        <v>6.0778301705502351E-2</v>
      </c>
      <c r="Z70" s="15">
        <f t="shared" si="17"/>
        <v>-0.25303367337856469</v>
      </c>
      <c r="AA70" s="15">
        <f t="shared" si="24"/>
        <v>0.19443924298187007</v>
      </c>
      <c r="AB70" s="15">
        <f t="shared" si="11"/>
        <v>-0.314969305158674</v>
      </c>
      <c r="AC70" s="15">
        <f t="shared" si="18"/>
        <v>0.32146048509955516</v>
      </c>
      <c r="AD70" s="15">
        <f t="shared" si="25"/>
        <v>6.0873119287459719E-2</v>
      </c>
      <c r="AE70" s="15">
        <f t="shared" si="12"/>
        <v>-0.20634880156142865</v>
      </c>
      <c r="AF70" s="15">
        <f t="shared" si="19"/>
        <v>9.0638197681716742E-2</v>
      </c>
      <c r="AG70" s="15">
        <f t="shared" si="26"/>
        <v>9.3134213756825873E-2</v>
      </c>
    </row>
    <row r="71" spans="1:33" ht="15.75" customHeight="1" x14ac:dyDescent="0.15">
      <c r="A71" s="21">
        <v>3098.1745596187975</v>
      </c>
      <c r="B71" s="21">
        <v>4029.2877834193937</v>
      </c>
      <c r="C71" s="21">
        <v>5771.8394763841652</v>
      </c>
      <c r="D71" s="21">
        <v>3140.6372614283923</v>
      </c>
      <c r="E71" s="21">
        <v>3053.5102155876539</v>
      </c>
      <c r="F71" s="21">
        <v>3110.2557283488154</v>
      </c>
      <c r="G71" s="21">
        <v>4103.9252659497815</v>
      </c>
      <c r="H71" s="21">
        <v>4335.9445687977541</v>
      </c>
      <c r="I71" s="21">
        <v>4149.6398765074364</v>
      </c>
      <c r="J71" s="21">
        <v>5690.6185411323186</v>
      </c>
      <c r="K71" s="21">
        <v>4514.6309466446837</v>
      </c>
      <c r="L71" s="21">
        <v>4977.1882279052179</v>
      </c>
      <c r="M71" s="21">
        <f t="shared" si="6"/>
        <v>-42.462701809594819</v>
      </c>
      <c r="N71" s="21">
        <f t="shared" si="13"/>
        <v>44.664344031143628</v>
      </c>
      <c r="O71" s="21">
        <f t="shared" si="20"/>
        <v>-12.081168730017907</v>
      </c>
      <c r="P71" s="21">
        <f t="shared" si="7"/>
        <v>-74.637482530387842</v>
      </c>
      <c r="Q71" s="21">
        <f t="shared" si="14"/>
        <v>-306.65678537836038</v>
      </c>
      <c r="R71" s="21">
        <f t="shared" si="21"/>
        <v>-120.35209308804269</v>
      </c>
      <c r="S71" s="21">
        <f t="shared" si="8"/>
        <v>81.22093525184664</v>
      </c>
      <c r="T71" s="21">
        <f t="shared" si="15"/>
        <v>1257.2085297394815</v>
      </c>
      <c r="U71" s="21">
        <f t="shared" si="22"/>
        <v>794.65124847894731</v>
      </c>
      <c r="V71" s="15">
        <f t="shared" si="9"/>
        <v>-0.19062740646014231</v>
      </c>
      <c r="W71" s="15">
        <f t="shared" si="16"/>
        <v>7.5926769673304861E-2</v>
      </c>
      <c r="X71" s="15">
        <f t="shared" si="23"/>
        <v>-9.0982971207735405E-3</v>
      </c>
      <c r="Y71" s="15">
        <f t="shared" si="10"/>
        <v>-0.25829874283113047</v>
      </c>
      <c r="Z71" s="15">
        <f t="shared" si="17"/>
        <v>-0.27328737196205855</v>
      </c>
      <c r="AA71" s="15">
        <f t="shared" si="24"/>
        <v>-7.2418089017821666E-2</v>
      </c>
      <c r="AB71" s="15">
        <f t="shared" si="11"/>
        <v>0.14758419264911962</v>
      </c>
      <c r="AC71" s="15">
        <f t="shared" si="18"/>
        <v>1.581450154019117</v>
      </c>
      <c r="AD71" s="15">
        <f t="shared" si="25"/>
        <v>0.31026909346842846</v>
      </c>
      <c r="AE71" s="15">
        <f t="shared" si="12"/>
        <v>-3.3783121238613677E-2</v>
      </c>
      <c r="AF71" s="15">
        <f t="shared" si="19"/>
        <v>0.39723931973842225</v>
      </c>
      <c r="AG71" s="15">
        <f t="shared" si="26"/>
        <v>0.11929869751002124</v>
      </c>
    </row>
    <row r="72" spans="1:33" ht="15.75" customHeight="1" x14ac:dyDescent="0.15">
      <c r="A72" s="21">
        <v>3065.7476832902707</v>
      </c>
      <c r="B72" s="21">
        <v>4118.2328843284968</v>
      </c>
      <c r="C72" s="21">
        <v>5583.5312929332322</v>
      </c>
      <c r="D72" s="21">
        <v>3202.1357370757123</v>
      </c>
      <c r="E72" s="21">
        <v>3171.4685149874517</v>
      </c>
      <c r="F72" s="21">
        <v>3229.1411726100246</v>
      </c>
      <c r="G72" s="21">
        <v>4196.4190158306283</v>
      </c>
      <c r="H72" s="21">
        <v>4319.4855565524585</v>
      </c>
      <c r="I72" s="21">
        <v>4224.0872172131412</v>
      </c>
      <c r="J72" s="21">
        <v>5317.6470768193976</v>
      </c>
      <c r="K72" s="21">
        <v>3460.0157335600134</v>
      </c>
      <c r="L72" s="21">
        <v>4455.0500839350134</v>
      </c>
      <c r="M72" s="21">
        <f t="shared" si="6"/>
        <v>-136.38805378544157</v>
      </c>
      <c r="N72" s="21">
        <f t="shared" si="13"/>
        <v>-105.72083169718098</v>
      </c>
      <c r="O72" s="21">
        <f t="shared" si="20"/>
        <v>-163.39348931975383</v>
      </c>
      <c r="P72" s="21">
        <f t="shared" si="7"/>
        <v>-78.186131502131502</v>
      </c>
      <c r="Q72" s="21">
        <f t="shared" si="14"/>
        <v>-201.25267222396178</v>
      </c>
      <c r="R72" s="21">
        <f t="shared" si="21"/>
        <v>-105.85433288464446</v>
      </c>
      <c r="S72" s="21">
        <f t="shared" si="8"/>
        <v>265.88421611383455</v>
      </c>
      <c r="T72" s="21">
        <f t="shared" si="15"/>
        <v>2123.5155593732188</v>
      </c>
      <c r="U72" s="21">
        <f t="shared" si="22"/>
        <v>1128.4812089982188</v>
      </c>
      <c r="V72" s="15">
        <f t="shared" si="9"/>
        <v>-0.5372796790327139</v>
      </c>
      <c r="W72" s="15">
        <f t="shared" si="16"/>
        <v>-0.16585825904848725</v>
      </c>
      <c r="X72" s="15">
        <f t="shared" si="23"/>
        <v>-0.11853871681351304</v>
      </c>
      <c r="Y72" s="15">
        <f t="shared" si="10"/>
        <v>-0.2911485757182975</v>
      </c>
      <c r="Z72" s="15">
        <f t="shared" si="17"/>
        <v>-0.19401784261828287</v>
      </c>
      <c r="AA72" s="15">
        <f t="shared" si="24"/>
        <v>-6.2378912767521451E-2</v>
      </c>
      <c r="AB72" s="15">
        <f t="shared" si="11"/>
        <v>0.60705725634121921</v>
      </c>
      <c r="AC72" s="15">
        <f t="shared" si="18"/>
        <v>-17.26754301345338</v>
      </c>
      <c r="AD72" s="15">
        <f t="shared" si="25"/>
        <v>0.58128720221384</v>
      </c>
      <c r="AE72" s="15">
        <f t="shared" si="12"/>
        <v>5.3426705035524338E-2</v>
      </c>
      <c r="AF72" s="15">
        <f t="shared" si="19"/>
        <v>1.1706567926060083</v>
      </c>
      <c r="AG72" s="15">
        <f t="shared" si="26"/>
        <v>0.17127450224847909</v>
      </c>
    </row>
    <row r="73" spans="1:33" ht="15.75" customHeight="1" x14ac:dyDescent="0.15">
      <c r="A73" s="21">
        <v>3149.1948640954674</v>
      </c>
      <c r="B73" s="21">
        <v>4243.4639357901942</v>
      </c>
      <c r="C73" s="21">
        <v>5903.3130196390712</v>
      </c>
      <c r="D73" s="21">
        <v>3190.5654923018164</v>
      </c>
      <c r="E73" s="21">
        <v>3358.4187314173964</v>
      </c>
      <c r="F73" s="21">
        <v>3286.5116402463709</v>
      </c>
      <c r="G73" s="21">
        <v>4307.6130705493424</v>
      </c>
      <c r="H73" s="21">
        <v>4284.8949064849421</v>
      </c>
      <c r="I73" s="21">
        <v>4443.3378195834111</v>
      </c>
      <c r="J73" s="21">
        <v>5281.7393392977028</v>
      </c>
      <c r="K73" s="21">
        <v>3992.7440108604369</v>
      </c>
      <c r="L73" s="21">
        <v>4329.7741533914786</v>
      </c>
      <c r="M73" s="21">
        <f t="shared" si="6"/>
        <v>-41.370628206349011</v>
      </c>
      <c r="N73" s="21">
        <f t="shared" si="13"/>
        <v>-209.22386732192899</v>
      </c>
      <c r="O73" s="21">
        <f t="shared" si="20"/>
        <v>-137.31677615090348</v>
      </c>
      <c r="P73" s="21">
        <f t="shared" si="7"/>
        <v>-64.149134759148183</v>
      </c>
      <c r="Q73" s="21">
        <f t="shared" si="14"/>
        <v>-41.430970694747884</v>
      </c>
      <c r="R73" s="21">
        <f t="shared" si="21"/>
        <v>-199.87388379321692</v>
      </c>
      <c r="S73" s="21">
        <f t="shared" si="8"/>
        <v>621.57368034136834</v>
      </c>
      <c r="T73" s="21">
        <f t="shared" si="15"/>
        <v>1910.5690087786343</v>
      </c>
      <c r="U73" s="21">
        <f t="shared" si="22"/>
        <v>1573.5388662475925</v>
      </c>
      <c r="V73" s="15">
        <f t="shared" si="9"/>
        <v>-0.18772141448299604</v>
      </c>
      <c r="W73" s="15">
        <f t="shared" si="16"/>
        <v>-0.27213538274951571</v>
      </c>
      <c r="X73" s="15">
        <f t="shared" si="23"/>
        <v>-9.9382530381794079E-2</v>
      </c>
      <c r="Y73" s="15">
        <f t="shared" si="10"/>
        <v>-0.26721815202915683</v>
      </c>
      <c r="Z73" s="15">
        <f t="shared" si="17"/>
        <v>-4.6103095453121037E-2</v>
      </c>
      <c r="AA73" s="15">
        <f t="shared" si="24"/>
        <v>-0.10726784752063426</v>
      </c>
      <c r="AB73" s="15">
        <f t="shared" si="11"/>
        <v>3.6960074785871617</v>
      </c>
      <c r="AC73" s="15">
        <f t="shared" si="18"/>
        <v>-16.879229432029227</v>
      </c>
      <c r="AD73" s="15">
        <f t="shared" si="25"/>
        <v>1.0034032324215965</v>
      </c>
      <c r="AE73" s="15">
        <f t="shared" si="12"/>
        <v>0.82093110582940265</v>
      </c>
      <c r="AF73" s="15">
        <f t="shared" si="19"/>
        <v>1.0679555857531218</v>
      </c>
      <c r="AG73" s="15">
        <f t="shared" si="26"/>
        <v>0.2568652470413112</v>
      </c>
    </row>
    <row r="74" spans="1:33" ht="15.75" customHeight="1" x14ac:dyDescent="0.15">
      <c r="A74" s="21">
        <v>3340.8668861211145</v>
      </c>
      <c r="B74" s="21">
        <v>4327.5260586077502</v>
      </c>
      <c r="C74" s="21">
        <v>6343.5162784505392</v>
      </c>
      <c r="D74" s="21">
        <v>3260.5235379891446</v>
      </c>
      <c r="E74" s="21">
        <v>3360.7238020001419</v>
      </c>
      <c r="F74" s="21">
        <v>3221.0567732691516</v>
      </c>
      <c r="G74" s="21">
        <v>4393.2557236317043</v>
      </c>
      <c r="H74" s="21">
        <v>4267.2738814578306</v>
      </c>
      <c r="I74" s="21">
        <v>4427.8657277366674</v>
      </c>
      <c r="J74" s="21">
        <v>5669.217436068343</v>
      </c>
      <c r="K74" s="21">
        <v>5272.5522825605194</v>
      </c>
      <c r="L74" s="21">
        <v>4629.5517994587981</v>
      </c>
      <c r="M74" s="21">
        <f t="shared" si="6"/>
        <v>80.343348131969833</v>
      </c>
      <c r="N74" s="21">
        <f t="shared" si="13"/>
        <v>-19.856915879027383</v>
      </c>
      <c r="O74" s="21">
        <f t="shared" si="20"/>
        <v>119.81011285196291</v>
      </c>
      <c r="P74" s="21">
        <f t="shared" si="7"/>
        <v>-65.729665023954112</v>
      </c>
      <c r="Q74" s="21">
        <f t="shared" si="14"/>
        <v>60.252177149919589</v>
      </c>
      <c r="R74" s="21">
        <f t="shared" si="21"/>
        <v>-100.33966912891719</v>
      </c>
      <c r="S74" s="21">
        <f t="shared" si="8"/>
        <v>674.2988423821962</v>
      </c>
      <c r="T74" s="21">
        <f t="shared" si="15"/>
        <v>1070.9639958900198</v>
      </c>
      <c r="U74" s="21">
        <f t="shared" si="22"/>
        <v>1713.9644789917411</v>
      </c>
      <c r="V74" s="15">
        <f t="shared" si="9"/>
        <v>0.44906907834827703</v>
      </c>
      <c r="W74" s="15">
        <f t="shared" si="16"/>
        <v>-2.4556653017159428E-2</v>
      </c>
      <c r="X74" s="15">
        <f t="shared" si="23"/>
        <v>9.3829087762530558E-2</v>
      </c>
      <c r="Y74" s="15">
        <f t="shared" si="10"/>
        <v>-0.21413641401207809</v>
      </c>
      <c r="Z74" s="15">
        <f t="shared" si="17"/>
        <v>6.9629876180653527E-2</v>
      </c>
      <c r="AA74" s="15">
        <f t="shared" si="24"/>
        <v>-5.5730533046455914E-2</v>
      </c>
      <c r="AB74" s="15">
        <f t="shared" si="11"/>
        <v>16.300325688225374</v>
      </c>
      <c r="AC74" s="15">
        <f t="shared" si="18"/>
        <v>1.4775808655898197</v>
      </c>
      <c r="AD74" s="15">
        <f t="shared" si="25"/>
        <v>0.97086578587735983</v>
      </c>
      <c r="AE74" s="15">
        <f t="shared" si="12"/>
        <v>1.306663154097446</v>
      </c>
      <c r="AF74" s="15">
        <f t="shared" si="19"/>
        <v>0.46330836656349511</v>
      </c>
      <c r="AG74" s="15">
        <f t="shared" si="26"/>
        <v>0.35794517045016988</v>
      </c>
    </row>
    <row r="75" spans="1:33" ht="15.75" customHeight="1" x14ac:dyDescent="0.15">
      <c r="A75" s="21">
        <v>3298.7954298385475</v>
      </c>
      <c r="B75" s="21">
        <v>4429.7278914484004</v>
      </c>
      <c r="C75" s="21">
        <v>6527.2619089697218</v>
      </c>
      <c r="D75" s="21">
        <v>3290.1676277657803</v>
      </c>
      <c r="E75" s="21">
        <v>3430.3812358268001</v>
      </c>
      <c r="F75" s="21">
        <v>3175.5807184219016</v>
      </c>
      <c r="G75" s="21">
        <v>4404.3302082991495</v>
      </c>
      <c r="H75" s="21">
        <v>4302.9899400665299</v>
      </c>
      <c r="I75" s="21">
        <v>4281.2254643491697</v>
      </c>
      <c r="J75" s="21">
        <v>5950.7373697001003</v>
      </c>
      <c r="K75" s="21">
        <v>6666.5020402884793</v>
      </c>
      <c r="L75" s="21">
        <v>4751.8424318405823</v>
      </c>
      <c r="M75" s="21">
        <f t="shared" si="6"/>
        <v>8.6278020727672811</v>
      </c>
      <c r="N75" s="21">
        <f t="shared" si="13"/>
        <v>-131.58580598825256</v>
      </c>
      <c r="O75" s="21">
        <f t="shared" si="20"/>
        <v>123.21471141664597</v>
      </c>
      <c r="P75" s="21">
        <f t="shared" si="7"/>
        <v>25.397683149250952</v>
      </c>
      <c r="Q75" s="21">
        <f t="shared" si="14"/>
        <v>126.73795138187052</v>
      </c>
      <c r="R75" s="21">
        <f t="shared" si="21"/>
        <v>148.50242709923077</v>
      </c>
      <c r="S75" s="21">
        <f t="shared" si="8"/>
        <v>576.52453926962153</v>
      </c>
      <c r="T75" s="21">
        <f t="shared" si="15"/>
        <v>-139.24013131875745</v>
      </c>
      <c r="U75" s="21">
        <f t="shared" si="22"/>
        <v>1775.4194771291395</v>
      </c>
      <c r="V75" s="15">
        <f t="shared" si="9"/>
        <v>4.4938091546941457E-2</v>
      </c>
      <c r="W75" s="15">
        <f t="shared" si="16"/>
        <v>-0.17060992296677699</v>
      </c>
      <c r="X75" s="15">
        <f t="shared" si="23"/>
        <v>0.10503502508062543</v>
      </c>
      <c r="Y75" s="15">
        <f t="shared" si="10"/>
        <v>6.771949375432347E-2</v>
      </c>
      <c r="Z75" s="15">
        <f t="shared" si="17"/>
        <v>0.16160164425584492</v>
      </c>
      <c r="AA75" s="15">
        <f t="shared" si="24"/>
        <v>9.4111779312793742E-2</v>
      </c>
      <c r="AB75" s="15">
        <f t="shared" si="11"/>
        <v>3.2226457706322713</v>
      </c>
      <c r="AC75" s="15">
        <f t="shared" si="18"/>
        <v>-7.2735248065393165E-2</v>
      </c>
      <c r="AD75" s="15">
        <f t="shared" si="25"/>
        <v>0.89246221710800444</v>
      </c>
      <c r="AE75" s="15">
        <f t="shared" si="12"/>
        <v>0.8185047561487736</v>
      </c>
      <c r="AF75" s="15">
        <f t="shared" si="19"/>
        <v>-4.1525466014140679E-2</v>
      </c>
      <c r="AG75" s="15">
        <f t="shared" si="26"/>
        <v>0.43185178539860064</v>
      </c>
    </row>
    <row r="76" spans="1:33" ht="15.75" customHeight="1" x14ac:dyDescent="0.15">
      <c r="A76" s="21">
        <v>3407.5807903813457</v>
      </c>
      <c r="B76" s="21">
        <v>4550.453050368752</v>
      </c>
      <c r="C76" s="21">
        <v>6351.1407587351887</v>
      </c>
      <c r="D76" s="21">
        <v>3274.7818154637771</v>
      </c>
      <c r="E76" s="21">
        <v>3375.4085964897617</v>
      </c>
      <c r="F76" s="21">
        <v>3184.0552748960113</v>
      </c>
      <c r="G76" s="21">
        <v>4396.5618543903056</v>
      </c>
      <c r="H76" s="21">
        <v>4338.8886020221225</v>
      </c>
      <c r="I76" s="21">
        <v>3920.0750845358393</v>
      </c>
      <c r="J76" s="21">
        <v>6152.3449434832391</v>
      </c>
      <c r="K76" s="21">
        <v>7241.4236527730791</v>
      </c>
      <c r="L76" s="21">
        <v>4995.5451536759274</v>
      </c>
      <c r="M76" s="21">
        <f t="shared" si="6"/>
        <v>132.79897491756856</v>
      </c>
      <c r="N76" s="21">
        <f t="shared" si="13"/>
        <v>32.172193891583902</v>
      </c>
      <c r="O76" s="21">
        <f t="shared" si="20"/>
        <v>223.52551548533438</v>
      </c>
      <c r="P76" s="21">
        <f t="shared" si="7"/>
        <v>153.89119597844638</v>
      </c>
      <c r="Q76" s="21">
        <f t="shared" si="14"/>
        <v>211.56444834662943</v>
      </c>
      <c r="R76" s="21">
        <f t="shared" si="21"/>
        <v>630.37796583291265</v>
      </c>
      <c r="S76" s="21">
        <f t="shared" si="8"/>
        <v>198.79581525194953</v>
      </c>
      <c r="T76" s="21">
        <f t="shared" si="15"/>
        <v>-890.2828940378904</v>
      </c>
      <c r="U76" s="21">
        <f t="shared" si="22"/>
        <v>1355.5956050592613</v>
      </c>
      <c r="V76" s="15">
        <f t="shared" si="9"/>
        <v>0.63529804217495123</v>
      </c>
      <c r="W76" s="15">
        <f t="shared" si="16"/>
        <v>4.7116247954919574E-2</v>
      </c>
      <c r="X76" s="15">
        <f t="shared" si="23"/>
        <v>0.19197440162735699</v>
      </c>
      <c r="Y76" s="15">
        <f t="shared" si="10"/>
        <v>0.55291116819162445</v>
      </c>
      <c r="Z76" s="15">
        <f t="shared" si="17"/>
        <v>0.29479309057578612</v>
      </c>
      <c r="AA76" s="15">
        <f t="shared" si="24"/>
        <v>0.4842837052251846</v>
      </c>
      <c r="AB76" s="15">
        <f t="shared" si="11"/>
        <v>0.34949199102329298</v>
      </c>
      <c r="AC76" s="15">
        <f t="shared" si="18"/>
        <v>-0.34585998495488812</v>
      </c>
      <c r="AD76" s="15">
        <f t="shared" si="25"/>
        <v>0.65089642279740456</v>
      </c>
      <c r="AE76" s="15">
        <f t="shared" si="12"/>
        <v>0.45966357891106113</v>
      </c>
      <c r="AF76" s="15">
        <f t="shared" si="19"/>
        <v>-0.1626690852439116</v>
      </c>
      <c r="AG76" s="15">
        <f t="shared" si="26"/>
        <v>0.48574501542548593</v>
      </c>
    </row>
    <row r="77" spans="1:33" ht="15.75" customHeight="1" x14ac:dyDescent="0.15">
      <c r="A77" s="21">
        <v>3502.7742702085093</v>
      </c>
      <c r="B77" s="21">
        <v>4560.357456843346</v>
      </c>
      <c r="C77" s="21">
        <v>6421.1188096150017</v>
      </c>
      <c r="D77" s="21">
        <v>3285.247416840989</v>
      </c>
      <c r="E77" s="21">
        <v>3383.9098271335079</v>
      </c>
      <c r="F77" s="21">
        <v>3381.5043890719967</v>
      </c>
      <c r="G77" s="21">
        <v>4437.7440223728854</v>
      </c>
      <c r="H77" s="21">
        <v>4482.6335489830926</v>
      </c>
      <c r="I77" s="21">
        <v>3813.8588853763376</v>
      </c>
      <c r="J77" s="21">
        <v>6455.6895184171317</v>
      </c>
      <c r="K77" s="21">
        <v>7875.0427329813238</v>
      </c>
      <c r="L77" s="21">
        <v>5371.0325414391464</v>
      </c>
      <c r="M77" s="21">
        <f t="shared" si="6"/>
        <v>217.52685336752029</v>
      </c>
      <c r="N77" s="21">
        <f t="shared" si="13"/>
        <v>118.86444307500142</v>
      </c>
      <c r="O77" s="21">
        <f t="shared" si="20"/>
        <v>121.26988113651259</v>
      </c>
      <c r="P77" s="21">
        <f t="shared" si="7"/>
        <v>122.61343447046056</v>
      </c>
      <c r="Q77" s="21">
        <f t="shared" si="14"/>
        <v>77.723907860253348</v>
      </c>
      <c r="R77" s="21">
        <f t="shared" si="21"/>
        <v>746.49857146700833</v>
      </c>
      <c r="S77" s="21">
        <f t="shared" si="8"/>
        <v>-34.570708802129957</v>
      </c>
      <c r="T77" s="21">
        <f t="shared" si="15"/>
        <v>-1453.923923366322</v>
      </c>
      <c r="U77" s="21">
        <f t="shared" si="22"/>
        <v>1050.0862681758554</v>
      </c>
      <c r="V77" s="15">
        <f t="shared" si="9"/>
        <v>1.5988443360882152</v>
      </c>
      <c r="W77" s="15">
        <f t="shared" si="16"/>
        <v>0.19324031113348117</v>
      </c>
      <c r="X77" s="15">
        <f t="shared" si="23"/>
        <v>9.3557679474979852E-2</v>
      </c>
      <c r="Y77" s="15">
        <f t="shared" si="10"/>
        <v>0.63111684077962749</v>
      </c>
      <c r="Z77" s="15">
        <f t="shared" si="17"/>
        <v>8.8312066815504214E-2</v>
      </c>
      <c r="AA77" s="15">
        <f t="shared" si="24"/>
        <v>0.68020217652506743</v>
      </c>
      <c r="AB77" s="15">
        <f t="shared" si="11"/>
        <v>-6.2585408464345488E-2</v>
      </c>
      <c r="AC77" s="15">
        <f t="shared" si="18"/>
        <v>-0.51435335189203191</v>
      </c>
      <c r="AD77" s="15">
        <f t="shared" si="25"/>
        <v>0.43825856657080947</v>
      </c>
      <c r="AE77" s="15">
        <f t="shared" si="12"/>
        <v>0.34617244327095908</v>
      </c>
      <c r="AF77" s="15">
        <f t="shared" si="19"/>
        <v>-0.29092061883064352</v>
      </c>
      <c r="AG77" s="15">
        <f t="shared" si="26"/>
        <v>0.40041120280226128</v>
      </c>
    </row>
    <row r="78" spans="1:33" ht="15.75" customHeight="1" x14ac:dyDescent="0.15">
      <c r="A78" s="21">
        <v>3466.0359509710111</v>
      </c>
      <c r="B78" s="21">
        <v>4522.4700567308528</v>
      </c>
      <c r="C78" s="21">
        <v>6588.9026881326408</v>
      </c>
      <c r="D78" s="21">
        <v>3452.6253701859382</v>
      </c>
      <c r="E78" s="21">
        <v>3394.4371562788992</v>
      </c>
      <c r="F78" s="21">
        <v>3512.0778743510064</v>
      </c>
      <c r="G78" s="21">
        <v>4546.6229122665109</v>
      </c>
      <c r="H78" s="21">
        <v>4568.2746031104825</v>
      </c>
      <c r="I78" s="21">
        <v>3659.2567726982961</v>
      </c>
      <c r="J78" s="21">
        <v>6893.194444088228</v>
      </c>
      <c r="K78" s="21">
        <v>7977.128388673983</v>
      </c>
      <c r="L78" s="21">
        <v>6718.6280944058308</v>
      </c>
      <c r="M78" s="21">
        <f t="shared" si="6"/>
        <v>13.410580785072852</v>
      </c>
      <c r="N78" s="21">
        <f t="shared" si="13"/>
        <v>71.598794692111824</v>
      </c>
      <c r="O78" s="21">
        <f t="shared" si="20"/>
        <v>-46.041923379995296</v>
      </c>
      <c r="P78" s="21">
        <f t="shared" si="7"/>
        <v>-24.152855535658091</v>
      </c>
      <c r="Q78" s="21">
        <f t="shared" si="14"/>
        <v>-45.804546379629755</v>
      </c>
      <c r="R78" s="21">
        <f t="shared" si="21"/>
        <v>863.21328403255666</v>
      </c>
      <c r="S78" s="21">
        <f t="shared" si="8"/>
        <v>-304.29175595558718</v>
      </c>
      <c r="T78" s="21">
        <f t="shared" si="15"/>
        <v>-1388.2257005413421</v>
      </c>
      <c r="U78" s="21">
        <f t="shared" si="22"/>
        <v>-129.72540627318995</v>
      </c>
      <c r="V78" s="15">
        <f t="shared" si="9"/>
        <v>0.11999608707374966</v>
      </c>
      <c r="W78" s="15">
        <f t="shared" si="16"/>
        <v>0.1190082294064105</v>
      </c>
      <c r="X78" s="15">
        <f t="shared" si="23"/>
        <v>-3.4665243238465399E-2</v>
      </c>
      <c r="Y78" s="15">
        <f t="shared" si="10"/>
        <v>-0.11023825825119206</v>
      </c>
      <c r="Z78" s="15">
        <f t="shared" si="17"/>
        <v>-5.1103454415779313E-2</v>
      </c>
      <c r="AA78" s="15">
        <f t="shared" si="24"/>
        <v>0.94485612886074666</v>
      </c>
      <c r="AB78" s="15">
        <f t="shared" si="11"/>
        <v>-0.55358166828870548</v>
      </c>
      <c r="AC78" s="15">
        <f t="shared" si="18"/>
        <v>-0.46406243977215383</v>
      </c>
      <c r="AD78" s="15">
        <f t="shared" si="25"/>
        <v>-4.1718982614763436E-2</v>
      </c>
      <c r="AE78" s="15">
        <f t="shared" si="12"/>
        <v>-0.35777631345495464</v>
      </c>
      <c r="AF78" s="15">
        <f t="shared" si="19"/>
        <v>-0.30347724771297802</v>
      </c>
      <c r="AG78" s="15">
        <f t="shared" si="26"/>
        <v>0.12846372160305225</v>
      </c>
    </row>
    <row r="79" spans="1:33" ht="15.75" customHeight="1" x14ac:dyDescent="0.15">
      <c r="A79" s="21">
        <v>3532.0768105428474</v>
      </c>
      <c r="B79" s="21">
        <v>4680.426752235292</v>
      </c>
      <c r="C79" s="21">
        <v>6908.4056808396399</v>
      </c>
      <c r="D79" s="21">
        <v>3518.8669905670026</v>
      </c>
      <c r="E79" s="21">
        <v>3532.1393966768483</v>
      </c>
      <c r="F79" s="21">
        <v>3534.3579334488736</v>
      </c>
      <c r="G79" s="21">
        <v>4633.5025410272574</v>
      </c>
      <c r="H79" s="21">
        <v>4710.3555223660269</v>
      </c>
      <c r="I79" s="21">
        <v>3935.3423610200043</v>
      </c>
      <c r="J79" s="21">
        <v>7354.6259956335625</v>
      </c>
      <c r="K79" s="21">
        <v>7584.4832824410405</v>
      </c>
      <c r="L79" s="21">
        <v>7791.335373892769</v>
      </c>
      <c r="M79" s="21">
        <f t="shared" si="6"/>
        <v>13.209819975844766</v>
      </c>
      <c r="N79" s="21">
        <f t="shared" si="13"/>
        <v>-6.2586134000866878E-2</v>
      </c>
      <c r="O79" s="21">
        <f t="shared" si="20"/>
        <v>-2.2811229060262121</v>
      </c>
      <c r="P79" s="21">
        <f t="shared" si="7"/>
        <v>46.924211208034649</v>
      </c>
      <c r="Q79" s="21">
        <f t="shared" si="14"/>
        <v>-29.928770130734847</v>
      </c>
      <c r="R79" s="21">
        <f t="shared" si="21"/>
        <v>745.08439121528772</v>
      </c>
      <c r="S79" s="21">
        <f t="shared" si="8"/>
        <v>-446.22031479392263</v>
      </c>
      <c r="T79" s="21">
        <f t="shared" si="15"/>
        <v>-676.0776016014006</v>
      </c>
      <c r="U79" s="21">
        <f t="shared" si="22"/>
        <v>-882.92969305312909</v>
      </c>
      <c r="V79" s="15">
        <f t="shared" si="9"/>
        <v>6.0025111523357072E-2</v>
      </c>
      <c r="W79" s="15">
        <f t="shared" si="16"/>
        <v>-9.9953262629844707E-5</v>
      </c>
      <c r="X79" s="15">
        <f t="shared" si="23"/>
        <v>-1.7130506266328303E-3</v>
      </c>
      <c r="Y79" s="15">
        <f t="shared" si="10"/>
        <v>0.23027501853156598</v>
      </c>
      <c r="Z79" s="15">
        <f t="shared" si="17"/>
        <v>-3.3965823335408013E-2</v>
      </c>
      <c r="AA79" s="15">
        <f t="shared" si="24"/>
        <v>0.71606984585297162</v>
      </c>
      <c r="AB79" s="15">
        <f t="shared" si="11"/>
        <v>-0.53932763336780243</v>
      </c>
      <c r="AC79" s="15">
        <f t="shared" si="18"/>
        <v>-0.25549363017042431</v>
      </c>
      <c r="AD79" s="15">
        <f t="shared" si="25"/>
        <v>-0.22006912850343183</v>
      </c>
      <c r="AE79" s="15">
        <f t="shared" si="12"/>
        <v>-0.30857025756953488</v>
      </c>
      <c r="AF79" s="15">
        <f t="shared" si="19"/>
        <v>-0.16999537071716184</v>
      </c>
      <c r="AG79" s="15">
        <f t="shared" si="26"/>
        <v>-2.1948975773460222E-2</v>
      </c>
    </row>
    <row r="80" spans="1:33" ht="15.75" customHeight="1" x14ac:dyDescent="0.15">
      <c r="A80" s="10"/>
      <c r="B80" s="10"/>
      <c r="C80" s="10"/>
      <c r="D80" s="10"/>
      <c r="E80" s="10"/>
      <c r="F80" s="10"/>
      <c r="G80" s="10"/>
      <c r="H80" s="10"/>
      <c r="Q80" s="10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4056-870F-6F40-B82F-2287C2497F43}">
  <sheetPr>
    <pageSetUpPr fitToPage="1"/>
  </sheetPr>
  <dimension ref="B2:M22"/>
  <sheetViews>
    <sheetView zoomScale="140" zoomScaleNormal="140" zoomScalePageLayoutView="150" workbookViewId="0">
      <selection activeCell="G18" sqref="G18"/>
    </sheetView>
  </sheetViews>
  <sheetFormatPr baseColWidth="10" defaultRowHeight="16" x14ac:dyDescent="0.2"/>
  <cols>
    <col min="2" max="2" width="36.5" style="23" customWidth="1"/>
    <col min="4" max="4" width="4.83203125" customWidth="1"/>
    <col min="5" max="5" width="16.83203125" customWidth="1"/>
    <col min="6" max="7" width="10.33203125" customWidth="1"/>
    <col min="8" max="8" width="11.33203125" customWidth="1"/>
    <col min="9" max="9" width="18.6640625" customWidth="1"/>
  </cols>
  <sheetData>
    <row r="2" spans="2:13" x14ac:dyDescent="0.2">
      <c r="B2" s="23" t="s">
        <v>148</v>
      </c>
      <c r="C2" s="68">
        <v>1000</v>
      </c>
    </row>
    <row r="3" spans="2:13" x14ac:dyDescent="0.2">
      <c r="B3" s="23" t="s">
        <v>147</v>
      </c>
      <c r="C3" s="68">
        <v>1600</v>
      </c>
    </row>
    <row r="4" spans="2:13" x14ac:dyDescent="0.2">
      <c r="B4" s="23" t="s">
        <v>146</v>
      </c>
      <c r="C4" s="68">
        <v>2000</v>
      </c>
    </row>
    <row r="6" spans="2:13" ht="34" x14ac:dyDescent="0.2">
      <c r="B6" s="23" t="s">
        <v>129</v>
      </c>
      <c r="C6" s="67">
        <f>(C3-C2)/39</f>
        <v>15.384615384615385</v>
      </c>
      <c r="E6" s="39" t="s">
        <v>137</v>
      </c>
      <c r="F6" s="39" t="s">
        <v>145</v>
      </c>
      <c r="G6" s="39" t="s">
        <v>144</v>
      </c>
      <c r="H6" s="39" t="s">
        <v>143</v>
      </c>
      <c r="I6" s="39" t="s">
        <v>142</v>
      </c>
    </row>
    <row r="7" spans="2:13" x14ac:dyDescent="0.2">
      <c r="B7" s="23" t="s">
        <v>141</v>
      </c>
      <c r="C7" s="67">
        <f>(C4-C2)/39</f>
        <v>25.641025641025642</v>
      </c>
      <c r="E7" s="59">
        <v>1</v>
      </c>
      <c r="F7" s="64">
        <f t="shared" ref="F7:F16" si="0">$C$6*E7</f>
        <v>15.384615384615385</v>
      </c>
      <c r="G7" s="64">
        <f t="shared" ref="G7:G16" si="1">$C$7*E7</f>
        <v>25.641025641025642</v>
      </c>
      <c r="H7" s="64">
        <f t="shared" ref="H7:H16" si="2">G7-F7</f>
        <v>10.256410256410257</v>
      </c>
      <c r="I7" s="63">
        <f t="shared" ref="I7:I16" si="3">H7/F7</f>
        <v>0.66666666666666674</v>
      </c>
    </row>
    <row r="8" spans="2:13" x14ac:dyDescent="0.2">
      <c r="B8" s="23" t="s">
        <v>140</v>
      </c>
      <c r="C8" s="67">
        <f>C7-C6</f>
        <v>10.256410256410257</v>
      </c>
      <c r="E8" s="59">
        <v>2</v>
      </c>
      <c r="F8" s="64">
        <f t="shared" si="0"/>
        <v>30.76923076923077</v>
      </c>
      <c r="G8" s="64">
        <f t="shared" si="1"/>
        <v>51.282051282051285</v>
      </c>
      <c r="H8" s="64">
        <f t="shared" si="2"/>
        <v>20.512820512820515</v>
      </c>
      <c r="I8" s="63">
        <f t="shared" si="3"/>
        <v>0.66666666666666674</v>
      </c>
    </row>
    <row r="9" spans="2:13" x14ac:dyDescent="0.2">
      <c r="E9" s="59">
        <v>3</v>
      </c>
      <c r="F9" s="64">
        <f t="shared" si="0"/>
        <v>46.153846153846153</v>
      </c>
      <c r="G9" s="64">
        <f t="shared" si="1"/>
        <v>76.923076923076934</v>
      </c>
      <c r="H9" s="64">
        <f t="shared" si="2"/>
        <v>30.769230769230781</v>
      </c>
      <c r="I9" s="63">
        <f t="shared" si="3"/>
        <v>0.66666666666666696</v>
      </c>
    </row>
    <row r="10" spans="2:13" x14ac:dyDescent="0.2">
      <c r="B10" s="23" t="s">
        <v>139</v>
      </c>
      <c r="C10" s="61">
        <v>13</v>
      </c>
      <c r="E10" s="59">
        <v>4</v>
      </c>
      <c r="F10" s="64">
        <f t="shared" si="0"/>
        <v>61.53846153846154</v>
      </c>
      <c r="G10" s="64">
        <f t="shared" si="1"/>
        <v>102.56410256410257</v>
      </c>
      <c r="H10" s="64">
        <f t="shared" si="2"/>
        <v>41.025641025641029</v>
      </c>
      <c r="I10" s="63">
        <f t="shared" si="3"/>
        <v>0.66666666666666674</v>
      </c>
      <c r="M10" s="4"/>
    </row>
    <row r="11" spans="2:13" x14ac:dyDescent="0.2">
      <c r="B11" s="66" t="s">
        <v>138</v>
      </c>
      <c r="C11" s="65">
        <v>26</v>
      </c>
      <c r="E11" s="59">
        <v>5</v>
      </c>
      <c r="F11" s="64">
        <f t="shared" si="0"/>
        <v>76.92307692307692</v>
      </c>
      <c r="G11" s="64">
        <f t="shared" si="1"/>
        <v>128.2051282051282</v>
      </c>
      <c r="H11" s="64">
        <f t="shared" si="2"/>
        <v>51.282051282051285</v>
      </c>
      <c r="I11" s="63">
        <f t="shared" si="3"/>
        <v>0.66666666666666674</v>
      </c>
    </row>
    <row r="12" spans="2:13" x14ac:dyDescent="0.2">
      <c r="B12" s="23" t="s">
        <v>137</v>
      </c>
      <c r="C12" s="61">
        <f>C10+C11</f>
        <v>39</v>
      </c>
      <c r="E12" s="59">
        <v>6</v>
      </c>
      <c r="F12" s="64">
        <f t="shared" si="0"/>
        <v>92.307692307692307</v>
      </c>
      <c r="G12" s="64">
        <f t="shared" si="1"/>
        <v>153.84615384615387</v>
      </c>
      <c r="H12" s="64">
        <f t="shared" si="2"/>
        <v>61.538461538461561</v>
      </c>
      <c r="I12" s="63">
        <f t="shared" si="3"/>
        <v>0.66666666666666696</v>
      </c>
    </row>
    <row r="13" spans="2:13" x14ac:dyDescent="0.2">
      <c r="B13" s="23" t="s">
        <v>136</v>
      </c>
      <c r="C13" s="60">
        <f>C12*C8</f>
        <v>400.00000000000006</v>
      </c>
      <c r="E13" s="59">
        <v>7</v>
      </c>
      <c r="F13" s="64">
        <f t="shared" si="0"/>
        <v>107.69230769230769</v>
      </c>
      <c r="G13" s="64">
        <f t="shared" si="1"/>
        <v>179.4871794871795</v>
      </c>
      <c r="H13" s="64">
        <f t="shared" si="2"/>
        <v>71.79487179487181</v>
      </c>
      <c r="I13" s="63">
        <f t="shared" si="3"/>
        <v>0.66666666666666685</v>
      </c>
    </row>
    <row r="14" spans="2:13" x14ac:dyDescent="0.2">
      <c r="B14" s="23" t="s">
        <v>135</v>
      </c>
      <c r="C14" s="60">
        <f>C10*C6/2</f>
        <v>100</v>
      </c>
      <c r="E14" s="59">
        <v>8</v>
      </c>
      <c r="F14" s="64">
        <f t="shared" si="0"/>
        <v>123.07692307692308</v>
      </c>
      <c r="G14" s="64">
        <f t="shared" si="1"/>
        <v>205.12820512820514</v>
      </c>
      <c r="H14" s="64">
        <f t="shared" si="2"/>
        <v>82.051282051282058</v>
      </c>
      <c r="I14" s="63">
        <f t="shared" si="3"/>
        <v>0.66666666666666674</v>
      </c>
    </row>
    <row r="15" spans="2:13" x14ac:dyDescent="0.2">
      <c r="B15" s="23" t="s">
        <v>128</v>
      </c>
      <c r="C15" s="60">
        <f>C13+C14</f>
        <v>500.00000000000006</v>
      </c>
      <c r="E15" s="59">
        <v>9</v>
      </c>
      <c r="F15" s="64">
        <f t="shared" si="0"/>
        <v>138.46153846153845</v>
      </c>
      <c r="G15" s="64">
        <f t="shared" si="1"/>
        <v>230.76923076923077</v>
      </c>
      <c r="H15" s="64">
        <f t="shared" si="2"/>
        <v>92.307692307692321</v>
      </c>
      <c r="I15" s="63">
        <f t="shared" si="3"/>
        <v>0.66666666666666685</v>
      </c>
    </row>
    <row r="16" spans="2:13" x14ac:dyDescent="0.2">
      <c r="E16" s="59">
        <v>10</v>
      </c>
      <c r="F16" s="64">
        <f t="shared" si="0"/>
        <v>153.84615384615384</v>
      </c>
      <c r="G16" s="64">
        <f t="shared" si="1"/>
        <v>256.41025641025641</v>
      </c>
      <c r="H16" s="64">
        <f t="shared" si="2"/>
        <v>102.56410256410257</v>
      </c>
      <c r="I16" s="63">
        <f t="shared" si="3"/>
        <v>0.66666666666666674</v>
      </c>
    </row>
    <row r="17" spans="2:7" x14ac:dyDescent="0.2">
      <c r="B17" s="23" t="s">
        <v>134</v>
      </c>
      <c r="C17" s="62">
        <f>(C4-C3)/(C3-C2)</f>
        <v>0.66666666666666663</v>
      </c>
    </row>
    <row r="18" spans="2:7" x14ac:dyDescent="0.2">
      <c r="B18" s="23" t="s">
        <v>133</v>
      </c>
      <c r="C18" s="61">
        <f>C17*C12</f>
        <v>26</v>
      </c>
      <c r="E18" t="s">
        <v>132</v>
      </c>
    </row>
    <row r="19" spans="2:7" x14ac:dyDescent="0.2">
      <c r="B19" s="23" t="s">
        <v>131</v>
      </c>
      <c r="C19" s="60">
        <f>C10/2</f>
        <v>6.5</v>
      </c>
      <c r="G19" s="60"/>
    </row>
    <row r="20" spans="2:7" x14ac:dyDescent="0.2">
      <c r="B20" s="23" t="s">
        <v>130</v>
      </c>
      <c r="C20" s="60">
        <f>C18+C19</f>
        <v>32.5</v>
      </c>
    </row>
    <row r="21" spans="2:7" x14ac:dyDescent="0.2">
      <c r="B21" s="23" t="s">
        <v>129</v>
      </c>
      <c r="C21" s="60">
        <f>C6</f>
        <v>15.384615384615385</v>
      </c>
    </row>
    <row r="22" spans="2:7" x14ac:dyDescent="0.2">
      <c r="B22" s="23" t="s">
        <v>128</v>
      </c>
      <c r="C22" s="60">
        <f>C20*C21</f>
        <v>500</v>
      </c>
    </row>
  </sheetData>
  <pageMargins left="0.75" right="0.75" top="1" bottom="1" header="0.5" footer="0.5"/>
  <pageSetup scale="87" orientation="landscape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4360-9543-CA49-8DC3-56136833B5BD}">
  <sheetPr>
    <pageSetUpPr fitToPage="1"/>
  </sheetPr>
  <dimension ref="B1:F31"/>
  <sheetViews>
    <sheetView showGridLines="0" zoomScaleNormal="100" zoomScalePageLayoutView="150" workbookViewId="0">
      <selection activeCell="F22" sqref="F22"/>
    </sheetView>
  </sheetViews>
  <sheetFormatPr baseColWidth="10" defaultRowHeight="23" x14ac:dyDescent="0.25"/>
  <cols>
    <col min="1" max="1" width="10.83203125" style="47"/>
    <col min="2" max="2" width="77.5" style="47" bestFit="1" customWidth="1"/>
    <col min="3" max="6" width="13.83203125" style="47" customWidth="1"/>
    <col min="7" max="7" width="10.83203125" style="47"/>
    <col min="8" max="8" width="32.5" style="47" customWidth="1"/>
    <col min="9" max="9" width="13.83203125" style="47" customWidth="1"/>
    <col min="10" max="12" width="16" style="47" customWidth="1"/>
    <col min="13" max="13" width="28.33203125" style="47" customWidth="1"/>
    <col min="14" max="17" width="13.83203125" style="47" customWidth="1"/>
    <col min="18" max="18" width="31.5" style="47" customWidth="1"/>
    <col min="19" max="28" width="13.83203125" style="47" customWidth="1"/>
    <col min="29" max="16384" width="10.83203125" style="47"/>
  </cols>
  <sheetData>
    <row r="1" spans="2:6" x14ac:dyDescent="0.25">
      <c r="E1" s="58"/>
    </row>
    <row r="2" spans="2:6" x14ac:dyDescent="0.25">
      <c r="C2" s="51" t="s">
        <v>113</v>
      </c>
      <c r="D2" s="51" t="s">
        <v>112</v>
      </c>
      <c r="E2" s="51" t="s">
        <v>111</v>
      </c>
    </row>
    <row r="3" spans="2:6" x14ac:dyDescent="0.25">
      <c r="B3" s="49" t="s">
        <v>127</v>
      </c>
      <c r="C3" s="57">
        <f>D3+E3</f>
        <v>30</v>
      </c>
      <c r="D3" s="57">
        <v>20</v>
      </c>
      <c r="E3" s="57">
        <v>10</v>
      </c>
    </row>
    <row r="4" spans="2:6" x14ac:dyDescent="0.25">
      <c r="B4" s="49" t="s">
        <v>107</v>
      </c>
      <c r="C4" s="48">
        <v>100</v>
      </c>
      <c r="D4" s="48">
        <v>200</v>
      </c>
      <c r="E4" s="48">
        <v>400</v>
      </c>
    </row>
    <row r="5" spans="2:6" x14ac:dyDescent="0.25">
      <c r="B5" s="49" t="s">
        <v>126</v>
      </c>
      <c r="C5" s="57">
        <v>300</v>
      </c>
      <c r="D5" s="57">
        <v>120</v>
      </c>
      <c r="E5" s="57">
        <v>20</v>
      </c>
    </row>
    <row r="7" spans="2:6" x14ac:dyDescent="0.25">
      <c r="B7" s="49" t="s">
        <v>125</v>
      </c>
      <c r="C7" s="57">
        <f>C5/C3</f>
        <v>10</v>
      </c>
      <c r="D7" s="57">
        <f>D5/D3</f>
        <v>6</v>
      </c>
      <c r="E7" s="57">
        <f>E5/E3</f>
        <v>2</v>
      </c>
    </row>
    <row r="9" spans="2:6" x14ac:dyDescent="0.25">
      <c r="B9" s="52" t="s">
        <v>124</v>
      </c>
      <c r="C9" s="51" t="s">
        <v>113</v>
      </c>
      <c r="D9" s="51" t="s">
        <v>112</v>
      </c>
      <c r="E9" s="51" t="s">
        <v>111</v>
      </c>
      <c r="F9" s="51" t="s">
        <v>122</v>
      </c>
    </row>
    <row r="10" spans="2:6" x14ac:dyDescent="0.25">
      <c r="B10" s="49" t="s">
        <v>115</v>
      </c>
      <c r="C10" s="48">
        <f>C4*C5</f>
        <v>30000</v>
      </c>
      <c r="D10" s="48">
        <f>D4*D5</f>
        <v>24000</v>
      </c>
      <c r="E10" s="48">
        <f>E4*E5</f>
        <v>8000</v>
      </c>
      <c r="F10" s="48">
        <f>SUM(C10:E10)</f>
        <v>62000</v>
      </c>
    </row>
    <row r="11" spans="2:6" x14ac:dyDescent="0.25">
      <c r="B11" s="52" t="s">
        <v>123</v>
      </c>
      <c r="C11" s="51" t="s">
        <v>113</v>
      </c>
      <c r="D11" s="51" t="s">
        <v>112</v>
      </c>
      <c r="E11" s="51" t="s">
        <v>111</v>
      </c>
      <c r="F11" s="51" t="s">
        <v>122</v>
      </c>
    </row>
    <row r="12" spans="2:6" x14ac:dyDescent="0.25">
      <c r="B12" s="49" t="s">
        <v>115</v>
      </c>
      <c r="C12" s="48">
        <f>C4*C3*C7</f>
        <v>30000</v>
      </c>
      <c r="D12" s="48">
        <f>D4*D3*D7</f>
        <v>24000</v>
      </c>
      <c r="E12" s="48">
        <f>E4*E3*E7</f>
        <v>8000</v>
      </c>
      <c r="F12" s="48">
        <f>SUM(C12:E12)</f>
        <v>62000</v>
      </c>
    </row>
    <row r="13" spans="2:6" x14ac:dyDescent="0.25">
      <c r="B13" s="49"/>
    </row>
    <row r="14" spans="2:6" x14ac:dyDescent="0.25">
      <c r="B14" s="52" t="s">
        <v>121</v>
      </c>
      <c r="C14" s="53"/>
    </row>
    <row r="15" spans="2:6" x14ac:dyDescent="0.25">
      <c r="C15" s="47" t="s">
        <v>113</v>
      </c>
      <c r="D15" s="47" t="s">
        <v>112</v>
      </c>
      <c r="E15" s="47" t="s">
        <v>111</v>
      </c>
    </row>
    <row r="16" spans="2:6" x14ac:dyDescent="0.25">
      <c r="B16" s="49" t="s">
        <v>120</v>
      </c>
      <c r="C16" s="54">
        <f>C12/(C3*52)</f>
        <v>19.23076923076923</v>
      </c>
      <c r="D16" s="54">
        <f>D12/(D3*52)</f>
        <v>23.076923076923077</v>
      </c>
      <c r="E16" s="54">
        <f>E12/(E3*52)</f>
        <v>15.384615384615385</v>
      </c>
    </row>
    <row r="17" spans="2:5" x14ac:dyDescent="0.25">
      <c r="B17" s="49" t="s">
        <v>119</v>
      </c>
      <c r="C17" s="54">
        <f>C4/52*C7</f>
        <v>19.23076923076923</v>
      </c>
      <c r="D17" s="54">
        <f>D4/52*D7</f>
        <v>23.076923076923077</v>
      </c>
      <c r="E17" s="54">
        <f>E4/52*E7</f>
        <v>15.384615384615385</v>
      </c>
    </row>
    <row r="18" spans="2:5" x14ac:dyDescent="0.25">
      <c r="B18" s="52" t="s">
        <v>118</v>
      </c>
      <c r="C18" s="53"/>
    </row>
    <row r="19" spans="2:5" x14ac:dyDescent="0.25">
      <c r="B19" s="49" t="s">
        <v>117</v>
      </c>
      <c r="D19" s="54">
        <f>C17+D17</f>
        <v>42.307692307692307</v>
      </c>
      <c r="E19" s="54">
        <f>C17+E17</f>
        <v>34.615384615384613</v>
      </c>
    </row>
    <row r="20" spans="2:5" x14ac:dyDescent="0.25">
      <c r="B20" s="49" t="s">
        <v>116</v>
      </c>
      <c r="D20" s="56">
        <f>D3*52</f>
        <v>1040</v>
      </c>
      <c r="E20" s="56">
        <f>E3*52</f>
        <v>520</v>
      </c>
    </row>
    <row r="21" spans="2:5" x14ac:dyDescent="0.25">
      <c r="B21" s="49" t="s">
        <v>115</v>
      </c>
      <c r="D21" s="55">
        <f>D20*D19</f>
        <v>44000</v>
      </c>
      <c r="E21" s="55">
        <f>E20*E19</f>
        <v>18000</v>
      </c>
    </row>
    <row r="23" spans="2:5" x14ac:dyDescent="0.25">
      <c r="B23" s="49" t="s">
        <v>115</v>
      </c>
      <c r="C23" s="53"/>
      <c r="D23" s="55">
        <f>C12*D3/(D3+E3)+D12</f>
        <v>44000</v>
      </c>
      <c r="E23" s="55">
        <f>C12*E3/(D3+E3)+E12</f>
        <v>18000</v>
      </c>
    </row>
    <row r="24" spans="2:5" x14ac:dyDescent="0.25">
      <c r="D24" s="54">
        <f>D23/(D3*52)</f>
        <v>42.307692307692307</v>
      </c>
      <c r="E24" s="54">
        <f>E23/(E3*52)</f>
        <v>34.615384615384613</v>
      </c>
    </row>
    <row r="25" spans="2:5" x14ac:dyDescent="0.25">
      <c r="D25" s="53"/>
      <c r="E25" s="53"/>
    </row>
    <row r="26" spans="2:5" x14ac:dyDescent="0.25">
      <c r="D26" s="52" t="s">
        <v>114</v>
      </c>
    </row>
    <row r="27" spans="2:5" x14ac:dyDescent="0.25">
      <c r="C27" s="51" t="s">
        <v>113</v>
      </c>
      <c r="D27" s="51" t="s">
        <v>112</v>
      </c>
      <c r="E27" s="51" t="s">
        <v>111</v>
      </c>
    </row>
    <row r="28" spans="2:5" x14ac:dyDescent="0.25">
      <c r="B28" s="49" t="s">
        <v>110</v>
      </c>
      <c r="C28" s="48">
        <v>500</v>
      </c>
      <c r="D28" s="48">
        <v>500</v>
      </c>
      <c r="E28" s="48">
        <v>1500</v>
      </c>
    </row>
    <row r="29" spans="2:5" x14ac:dyDescent="0.25">
      <c r="B29" s="49" t="s">
        <v>109</v>
      </c>
      <c r="C29" s="48">
        <f>C28</f>
        <v>500</v>
      </c>
      <c r="D29" s="48">
        <f>C29+D28</f>
        <v>1000</v>
      </c>
      <c r="E29" s="48">
        <f>C29+E28</f>
        <v>2000</v>
      </c>
    </row>
    <row r="30" spans="2:5" x14ac:dyDescent="0.25">
      <c r="B30" s="49" t="s">
        <v>108</v>
      </c>
      <c r="C30" s="50">
        <v>0.2</v>
      </c>
      <c r="D30" s="50">
        <v>0.2</v>
      </c>
      <c r="E30" s="50">
        <v>0.2</v>
      </c>
    </row>
    <row r="31" spans="2:5" x14ac:dyDescent="0.25">
      <c r="B31" s="49" t="s">
        <v>107</v>
      </c>
      <c r="C31" s="48">
        <f>C29*C30</f>
        <v>100</v>
      </c>
      <c r="D31" s="48">
        <f>D29*D30</f>
        <v>200</v>
      </c>
      <c r="E31" s="48">
        <f>E29*E30</f>
        <v>400</v>
      </c>
    </row>
  </sheetData>
  <pageMargins left="0.7" right="0.7" top="0.75" bottom="0.75" header="0.3" footer="0.3"/>
  <pageSetup scale="9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 and Demand Data</vt:lpstr>
      <vt:lpstr>SLO_Analysis</vt:lpstr>
      <vt:lpstr>AnalystUpsideAnalysis</vt:lpstr>
      <vt:lpstr>Upside calculation</vt:lpstr>
      <vt:lpstr>Inventory cost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dcterms:created xsi:type="dcterms:W3CDTF">2016-02-26T16:09:45Z</dcterms:created>
  <dcterms:modified xsi:type="dcterms:W3CDTF">2023-03-13T19:44:46Z</dcterms:modified>
</cp:coreProperties>
</file>