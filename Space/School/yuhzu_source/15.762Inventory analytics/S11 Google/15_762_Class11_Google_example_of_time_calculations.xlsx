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mp/Dropbox (MIT)/Teaching/Courses/15.762/Spring 2021/Class 12 - Google/_In-class/"/>
    </mc:Choice>
  </mc:AlternateContent>
  <xr:revisionPtr revIDLastSave="0" documentId="13_ncr:1_{C734BDA2-03DD-4C4A-BEF0-8D6D6CC20025}" xr6:coauthVersionLast="46" xr6:coauthVersionMax="46" xr10:uidLastSave="{00000000-0000-0000-0000-000000000000}"/>
  <bookViews>
    <workbookView xWindow="6280" yWindow="1040" windowWidth="24240" windowHeight="18600" activeTab="1" xr2:uid="{00000000-000D-0000-FFFF-FFFF00000000}"/>
  </bookViews>
  <sheets>
    <sheet name="Upside calculation" sheetId="2" r:id="rId1"/>
    <sheet name="Inventory cost calcul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9" i="1" l="1"/>
  <c r="D29" i="1" s="1"/>
  <c r="D31" i="1" s="1"/>
  <c r="E29" i="1" l="1"/>
  <c r="E31" i="1" s="1"/>
  <c r="C31" i="1"/>
  <c r="C7" i="2" l="1"/>
  <c r="D7" i="1" l="1"/>
  <c r="D12" i="1" s="1"/>
  <c r="D16" i="1" s="1"/>
  <c r="E7" i="1"/>
  <c r="E17" i="1" s="1"/>
  <c r="C3" i="1"/>
  <c r="C7" i="1" s="1"/>
  <c r="C17" i="1" s="1"/>
  <c r="D17" i="1"/>
  <c r="G10" i="2"/>
  <c r="C6" i="2"/>
  <c r="C21" i="2" s="1"/>
  <c r="F7" i="2"/>
  <c r="G8" i="2"/>
  <c r="F8" i="2"/>
  <c r="H8" i="2"/>
  <c r="I8" i="2"/>
  <c r="G9" i="2"/>
  <c r="F9" i="2"/>
  <c r="H9" i="2"/>
  <c r="I9" i="2"/>
  <c r="G11" i="2"/>
  <c r="F11" i="2"/>
  <c r="H11" i="2"/>
  <c r="I11" i="2"/>
  <c r="G12" i="2"/>
  <c r="F12" i="2"/>
  <c r="H12" i="2"/>
  <c r="I12" i="2"/>
  <c r="G13" i="2"/>
  <c r="F13" i="2"/>
  <c r="H13" i="2"/>
  <c r="I13" i="2"/>
  <c r="G15" i="2"/>
  <c r="F15" i="2"/>
  <c r="H15" i="2"/>
  <c r="I15" i="2"/>
  <c r="G16" i="2"/>
  <c r="F16" i="2"/>
  <c r="H16" i="2" s="1"/>
  <c r="I16" i="2" s="1"/>
  <c r="C17" i="2"/>
  <c r="C12" i="2"/>
  <c r="C18" i="2"/>
  <c r="C20" i="2" s="1"/>
  <c r="C22" i="2" s="1"/>
  <c r="C19" i="2"/>
  <c r="E20" i="1"/>
  <c r="D20" i="1"/>
  <c r="C10" i="1"/>
  <c r="D10" i="1"/>
  <c r="E10" i="1"/>
  <c r="C12" i="1" l="1"/>
  <c r="C16" i="1" s="1"/>
  <c r="E12" i="1"/>
  <c r="E16" i="1" s="1"/>
  <c r="F12" i="1"/>
  <c r="F10" i="1"/>
  <c r="E19" i="1"/>
  <c r="E21" i="1" s="1"/>
  <c r="D19" i="1"/>
  <c r="D21" i="1" s="1"/>
  <c r="G7" i="2"/>
  <c r="H7" i="2" s="1"/>
  <c r="I7" i="2" s="1"/>
  <c r="D23" i="1"/>
  <c r="C8" i="2"/>
  <c r="C13" i="2" s="1"/>
  <c r="C15" i="2" s="1"/>
  <c r="E23" i="1"/>
  <c r="E24" i="1" s="1"/>
  <c r="C14" i="2"/>
  <c r="F14" i="2"/>
  <c r="F10" i="2"/>
  <c r="H10" i="2" s="1"/>
  <c r="I10" i="2" s="1"/>
  <c r="G14" i="2"/>
  <c r="D24" i="1" l="1"/>
  <c r="H14" i="2"/>
  <c r="I14" i="2" s="1"/>
</calcChain>
</file>

<file path=xl/sharedStrings.xml><?xml version="1.0" encoding="utf-8"?>
<sst xmlns="http://schemas.openxmlformats.org/spreadsheetml/2006/main" count="62" uniqueCount="42">
  <si>
    <t>Stage 1</t>
  </si>
  <si>
    <t>Stage 2</t>
  </si>
  <si>
    <t>Stage 3</t>
  </si>
  <si>
    <t>average demand (units/week)</t>
  </si>
  <si>
    <t>avg inventory holding cost ($/year)</t>
  </si>
  <si>
    <t xml:space="preserve">stage-based units-based calculation </t>
  </si>
  <si>
    <t>stage-based time-based calculation</t>
  </si>
  <si>
    <t>Total</t>
  </si>
  <si>
    <t>stage-based inventory cost/machine</t>
  </si>
  <si>
    <t>finished-product inventory cost/machine</t>
  </si>
  <si>
    <t>base demand (units)</t>
  </si>
  <si>
    <t>expected demand in 39 weeks (units)</t>
  </si>
  <si>
    <t>90th percentile upside in 39 weeks (units)</t>
  </si>
  <si>
    <t>average weekly demand</t>
  </si>
  <si>
    <t>90th percentile weekly potential</t>
  </si>
  <si>
    <t>weekly upside required</t>
  </si>
  <si>
    <t>net replenishment time (weeks)</t>
  </si>
  <si>
    <t>safety stock (units)</t>
  </si>
  <si>
    <t>review period (weeks)</t>
  </si>
  <si>
    <t>cycle stock (units)</t>
  </si>
  <si>
    <t>average on-hand inventory (units)</t>
  </si>
  <si>
    <t>% upside required</t>
  </si>
  <si>
    <t>stage time (weeks)</t>
  </si>
  <si>
    <t>safety stock (WOS)</t>
  </si>
  <si>
    <t>average on-hand WOS (WOS)</t>
  </si>
  <si>
    <t>expected demand</t>
  </si>
  <si>
    <t>safety stock required</t>
  </si>
  <si>
    <t>maximum demand</t>
  </si>
  <si>
    <t>cycle stock (WOS)</t>
  </si>
  <si>
    <t>safety stock as % of expected demand</t>
  </si>
  <si>
    <t>annual demand (units/year)</t>
  </si>
  <si>
    <t>avg inventory cost incurred per unit ($/unit)</t>
  </si>
  <si>
    <t>No pooling; very sad</t>
  </si>
  <si>
    <t>avg inventory cost incurred per unit ($/unit) [unit based]</t>
  </si>
  <si>
    <t>avg inventory cost incurred per unit ($/unit) [time based]</t>
  </si>
  <si>
    <t>direct cost added</t>
  </si>
  <si>
    <t>holding cost rate ($/$ year)</t>
  </si>
  <si>
    <t>cumulative cost added</t>
  </si>
  <si>
    <t>stage inventory holding cost ($/unit/year)</t>
  </si>
  <si>
    <t>average inventory on-hand (units)</t>
  </si>
  <si>
    <t>average weeks of supply (weeks)</t>
  </si>
  <si>
    <t>Example of stage parameters that could produce direct cost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</si>
</sst>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right"/>
    </xf>
    <xf numFmtId="43" fontId="0" fillId="0" borderId="0" xfId="1" applyFont="1"/>
    <xf numFmtId="3" fontId="0" fillId="0" borderId="0" xfId="0" applyNumberFormat="1"/>
    <xf numFmtId="43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0" borderId="1" xfId="0" applyNumberFormat="1" applyFill="1" applyBorder="1" applyAlignment="1"/>
    <xf numFmtId="2" fontId="0" fillId="0" borderId="0" xfId="0" applyNumberFormat="1"/>
    <xf numFmtId="0" fontId="6" fillId="0" borderId="0" xfId="0" applyFont="1"/>
    <xf numFmtId="6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8" fontId="6" fillId="0" borderId="0" xfId="0" applyNumberFormat="1" applyFont="1"/>
    <xf numFmtId="0" fontId="2" fillId="0" borderId="0" xfId="0" applyFont="1"/>
    <xf numFmtId="0" fontId="6" fillId="0" borderId="2" xfId="0" applyFont="1" applyBorder="1" applyAlignment="1">
      <alignment horizontal="center"/>
    </xf>
    <xf numFmtId="6" fontId="6" fillId="0" borderId="2" xfId="0" applyNumberFormat="1" applyFont="1" applyBorder="1" applyAlignment="1">
      <alignment horizontal="center"/>
    </xf>
    <xf numFmtId="6" fontId="6" fillId="0" borderId="2" xfId="0" applyNumberFormat="1" applyFont="1" applyBorder="1"/>
    <xf numFmtId="9" fontId="6" fillId="0" borderId="2" xfId="0" applyNumberFormat="1" applyFont="1" applyBorder="1" applyAlignment="1">
      <alignment horizontal="center"/>
    </xf>
    <xf numFmtId="8" fontId="6" fillId="0" borderId="2" xfId="0" applyNumberFormat="1" applyFont="1" applyBorder="1"/>
    <xf numFmtId="164" fontId="6" fillId="0" borderId="2" xfId="1" applyNumberFormat="1" applyFont="1" applyBorder="1"/>
    <xf numFmtId="8" fontId="6" fillId="0" borderId="0" xfId="0" applyNumberFormat="1" applyFont="1" applyBorder="1"/>
  </cellXfs>
  <cellStyles count="5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1</xdr:row>
      <xdr:rowOff>185616</xdr:rowOff>
    </xdr:from>
    <xdr:to>
      <xdr:col>7</xdr:col>
      <xdr:colOff>2287302</xdr:colOff>
      <xdr:row>8</xdr:row>
      <xdr:rowOff>105183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F0FC562-A4B2-4E4D-9282-09B6AF6322D6}"/>
            </a:ext>
          </a:extLst>
        </xdr:cNvPr>
        <xdr:cNvGrpSpPr/>
      </xdr:nvGrpSpPr>
      <xdr:grpSpPr>
        <a:xfrm>
          <a:off x="12153900" y="477716"/>
          <a:ext cx="1906302" cy="1964267"/>
          <a:chOff x="6172200" y="5257800"/>
          <a:chExt cx="1905000" cy="1866900"/>
        </a:xfrm>
      </xdr:grpSpPr>
      <xdr:grpSp>
        <xdr:nvGrpSpPr>
          <xdr:cNvPr id="15" name="Group 9">
            <a:extLst>
              <a:ext uri="{FF2B5EF4-FFF2-40B4-BE49-F238E27FC236}">
                <a16:creationId xmlns:a16="http://schemas.microsoft.com/office/drawing/2014/main" id="{AC3262C3-1D4E-214D-A774-EF53A7924425}"/>
              </a:ext>
            </a:extLst>
          </xdr:cNvPr>
          <xdr:cNvGrpSpPr>
            <a:grpSpLocks/>
          </xdr:cNvGrpSpPr>
        </xdr:nvGrpSpPr>
        <xdr:grpSpPr bwMode="auto">
          <a:xfrm>
            <a:off x="7442200" y="5257800"/>
            <a:ext cx="635000" cy="622300"/>
            <a:chOff x="304" y="172"/>
            <a:chExt cx="121" cy="104"/>
          </a:xfrm>
        </xdr:grpSpPr>
        <xdr:sp macro="" textlink="">
          <xdr:nvSpPr>
            <xdr:cNvPr id="24" name="Rectangle 4">
              <a:extLst>
                <a:ext uri="{FF2B5EF4-FFF2-40B4-BE49-F238E27FC236}">
                  <a16:creationId xmlns:a16="http://schemas.microsoft.com/office/drawing/2014/main" id="{BCDF0B13-0892-C647-B321-E5C929E3079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4" y="172"/>
              <a:ext cx="121" cy="104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n-US"/>
            </a:p>
          </xdr:txBody>
        </xdr:sp>
        <xdr:sp macro="" textlink="">
          <xdr:nvSpPr>
            <xdr:cNvPr id="25" name="Text Box 7">
              <a:extLst>
                <a:ext uri="{FF2B5EF4-FFF2-40B4-BE49-F238E27FC236}">
                  <a16:creationId xmlns:a16="http://schemas.microsoft.com/office/drawing/2014/main" id="{C3926E6F-1C51-9A42-B925-F1FE5FC94BD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6" y="206"/>
              <a:ext cx="114" cy="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0" anchor="t" upright="1"/>
            <a:lstStyle/>
            <a:p>
              <a:pPr algn="ctr" rtl="0">
                <a:defRPr sz="1000"/>
              </a:pPr>
              <a:r>
                <a:rPr lang="is-IS" sz="12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16" name="Group 19">
            <a:extLst>
              <a:ext uri="{FF2B5EF4-FFF2-40B4-BE49-F238E27FC236}">
                <a16:creationId xmlns:a16="http://schemas.microsoft.com/office/drawing/2014/main" id="{334E0322-D7E1-C84C-84E3-5D365687E825}"/>
              </a:ext>
            </a:extLst>
          </xdr:cNvPr>
          <xdr:cNvGrpSpPr>
            <a:grpSpLocks/>
          </xdr:cNvGrpSpPr>
        </xdr:nvGrpSpPr>
        <xdr:grpSpPr bwMode="auto">
          <a:xfrm>
            <a:off x="7442200" y="6502400"/>
            <a:ext cx="635000" cy="622300"/>
            <a:chOff x="0" y="0"/>
            <a:chExt cx="121" cy="104"/>
          </a:xfrm>
        </xdr:grpSpPr>
        <xdr:sp macro="" textlink="">
          <xdr:nvSpPr>
            <xdr:cNvPr id="22" name="Rectangle 20">
              <a:extLst>
                <a:ext uri="{FF2B5EF4-FFF2-40B4-BE49-F238E27FC236}">
                  <a16:creationId xmlns:a16="http://schemas.microsoft.com/office/drawing/2014/main" id="{2D357DC4-60C7-1D4A-AD7C-EB8274EBB6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0"/>
              <a:ext cx="121" cy="104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n-US"/>
            </a:p>
          </xdr:txBody>
        </xdr:sp>
        <xdr:sp macro="" textlink="">
          <xdr:nvSpPr>
            <xdr:cNvPr id="23" name="Text Box 7">
              <a:extLst>
                <a:ext uri="{FF2B5EF4-FFF2-40B4-BE49-F238E27FC236}">
                  <a16:creationId xmlns:a16="http://schemas.microsoft.com/office/drawing/2014/main" id="{99A2D072-1E34-954C-8B8D-115D59CD3B9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" y="34"/>
              <a:ext cx="114" cy="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36576" tIns="22860" rIns="36576" bIns="0" anchor="t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17" name="Group 22">
            <a:extLst>
              <a:ext uri="{FF2B5EF4-FFF2-40B4-BE49-F238E27FC236}">
                <a16:creationId xmlns:a16="http://schemas.microsoft.com/office/drawing/2014/main" id="{7827FE30-0201-A344-AADC-2581B34A6FBA}"/>
              </a:ext>
            </a:extLst>
          </xdr:cNvPr>
          <xdr:cNvGrpSpPr>
            <a:grpSpLocks/>
          </xdr:cNvGrpSpPr>
        </xdr:nvGrpSpPr>
        <xdr:grpSpPr bwMode="auto">
          <a:xfrm>
            <a:off x="6172200" y="5880100"/>
            <a:ext cx="635000" cy="622300"/>
            <a:chOff x="0" y="0"/>
            <a:chExt cx="121" cy="104"/>
          </a:xfrm>
        </xdr:grpSpPr>
        <xdr:sp macro="" textlink="">
          <xdr:nvSpPr>
            <xdr:cNvPr id="20" name="Rectangle 23">
              <a:extLst>
                <a:ext uri="{FF2B5EF4-FFF2-40B4-BE49-F238E27FC236}">
                  <a16:creationId xmlns:a16="http://schemas.microsoft.com/office/drawing/2014/main" id="{2D7D166B-F511-E643-B272-13FDAE178A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0"/>
              <a:ext cx="121" cy="104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n-US"/>
            </a:p>
          </xdr:txBody>
        </xdr:sp>
        <xdr:sp macro="" textlink="">
          <xdr:nvSpPr>
            <xdr:cNvPr id="21" name="Text Box 7">
              <a:extLst>
                <a:ext uri="{FF2B5EF4-FFF2-40B4-BE49-F238E27FC236}">
                  <a16:creationId xmlns:a16="http://schemas.microsoft.com/office/drawing/2014/main" id="{64DE15B2-1C03-1543-B6D5-B246D3315B8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" y="34"/>
              <a:ext cx="114" cy="4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36576" tIns="22860" rIns="36576" bIns="0" anchor="t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rPr>
                <a:t>1</a:t>
              </a:r>
            </a:p>
          </xdr:txBody>
        </xdr:sp>
      </xdr:grpSp>
      <xdr:cxnSp macro="">
        <xdr:nvCxnSpPr>
          <xdr:cNvPr id="18" name="AutoShape 6">
            <a:extLst>
              <a:ext uri="{FF2B5EF4-FFF2-40B4-BE49-F238E27FC236}">
                <a16:creationId xmlns:a16="http://schemas.microsoft.com/office/drawing/2014/main" id="{6843559A-9FAC-1B40-A056-14AD86CFE3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807200" y="6197600"/>
            <a:ext cx="635000" cy="622300"/>
          </a:xfrm>
          <a:prstGeom prst="straightConnector1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</xdr:cxnSp>
      <xdr:cxnSp macro="">
        <xdr:nvCxnSpPr>
          <xdr:cNvPr id="19" name="AutoShape 6">
            <a:extLst>
              <a:ext uri="{FF2B5EF4-FFF2-40B4-BE49-F238E27FC236}">
                <a16:creationId xmlns:a16="http://schemas.microsoft.com/office/drawing/2014/main" id="{2935BB5E-31B8-7146-B430-BE73DD4BBF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6807200" y="5575300"/>
            <a:ext cx="635000" cy="622300"/>
          </a:xfrm>
          <a:prstGeom prst="straightConnector1">
            <a:avLst/>
          </a:prstGeom>
          <a:noFill/>
          <a:ln w="254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22"/>
  <sheetViews>
    <sheetView zoomScale="140" zoomScaleNormal="140" zoomScalePageLayoutView="150" workbookViewId="0">
      <selection activeCell="M14" sqref="M14"/>
    </sheetView>
  </sheetViews>
  <sheetFormatPr baseColWidth="10" defaultRowHeight="16" x14ac:dyDescent="0.2"/>
  <cols>
    <col min="2" max="2" width="36.5" style="1" customWidth="1"/>
    <col min="4" max="4" width="4.83203125" customWidth="1"/>
    <col min="5" max="5" width="16.83203125" customWidth="1"/>
    <col min="6" max="7" width="10.33203125" customWidth="1"/>
    <col min="8" max="8" width="11.33203125" customWidth="1"/>
    <col min="9" max="9" width="18.6640625" customWidth="1"/>
  </cols>
  <sheetData>
    <row r="2" spans="2:13" x14ac:dyDescent="0.2">
      <c r="B2" s="1" t="s">
        <v>10</v>
      </c>
      <c r="C2" s="3">
        <v>1000</v>
      </c>
    </row>
    <row r="3" spans="2:13" x14ac:dyDescent="0.2">
      <c r="B3" s="1" t="s">
        <v>11</v>
      </c>
      <c r="C3" s="3">
        <v>1600</v>
      </c>
    </row>
    <row r="4" spans="2:13" x14ac:dyDescent="0.2">
      <c r="B4" s="1" t="s">
        <v>12</v>
      </c>
      <c r="C4" s="3">
        <v>2000</v>
      </c>
    </row>
    <row r="6" spans="2:13" ht="34" x14ac:dyDescent="0.2">
      <c r="B6" s="1" t="s">
        <v>13</v>
      </c>
      <c r="C6" s="2">
        <f>(C3-C2)/39</f>
        <v>15.384615384615385</v>
      </c>
      <c r="E6" s="8" t="s">
        <v>16</v>
      </c>
      <c r="F6" s="8" t="s">
        <v>25</v>
      </c>
      <c r="G6" s="8" t="s">
        <v>27</v>
      </c>
      <c r="H6" s="8" t="s">
        <v>26</v>
      </c>
      <c r="I6" s="8" t="s">
        <v>29</v>
      </c>
    </row>
    <row r="7" spans="2:13" x14ac:dyDescent="0.2">
      <c r="B7" s="1" t="s">
        <v>14</v>
      </c>
      <c r="C7" s="2">
        <f>(C4-C2)/39</f>
        <v>25.641025641025642</v>
      </c>
      <c r="E7" s="9">
        <v>1</v>
      </c>
      <c r="F7" s="10">
        <f>$C$6*E7</f>
        <v>15.384615384615385</v>
      </c>
      <c r="G7" s="10">
        <f>$C$7*E7</f>
        <v>25.641025641025642</v>
      </c>
      <c r="H7" s="10">
        <f>G7-F7</f>
        <v>10.256410256410257</v>
      </c>
      <c r="I7" s="11">
        <f t="shared" ref="I7:I15" si="0">H7/F7</f>
        <v>0.66666666666666674</v>
      </c>
    </row>
    <row r="8" spans="2:13" x14ac:dyDescent="0.2">
      <c r="B8" s="1" t="s">
        <v>15</v>
      </c>
      <c r="C8" s="2">
        <f>C7-C6</f>
        <v>10.256410256410257</v>
      </c>
      <c r="E8" s="9">
        <v>2</v>
      </c>
      <c r="F8" s="10">
        <f t="shared" ref="F8:F16" si="1">$C$6*E8</f>
        <v>30.76923076923077</v>
      </c>
      <c r="G8" s="10">
        <f t="shared" ref="G8:G16" si="2">$C$7*E8</f>
        <v>51.282051282051285</v>
      </c>
      <c r="H8" s="10">
        <f t="shared" ref="H8:H16" si="3">G8-F8</f>
        <v>20.512820512820515</v>
      </c>
      <c r="I8" s="11">
        <f t="shared" si="0"/>
        <v>0.66666666666666674</v>
      </c>
    </row>
    <row r="9" spans="2:13" x14ac:dyDescent="0.2">
      <c r="E9" s="9">
        <v>3</v>
      </c>
      <c r="F9" s="10">
        <f t="shared" si="1"/>
        <v>46.153846153846153</v>
      </c>
      <c r="G9" s="10">
        <f t="shared" si="2"/>
        <v>76.923076923076934</v>
      </c>
      <c r="H9" s="10">
        <f t="shared" si="3"/>
        <v>30.769230769230781</v>
      </c>
      <c r="I9" s="11">
        <f t="shared" si="0"/>
        <v>0.66666666666666696</v>
      </c>
    </row>
    <row r="10" spans="2:13" x14ac:dyDescent="0.2">
      <c r="B10" s="1" t="s">
        <v>18</v>
      </c>
      <c r="C10" s="5">
        <v>13</v>
      </c>
      <c r="E10" s="9">
        <v>4</v>
      </c>
      <c r="F10" s="10">
        <f t="shared" si="1"/>
        <v>61.53846153846154</v>
      </c>
      <c r="G10" s="10">
        <f t="shared" si="2"/>
        <v>102.56410256410257</v>
      </c>
      <c r="H10" s="10">
        <f t="shared" si="3"/>
        <v>41.025641025641029</v>
      </c>
      <c r="I10" s="11">
        <f t="shared" si="0"/>
        <v>0.66666666666666674</v>
      </c>
      <c r="M10" s="19"/>
    </row>
    <row r="11" spans="2:13" x14ac:dyDescent="0.2">
      <c r="B11" s="6" t="s">
        <v>22</v>
      </c>
      <c r="C11" s="7">
        <v>26</v>
      </c>
      <c r="E11" s="9">
        <v>5</v>
      </c>
      <c r="F11" s="10">
        <f t="shared" si="1"/>
        <v>76.92307692307692</v>
      </c>
      <c r="G11" s="10">
        <f t="shared" si="2"/>
        <v>128.2051282051282</v>
      </c>
      <c r="H11" s="10">
        <f t="shared" si="3"/>
        <v>51.282051282051285</v>
      </c>
      <c r="I11" s="11">
        <f t="shared" si="0"/>
        <v>0.66666666666666674</v>
      </c>
    </row>
    <row r="12" spans="2:13" x14ac:dyDescent="0.2">
      <c r="B12" s="1" t="s">
        <v>16</v>
      </c>
      <c r="C12" s="5">
        <f>C10+C11</f>
        <v>39</v>
      </c>
      <c r="E12" s="9">
        <v>6</v>
      </c>
      <c r="F12" s="10">
        <f t="shared" si="1"/>
        <v>92.307692307692307</v>
      </c>
      <c r="G12" s="10">
        <f t="shared" si="2"/>
        <v>153.84615384615387</v>
      </c>
      <c r="H12" s="10">
        <f t="shared" si="3"/>
        <v>61.538461538461561</v>
      </c>
      <c r="I12" s="11">
        <f t="shared" si="0"/>
        <v>0.66666666666666696</v>
      </c>
    </row>
    <row r="13" spans="2:13" x14ac:dyDescent="0.2">
      <c r="B13" s="1" t="s">
        <v>17</v>
      </c>
      <c r="C13" s="4">
        <f>C12*C8</f>
        <v>400.00000000000006</v>
      </c>
      <c r="E13" s="9">
        <v>7</v>
      </c>
      <c r="F13" s="10">
        <f t="shared" si="1"/>
        <v>107.69230769230769</v>
      </c>
      <c r="G13" s="10">
        <f t="shared" si="2"/>
        <v>179.4871794871795</v>
      </c>
      <c r="H13" s="10">
        <f t="shared" si="3"/>
        <v>71.79487179487181</v>
      </c>
      <c r="I13" s="11">
        <f t="shared" si="0"/>
        <v>0.66666666666666685</v>
      </c>
    </row>
    <row r="14" spans="2:13" x14ac:dyDescent="0.2">
      <c r="B14" s="1" t="s">
        <v>19</v>
      </c>
      <c r="C14" s="4">
        <f>C10*C6/2</f>
        <v>100</v>
      </c>
      <c r="E14" s="9">
        <v>8</v>
      </c>
      <c r="F14" s="10">
        <f t="shared" si="1"/>
        <v>123.07692307692308</v>
      </c>
      <c r="G14" s="10">
        <f t="shared" si="2"/>
        <v>205.12820512820514</v>
      </c>
      <c r="H14" s="10">
        <f t="shared" si="3"/>
        <v>82.051282051282058</v>
      </c>
      <c r="I14" s="11">
        <f t="shared" si="0"/>
        <v>0.66666666666666674</v>
      </c>
    </row>
    <row r="15" spans="2:13" x14ac:dyDescent="0.2">
      <c r="B15" s="1" t="s">
        <v>20</v>
      </c>
      <c r="C15" s="4">
        <f>C13+C14</f>
        <v>500.00000000000006</v>
      </c>
      <c r="E15" s="9">
        <v>9</v>
      </c>
      <c r="F15" s="10">
        <f t="shared" si="1"/>
        <v>138.46153846153845</v>
      </c>
      <c r="G15" s="10">
        <f t="shared" si="2"/>
        <v>230.76923076923077</v>
      </c>
      <c r="H15" s="10">
        <f t="shared" si="3"/>
        <v>92.307692307692321</v>
      </c>
      <c r="I15" s="11">
        <f t="shared" si="0"/>
        <v>0.66666666666666685</v>
      </c>
    </row>
    <row r="16" spans="2:13" x14ac:dyDescent="0.2">
      <c r="E16" s="9">
        <v>10</v>
      </c>
      <c r="F16" s="10">
        <f t="shared" si="1"/>
        <v>153.84615384615384</v>
      </c>
      <c r="G16" s="10">
        <f t="shared" si="2"/>
        <v>256.41025641025641</v>
      </c>
      <c r="H16" s="10">
        <f t="shared" si="3"/>
        <v>102.56410256410257</v>
      </c>
      <c r="I16" s="11">
        <f>H16/F16</f>
        <v>0.66666666666666674</v>
      </c>
    </row>
    <row r="17" spans="2:5" x14ac:dyDescent="0.2">
      <c r="B17" s="1" t="s">
        <v>21</v>
      </c>
      <c r="C17" s="12">
        <f>(C4-C3)/(C3-C2)</f>
        <v>0.66666666666666663</v>
      </c>
    </row>
    <row r="18" spans="2:5" x14ac:dyDescent="0.2">
      <c r="B18" s="1" t="s">
        <v>23</v>
      </c>
      <c r="C18" s="5">
        <f>C17*C12</f>
        <v>26</v>
      </c>
      <c r="E18" t="s">
        <v>32</v>
      </c>
    </row>
    <row r="19" spans="2:5" x14ac:dyDescent="0.2">
      <c r="B19" s="1" t="s">
        <v>28</v>
      </c>
      <c r="C19" s="4">
        <f>C10/2</f>
        <v>6.5</v>
      </c>
    </row>
    <row r="20" spans="2:5" x14ac:dyDescent="0.2">
      <c r="B20" s="1" t="s">
        <v>24</v>
      </c>
      <c r="C20" s="4">
        <f>C18+C19</f>
        <v>32.5</v>
      </c>
    </row>
    <row r="21" spans="2:5" x14ac:dyDescent="0.2">
      <c r="B21" s="1" t="s">
        <v>13</v>
      </c>
      <c r="C21" s="4">
        <f>C6</f>
        <v>15.384615384615385</v>
      </c>
    </row>
    <row r="22" spans="2:5" x14ac:dyDescent="0.2">
      <c r="B22" s="1" t="s">
        <v>20</v>
      </c>
      <c r="C22" s="4">
        <f>C20*C21</f>
        <v>500</v>
      </c>
    </row>
  </sheetData>
  <pageMargins left="0.75" right="0.75" top="1" bottom="1" header="0.5" footer="0.5"/>
  <pageSetup scale="87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31"/>
  <sheetViews>
    <sheetView showGridLines="0" tabSelected="1" zoomScaleNormal="100" zoomScalePageLayoutView="150" workbookViewId="0">
      <selection activeCell="B4" sqref="B4"/>
    </sheetView>
  </sheetViews>
  <sheetFormatPr baseColWidth="10" defaultRowHeight="23" x14ac:dyDescent="0.25"/>
  <cols>
    <col min="1" max="1" width="10.83203125" style="13"/>
    <col min="2" max="2" width="77.5" style="13" bestFit="1" customWidth="1"/>
    <col min="3" max="6" width="13.83203125" style="13" customWidth="1"/>
    <col min="7" max="7" width="10.83203125" style="13"/>
    <col min="8" max="8" width="32.5" style="13" customWidth="1"/>
    <col min="9" max="9" width="13.83203125" style="13" customWidth="1"/>
    <col min="10" max="12" width="16" style="13" customWidth="1"/>
    <col min="13" max="13" width="28.33203125" style="13" customWidth="1"/>
    <col min="14" max="17" width="13.83203125" style="13" customWidth="1"/>
    <col min="18" max="18" width="31.5" style="13" customWidth="1"/>
    <col min="19" max="28" width="13.83203125" style="13" customWidth="1"/>
    <col min="29" max="16384" width="10.83203125" style="13"/>
  </cols>
  <sheetData>
    <row r="1" spans="2:6" x14ac:dyDescent="0.25">
      <c r="E1" s="14"/>
    </row>
    <row r="2" spans="2:6" x14ac:dyDescent="0.25">
      <c r="C2" s="16" t="s">
        <v>0</v>
      </c>
      <c r="D2" s="16" t="s">
        <v>1</v>
      </c>
      <c r="E2" s="16" t="s">
        <v>2</v>
      </c>
    </row>
    <row r="3" spans="2:6" x14ac:dyDescent="0.25">
      <c r="B3" s="15" t="s">
        <v>3</v>
      </c>
      <c r="C3" s="20">
        <f>D3+E3</f>
        <v>30</v>
      </c>
      <c r="D3" s="20">
        <v>20</v>
      </c>
      <c r="E3" s="20">
        <v>10</v>
      </c>
    </row>
    <row r="4" spans="2:6" x14ac:dyDescent="0.25">
      <c r="B4" s="15" t="s">
        <v>38</v>
      </c>
      <c r="C4" s="21">
        <v>100</v>
      </c>
      <c r="D4" s="21">
        <v>200</v>
      </c>
      <c r="E4" s="21">
        <v>400</v>
      </c>
    </row>
    <row r="5" spans="2:6" x14ac:dyDescent="0.25">
      <c r="B5" s="15" t="s">
        <v>39</v>
      </c>
      <c r="C5" s="20">
        <v>300</v>
      </c>
      <c r="D5" s="20">
        <v>120</v>
      </c>
      <c r="E5" s="20">
        <v>20</v>
      </c>
    </row>
    <row r="7" spans="2:6" x14ac:dyDescent="0.25">
      <c r="B7" s="15" t="s">
        <v>40</v>
      </c>
      <c r="C7" s="20">
        <f>C5/C3</f>
        <v>10</v>
      </c>
      <c r="D7" s="20">
        <f>D5/D3</f>
        <v>6</v>
      </c>
      <c r="E7" s="20">
        <f>E5/E3</f>
        <v>2</v>
      </c>
    </row>
    <row r="9" spans="2:6" x14ac:dyDescent="0.25">
      <c r="B9" s="17" t="s">
        <v>5</v>
      </c>
      <c r="C9" s="16" t="s">
        <v>0</v>
      </c>
      <c r="D9" s="16" t="s">
        <v>1</v>
      </c>
      <c r="E9" s="16" t="s">
        <v>2</v>
      </c>
      <c r="F9" s="16" t="s">
        <v>7</v>
      </c>
    </row>
    <row r="10" spans="2:6" x14ac:dyDescent="0.25">
      <c r="B10" s="15" t="s">
        <v>4</v>
      </c>
      <c r="C10" s="21">
        <f>C4*C5</f>
        <v>30000</v>
      </c>
      <c r="D10" s="21">
        <f>D4*D5</f>
        <v>24000</v>
      </c>
      <c r="E10" s="21">
        <f>E4*E5</f>
        <v>8000</v>
      </c>
      <c r="F10" s="21">
        <f>SUM(C10:E10)</f>
        <v>62000</v>
      </c>
    </row>
    <row r="11" spans="2:6" x14ac:dyDescent="0.25">
      <c r="B11" s="17" t="s">
        <v>6</v>
      </c>
      <c r="C11" s="16" t="s">
        <v>0</v>
      </c>
      <c r="D11" s="16" t="s">
        <v>1</v>
      </c>
      <c r="E11" s="16" t="s">
        <v>2</v>
      </c>
      <c r="F11" s="16" t="s">
        <v>7</v>
      </c>
    </row>
    <row r="12" spans="2:6" x14ac:dyDescent="0.25">
      <c r="B12" s="15" t="s">
        <v>4</v>
      </c>
      <c r="C12" s="21">
        <f>C4*C3*C7</f>
        <v>30000</v>
      </c>
      <c r="D12" s="21">
        <f>D4*D3*D7</f>
        <v>24000</v>
      </c>
      <c r="E12" s="21">
        <f>E4*E3*E7</f>
        <v>8000</v>
      </c>
      <c r="F12" s="21">
        <f>SUM(C12:E12)</f>
        <v>62000</v>
      </c>
    </row>
    <row r="13" spans="2:6" x14ac:dyDescent="0.25">
      <c r="B13" s="15"/>
    </row>
    <row r="14" spans="2:6" x14ac:dyDescent="0.25">
      <c r="B14" s="17" t="s">
        <v>8</v>
      </c>
      <c r="C14" s="18"/>
    </row>
    <row r="15" spans="2:6" x14ac:dyDescent="0.25">
      <c r="C15" s="13" t="s">
        <v>0</v>
      </c>
      <c r="D15" s="13" t="s">
        <v>1</v>
      </c>
      <c r="E15" s="13" t="s">
        <v>2</v>
      </c>
    </row>
    <row r="16" spans="2:6" x14ac:dyDescent="0.25">
      <c r="B16" s="15" t="s">
        <v>33</v>
      </c>
      <c r="C16" s="24">
        <f>C12/(C3*52)</f>
        <v>19.23076923076923</v>
      </c>
      <c r="D16" s="24">
        <f>D12/(D3*52)</f>
        <v>23.076923076923077</v>
      </c>
      <c r="E16" s="24">
        <f>E12/(E3*52)</f>
        <v>15.384615384615385</v>
      </c>
    </row>
    <row r="17" spans="2:5" x14ac:dyDescent="0.25">
      <c r="B17" s="15" t="s">
        <v>34</v>
      </c>
      <c r="C17" s="24">
        <f>C4/52*C7</f>
        <v>19.23076923076923</v>
      </c>
      <c r="D17" s="24">
        <f>D4/52*D7</f>
        <v>23.076923076923077</v>
      </c>
      <c r="E17" s="24">
        <f>E4/52*E7</f>
        <v>15.384615384615385</v>
      </c>
    </row>
    <row r="18" spans="2:5" x14ac:dyDescent="0.25">
      <c r="B18" s="17" t="s">
        <v>9</v>
      </c>
      <c r="C18" s="18"/>
    </row>
    <row r="19" spans="2:5" x14ac:dyDescent="0.25">
      <c r="B19" s="15" t="s">
        <v>31</v>
      </c>
      <c r="D19" s="24">
        <f>C17+D17</f>
        <v>42.307692307692307</v>
      </c>
      <c r="E19" s="24">
        <f>C17+E17</f>
        <v>34.615384615384613</v>
      </c>
    </row>
    <row r="20" spans="2:5" x14ac:dyDescent="0.25">
      <c r="B20" s="15" t="s">
        <v>30</v>
      </c>
      <c r="D20" s="25">
        <f>D3*52</f>
        <v>1040</v>
      </c>
      <c r="E20" s="25">
        <f>E3*52</f>
        <v>520</v>
      </c>
    </row>
    <row r="21" spans="2:5" x14ac:dyDescent="0.25">
      <c r="B21" s="15" t="s">
        <v>4</v>
      </c>
      <c r="D21" s="22">
        <f>D20*D19</f>
        <v>44000</v>
      </c>
      <c r="E21" s="22">
        <f>E20*E19</f>
        <v>18000</v>
      </c>
    </row>
    <row r="23" spans="2:5" x14ac:dyDescent="0.25">
      <c r="B23" s="15" t="s">
        <v>4</v>
      </c>
      <c r="C23" s="18"/>
      <c r="D23" s="22">
        <f>C12*D3/(D3+E3)+D12</f>
        <v>44000</v>
      </c>
      <c r="E23" s="22">
        <f>C12*E3/(D3+E3)+E12</f>
        <v>18000</v>
      </c>
    </row>
    <row r="24" spans="2:5" x14ac:dyDescent="0.25">
      <c r="D24" s="24">
        <f>D23/(D3*52)</f>
        <v>42.307692307692307</v>
      </c>
      <c r="E24" s="24">
        <f>E23/(E3*52)</f>
        <v>34.615384615384613</v>
      </c>
    </row>
    <row r="25" spans="2:5" x14ac:dyDescent="0.25">
      <c r="D25" s="26"/>
      <c r="E25" s="26"/>
    </row>
    <row r="26" spans="2:5" x14ac:dyDescent="0.25">
      <c r="D26" s="17" t="s">
        <v>41</v>
      </c>
    </row>
    <row r="27" spans="2:5" x14ac:dyDescent="0.25">
      <c r="C27" s="16" t="s">
        <v>0</v>
      </c>
      <c r="D27" s="16" t="s">
        <v>1</v>
      </c>
      <c r="E27" s="16" t="s">
        <v>2</v>
      </c>
    </row>
    <row r="28" spans="2:5" x14ac:dyDescent="0.25">
      <c r="B28" s="15" t="s">
        <v>35</v>
      </c>
      <c r="C28" s="21">
        <v>500</v>
      </c>
      <c r="D28" s="21">
        <v>500</v>
      </c>
      <c r="E28" s="21">
        <v>1500</v>
      </c>
    </row>
    <row r="29" spans="2:5" x14ac:dyDescent="0.25">
      <c r="B29" s="15" t="s">
        <v>37</v>
      </c>
      <c r="C29" s="21">
        <f>C28</f>
        <v>500</v>
      </c>
      <c r="D29" s="21">
        <f>C29+D28</f>
        <v>1000</v>
      </c>
      <c r="E29" s="21">
        <f>C29+E28</f>
        <v>2000</v>
      </c>
    </row>
    <row r="30" spans="2:5" x14ac:dyDescent="0.25">
      <c r="B30" s="15" t="s">
        <v>36</v>
      </c>
      <c r="C30" s="23">
        <v>0.2</v>
      </c>
      <c r="D30" s="23">
        <v>0.2</v>
      </c>
      <c r="E30" s="23">
        <v>0.2</v>
      </c>
    </row>
    <row r="31" spans="2:5" x14ac:dyDescent="0.25">
      <c r="B31" s="15" t="s">
        <v>38</v>
      </c>
      <c r="C31" s="21">
        <f>C29*C30</f>
        <v>100</v>
      </c>
      <c r="D31" s="21">
        <f>D29*D30</f>
        <v>200</v>
      </c>
      <c r="E31" s="21">
        <f>E29*E30</f>
        <v>400</v>
      </c>
    </row>
  </sheetData>
  <pageMargins left="0.7" right="0.7" top="0.75" bottom="0.75" header="0.3" footer="0.3"/>
  <pageSetup scale="90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Upside calculation</vt:lpstr>
      <vt:lpstr>Inventory cost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Willems, Sean Peter</cp:lastModifiedBy>
  <cp:lastPrinted>2020-02-26T10:37:09Z</cp:lastPrinted>
  <dcterms:created xsi:type="dcterms:W3CDTF">2018-03-05T05:26:26Z</dcterms:created>
  <dcterms:modified xsi:type="dcterms:W3CDTF">2021-03-29T05:50:16Z</dcterms:modified>
</cp:coreProperties>
</file>