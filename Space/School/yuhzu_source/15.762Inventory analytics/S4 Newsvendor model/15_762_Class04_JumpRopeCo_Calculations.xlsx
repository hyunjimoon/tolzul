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4 - JumpRopeCo/____InClass/"/>
    </mc:Choice>
  </mc:AlternateContent>
  <xr:revisionPtr revIDLastSave="0" documentId="13_ncr:1_{908E74C7-AE20-CB46-8E58-628DAD25E9BF}" xr6:coauthVersionLast="47" xr6:coauthVersionMax="47" xr10:uidLastSave="{00000000-0000-0000-0000-000000000000}"/>
  <bookViews>
    <workbookView xWindow="0" yWindow="760" windowWidth="34560" windowHeight="20220" activeTab="1" xr2:uid="{96E76138-EB9E-A64F-A87D-9CE28EDAB7CA}"/>
  </bookViews>
  <sheets>
    <sheet name="Assumptions" sheetId="5" r:id="rId1"/>
    <sheet name="ProductStrategyAnalysis_v0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L3" i="4"/>
  <c r="K5" i="4" l="1"/>
  <c r="K7" i="4" s="1"/>
  <c r="K8" i="4" s="1"/>
  <c r="H5" i="4"/>
  <c r="H7" i="4" s="1"/>
  <c r="G5" i="4"/>
  <c r="G7" i="4" s="1"/>
  <c r="D5" i="4"/>
  <c r="D6" i="4" s="1"/>
  <c r="C5" i="4"/>
  <c r="C7" i="4" s="1"/>
  <c r="C8" i="4" s="1"/>
  <c r="B5" i="4"/>
  <c r="B31" i="4" s="1"/>
  <c r="K6" i="4" l="1"/>
  <c r="C6" i="4"/>
  <c r="G6" i="4"/>
  <c r="H6" i="4"/>
  <c r="D52" i="4"/>
  <c r="D31" i="4"/>
  <c r="H52" i="4"/>
  <c r="H31" i="4"/>
  <c r="K52" i="4"/>
  <c r="K31" i="4"/>
  <c r="C52" i="4"/>
  <c r="C31" i="4"/>
  <c r="G52" i="4"/>
  <c r="G31" i="4"/>
  <c r="K9" i="4"/>
  <c r="K10" i="4" s="1"/>
  <c r="B7" i="4"/>
  <c r="B8" i="4" s="1"/>
  <c r="B6" i="4"/>
  <c r="D7" i="4"/>
  <c r="D8" i="4" s="1"/>
  <c r="D9" i="4" s="1"/>
  <c r="B52" i="4"/>
  <c r="H47" i="4"/>
  <c r="G47" i="4"/>
  <c r="C9" i="4"/>
  <c r="C10" i="4" s="1"/>
  <c r="C47" i="4"/>
  <c r="G8" i="4"/>
  <c r="G9" i="4" s="1"/>
  <c r="H8" i="4"/>
  <c r="H9" i="4" s="1"/>
  <c r="B9" i="4" l="1"/>
  <c r="C11" i="4"/>
  <c r="C16" i="4" s="1"/>
  <c r="G10" i="4"/>
  <c r="G12" i="4" s="1"/>
  <c r="G13" i="4" s="1"/>
  <c r="G26" i="4" s="1"/>
  <c r="G11" i="4"/>
  <c r="H10" i="4"/>
  <c r="H12" i="4" s="1"/>
  <c r="H13" i="4" s="1"/>
  <c r="H26" i="4" s="1"/>
  <c r="H11" i="4"/>
  <c r="D10" i="4"/>
  <c r="D12" i="4" s="1"/>
  <c r="D13" i="4" s="1"/>
  <c r="D26" i="4" s="1"/>
  <c r="D11" i="4"/>
  <c r="G48" i="4"/>
  <c r="G49" i="4" s="1"/>
  <c r="K12" i="4"/>
  <c r="K13" i="4" s="1"/>
  <c r="K26" i="4" s="1"/>
  <c r="C48" i="4"/>
  <c r="C49" i="4" s="1"/>
  <c r="C12" i="4"/>
  <c r="C13" i="4" s="1"/>
  <c r="C26" i="4" s="1"/>
  <c r="K47" i="4"/>
  <c r="H48" i="4"/>
  <c r="H49" i="4" s="1"/>
  <c r="D47" i="4"/>
  <c r="K11" i="4"/>
  <c r="B47" i="4"/>
  <c r="B48" i="4" s="1"/>
  <c r="B49" i="4" s="1"/>
  <c r="G29" i="4" l="1"/>
  <c r="G28" i="4"/>
  <c r="B11" i="4"/>
  <c r="B10" i="4"/>
  <c r="B12" i="4" s="1"/>
  <c r="B13" i="4" s="1"/>
  <c r="B26" i="4" s="1"/>
  <c r="C14" i="4"/>
  <c r="C18" i="4" s="1"/>
  <c r="B53" i="4"/>
  <c r="B50" i="4"/>
  <c r="B54" i="4" s="1"/>
  <c r="H17" i="4"/>
  <c r="H53" i="4"/>
  <c r="H50" i="4"/>
  <c r="H54" i="4" s="1"/>
  <c r="K16" i="4"/>
  <c r="K20" i="4" s="1"/>
  <c r="K14" i="4"/>
  <c r="K18" i="4" s="1"/>
  <c r="K22" i="4" s="1"/>
  <c r="C17" i="4"/>
  <c r="H16" i="4"/>
  <c r="H14" i="4"/>
  <c r="H18" i="4" s="1"/>
  <c r="D17" i="4"/>
  <c r="K17" i="4"/>
  <c r="K21" i="4" s="1"/>
  <c r="D48" i="4"/>
  <c r="D49" i="4" s="1"/>
  <c r="C50" i="4"/>
  <c r="C54" i="4" s="1"/>
  <c r="C53" i="4"/>
  <c r="G53" i="4"/>
  <c r="G50" i="4"/>
  <c r="G54" i="4" s="1"/>
  <c r="G14" i="4"/>
  <c r="G18" i="4" s="1"/>
  <c r="G16" i="4"/>
  <c r="G20" i="4" s="1"/>
  <c r="K48" i="4"/>
  <c r="K49" i="4" s="1"/>
  <c r="G17" i="4"/>
  <c r="B16" i="4"/>
  <c r="D16" i="4"/>
  <c r="D14" i="4"/>
  <c r="D18" i="4" s="1"/>
  <c r="C39" i="4" l="1"/>
  <c r="B20" i="4"/>
  <c r="B14" i="4"/>
  <c r="B18" i="4" s="1"/>
  <c r="B22" i="4" s="1"/>
  <c r="B29" i="4"/>
  <c r="B28" i="4"/>
  <c r="B17" i="4"/>
  <c r="B21" i="4" s="1"/>
  <c r="G21" i="4"/>
  <c r="G22" i="4"/>
  <c r="K23" i="4"/>
  <c r="B23" i="4"/>
  <c r="C40" i="4"/>
  <c r="K39" i="4"/>
  <c r="G55" i="4"/>
  <c r="B39" i="4"/>
  <c r="C55" i="4"/>
  <c r="D39" i="4"/>
  <c r="H40" i="4"/>
  <c r="D53" i="4"/>
  <c r="D50" i="4"/>
  <c r="D54" i="4" s="1"/>
  <c r="D40" i="4"/>
  <c r="H39" i="4"/>
  <c r="K53" i="4"/>
  <c r="K50" i="4"/>
  <c r="K54" i="4" s="1"/>
  <c r="G40" i="4"/>
  <c r="K40" i="4"/>
  <c r="H55" i="4"/>
  <c r="I55" i="4" s="1"/>
  <c r="G39" i="4"/>
  <c r="B55" i="4"/>
  <c r="G23" i="4" l="1"/>
  <c r="B40" i="4"/>
  <c r="E39" i="4"/>
  <c r="I39" i="4"/>
  <c r="K55" i="4"/>
  <c r="D55" i="4"/>
  <c r="E55" i="4" s="1"/>
</calcChain>
</file>

<file path=xl/sharedStrings.xml><?xml version="1.0" encoding="utf-8"?>
<sst xmlns="http://schemas.openxmlformats.org/spreadsheetml/2006/main" count="109" uniqueCount="41">
  <si>
    <t>Good</t>
  </si>
  <si>
    <t>Better</t>
  </si>
  <si>
    <t>Best</t>
  </si>
  <si>
    <t>Average</t>
  </si>
  <si>
    <t>Sigma</t>
  </si>
  <si>
    <t>Sales price</t>
  </si>
  <si>
    <t>Cost</t>
  </si>
  <si>
    <t>overage</t>
  </si>
  <si>
    <t>underage</t>
  </si>
  <si>
    <t>salvage</t>
  </si>
  <si>
    <t>CF</t>
  </si>
  <si>
    <t>Q*</t>
  </si>
  <si>
    <t>E[Y]</t>
  </si>
  <si>
    <t>z*</t>
  </si>
  <si>
    <t>E[X]</t>
  </si>
  <si>
    <t>E[W]</t>
  </si>
  <si>
    <t>GM</t>
  </si>
  <si>
    <t>Sales</t>
  </si>
  <si>
    <t>Salvage</t>
  </si>
  <si>
    <t>Q</t>
  </si>
  <si>
    <t>z</t>
  </si>
  <si>
    <t>total</t>
  </si>
  <si>
    <t>High</t>
  </si>
  <si>
    <t>Low</t>
  </si>
  <si>
    <t>OFA</t>
  </si>
  <si>
    <t>ProductStrategyAnalysis_v01</t>
  </si>
  <si>
    <t>Assumptions</t>
  </si>
  <si>
    <t>Demand random variables within a product strategy are independent</t>
  </si>
  <si>
    <t>All traditional single-stage newsvendor assumptions hold (product scrapped at end of season)</t>
  </si>
  <si>
    <t>E[Sold units]</t>
  </si>
  <si>
    <t>E[Unsold units]</t>
  </si>
  <si>
    <t>E[unmet demand]</t>
  </si>
  <si>
    <t>COGS</t>
  </si>
  <si>
    <t>Sales Revenue</t>
  </si>
  <si>
    <t>Salvage Revenue</t>
  </si>
  <si>
    <t>Profit</t>
  </si>
  <si>
    <t>Fill rate</t>
  </si>
  <si>
    <t>dollar-volume-weighted</t>
  </si>
  <si>
    <t>volume-weighted</t>
  </si>
  <si>
    <t>Customers don't learn (across seasons)</t>
  </si>
  <si>
    <t>NOTE: I will talk about calcuations below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</si>
</sst>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???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65" fontId="0" fillId="0" borderId="1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4FC0-959A-FC4E-92F9-DFA90487EF6C}">
  <dimension ref="A1:B5"/>
  <sheetViews>
    <sheetView zoomScale="300" zoomScaleNormal="300" workbookViewId="0"/>
  </sheetViews>
  <sheetFormatPr baseColWidth="10" defaultRowHeight="16" x14ac:dyDescent="0.2"/>
  <sheetData>
    <row r="1" spans="1:2" x14ac:dyDescent="0.2">
      <c r="A1" t="s">
        <v>26</v>
      </c>
    </row>
    <row r="2" spans="1:2" x14ac:dyDescent="0.2">
      <c r="A2" t="s">
        <v>25</v>
      </c>
    </row>
    <row r="3" spans="1:2" x14ac:dyDescent="0.2">
      <c r="B3" t="s">
        <v>27</v>
      </c>
    </row>
    <row r="4" spans="1:2" x14ac:dyDescent="0.2">
      <c r="B4" t="s">
        <v>28</v>
      </c>
    </row>
    <row r="5" spans="1:2" x14ac:dyDescent="0.2">
      <c r="B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E632-5496-0F40-BF7E-D956E4826163}">
  <dimension ref="A1:L57"/>
  <sheetViews>
    <sheetView showGridLines="0" tabSelected="1" zoomScale="190" zoomScaleNormal="190" workbookViewId="0"/>
  </sheetViews>
  <sheetFormatPr baseColWidth="10" defaultRowHeight="16" x14ac:dyDescent="0.2"/>
  <cols>
    <col min="1" max="1" width="21" style="5" bestFit="1" customWidth="1"/>
    <col min="2" max="4" width="13.33203125" style="5" customWidth="1"/>
    <col min="5" max="5" width="6.33203125" style="5" customWidth="1"/>
    <col min="6" max="6" width="16" style="5" bestFit="1" customWidth="1"/>
    <col min="7" max="8" width="13.33203125" style="5" customWidth="1"/>
    <col min="9" max="9" width="5.83203125" style="5" customWidth="1"/>
    <col min="10" max="11" width="13.33203125" style="5" customWidth="1"/>
    <col min="12" max="12" width="12.83203125" style="5" customWidth="1"/>
    <col min="13" max="16384" width="10.83203125" style="5"/>
  </cols>
  <sheetData>
    <row r="1" spans="1:12" x14ac:dyDescent="0.2">
      <c r="B1" s="5" t="s">
        <v>0</v>
      </c>
      <c r="C1" s="5" t="s">
        <v>1</v>
      </c>
      <c r="D1" s="5" t="s">
        <v>2</v>
      </c>
      <c r="G1" s="5" t="s">
        <v>23</v>
      </c>
      <c r="H1" s="5" t="s">
        <v>22</v>
      </c>
      <c r="K1" s="5" t="s">
        <v>24</v>
      </c>
    </row>
    <row r="2" spans="1:12" x14ac:dyDescent="0.2">
      <c r="A2" s="9" t="s">
        <v>3</v>
      </c>
      <c r="B2" s="6">
        <v>12000</v>
      </c>
      <c r="C2" s="6">
        <v>12000</v>
      </c>
      <c r="D2" s="6">
        <v>12000</v>
      </c>
      <c r="F2" s="9" t="s">
        <v>3</v>
      </c>
      <c r="G2" s="6">
        <v>16500</v>
      </c>
      <c r="H2" s="6">
        <v>16500</v>
      </c>
      <c r="J2" s="9" t="s">
        <v>3</v>
      </c>
      <c r="K2" s="6">
        <v>30000</v>
      </c>
    </row>
    <row r="3" spans="1:12" x14ac:dyDescent="0.2">
      <c r="A3" s="9" t="s">
        <v>4</v>
      </c>
      <c r="B3" s="6">
        <v>3000</v>
      </c>
      <c r="C3" s="6">
        <v>3000</v>
      </c>
      <c r="D3" s="6">
        <v>3000</v>
      </c>
      <c r="E3" s="5">
        <f>D3/D2</f>
        <v>0.25</v>
      </c>
      <c r="F3" s="9" t="s">
        <v>4</v>
      </c>
      <c r="G3" s="6">
        <v>4500</v>
      </c>
      <c r="H3" s="6">
        <v>4500</v>
      </c>
      <c r="J3" s="9" t="s">
        <v>4</v>
      </c>
      <c r="K3" s="6">
        <v>9000</v>
      </c>
      <c r="L3" s="5">
        <f>K3/K2</f>
        <v>0.3</v>
      </c>
    </row>
    <row r="4" spans="1:12" x14ac:dyDescent="0.2">
      <c r="A4" s="9" t="s">
        <v>5</v>
      </c>
      <c r="B4" s="7">
        <v>45</v>
      </c>
      <c r="C4" s="7">
        <v>70</v>
      </c>
      <c r="D4" s="7">
        <v>99</v>
      </c>
      <c r="F4" s="9" t="s">
        <v>5</v>
      </c>
      <c r="G4" s="7">
        <v>60</v>
      </c>
      <c r="H4" s="7">
        <v>80</v>
      </c>
      <c r="J4" s="9" t="s">
        <v>5</v>
      </c>
      <c r="K4" s="7">
        <v>75</v>
      </c>
    </row>
    <row r="5" spans="1:12" x14ac:dyDescent="0.2">
      <c r="A5" s="9" t="s">
        <v>6</v>
      </c>
      <c r="B5" s="7">
        <f>20+0.1*B4</f>
        <v>24.5</v>
      </c>
      <c r="C5" s="7">
        <f>20+0.1*C4</f>
        <v>27</v>
      </c>
      <c r="D5" s="7">
        <f>20+0.1*D4</f>
        <v>29.9</v>
      </c>
      <c r="F5" s="9" t="s">
        <v>6</v>
      </c>
      <c r="G5" s="7">
        <f>20+0.1*G4</f>
        <v>26</v>
      </c>
      <c r="H5" s="7">
        <f>20+0.1*H4</f>
        <v>28</v>
      </c>
      <c r="J5" s="9" t="s">
        <v>6</v>
      </c>
      <c r="K5" s="7">
        <f>20+0.1*K4</f>
        <v>27.5</v>
      </c>
    </row>
    <row r="6" spans="1:12" x14ac:dyDescent="0.2">
      <c r="A6" s="9" t="s">
        <v>8</v>
      </c>
      <c r="B6" s="7">
        <f>B4-B5</f>
        <v>20.5</v>
      </c>
      <c r="C6" s="7">
        <f>C4-C5</f>
        <v>43</v>
      </c>
      <c r="D6" s="7">
        <f>D4-D5</f>
        <v>69.099999999999994</v>
      </c>
      <c r="F6" s="9" t="s">
        <v>8</v>
      </c>
      <c r="G6" s="7">
        <f>G4-G5</f>
        <v>34</v>
      </c>
      <c r="H6" s="7">
        <f>H4-H5</f>
        <v>52</v>
      </c>
      <c r="J6" s="9" t="s">
        <v>8</v>
      </c>
      <c r="K6" s="7">
        <f>K4-K5</f>
        <v>47.5</v>
      </c>
    </row>
    <row r="7" spans="1:12" x14ac:dyDescent="0.2">
      <c r="A7" s="9" t="s">
        <v>9</v>
      </c>
      <c r="B7" s="7">
        <f>0.1*B5</f>
        <v>2.4500000000000002</v>
      </c>
      <c r="C7" s="7">
        <f>0.1*C5</f>
        <v>2.7</v>
      </c>
      <c r="D7" s="7">
        <f>0.1*D5</f>
        <v>2.99</v>
      </c>
      <c r="F7" s="9" t="s">
        <v>9</v>
      </c>
      <c r="G7" s="7">
        <f>0.1*G5</f>
        <v>2.6</v>
      </c>
      <c r="H7" s="7">
        <f>0.1*H5</f>
        <v>2.8000000000000003</v>
      </c>
      <c r="J7" s="9" t="s">
        <v>9</v>
      </c>
      <c r="K7" s="7">
        <f>0.1*K5</f>
        <v>2.75</v>
      </c>
    </row>
    <row r="8" spans="1:12" x14ac:dyDescent="0.2">
      <c r="A8" s="9" t="s">
        <v>7</v>
      </c>
      <c r="B8" s="7">
        <f>B5-B7</f>
        <v>22.05</v>
      </c>
      <c r="C8" s="7">
        <f>C5-C7</f>
        <v>24.3</v>
      </c>
      <c r="D8" s="7">
        <f>D5-D7</f>
        <v>26.909999999999997</v>
      </c>
      <c r="F8" s="9" t="s">
        <v>7</v>
      </c>
      <c r="G8" s="7">
        <f>G5-G7</f>
        <v>23.4</v>
      </c>
      <c r="H8" s="7">
        <f>H5-H7</f>
        <v>25.2</v>
      </c>
      <c r="J8" s="9" t="s">
        <v>7</v>
      </c>
      <c r="K8" s="7">
        <f>K5-K7</f>
        <v>24.75</v>
      </c>
    </row>
    <row r="9" spans="1:12" x14ac:dyDescent="0.2">
      <c r="A9" s="9" t="s">
        <v>10</v>
      </c>
      <c r="B9" s="8">
        <f>B6/(B6+B8)</f>
        <v>0.48178613396004705</v>
      </c>
      <c r="C9" s="8">
        <f>C6/(C6+C8)</f>
        <v>0.63893016344725118</v>
      </c>
      <c r="D9" s="8">
        <f>D6/(D6+D8)</f>
        <v>0.71971669617748157</v>
      </c>
      <c r="F9" s="9" t="s">
        <v>10</v>
      </c>
      <c r="G9" s="8">
        <f>G6/(G6+G8)</f>
        <v>0.59233449477351918</v>
      </c>
      <c r="H9" s="8">
        <f>H6/(H6+H8)</f>
        <v>0.67357512953367871</v>
      </c>
      <c r="J9" s="9" t="s">
        <v>10</v>
      </c>
      <c r="K9" s="8">
        <f>K6/(K6+K8)</f>
        <v>0.65743944636678198</v>
      </c>
    </row>
    <row r="10" spans="1:12" x14ac:dyDescent="0.2">
      <c r="A10" s="9" t="s">
        <v>13</v>
      </c>
      <c r="B10" s="8">
        <f>NORMSINV(B9)</f>
        <v>-4.567126398321246E-2</v>
      </c>
      <c r="C10" s="8">
        <f>NORMSINV(C9)</f>
        <v>0.35560062822485694</v>
      </c>
      <c r="D10" s="8">
        <f>NORMSINV(D9)</f>
        <v>0.58200010871850127</v>
      </c>
      <c r="F10" s="9" t="s">
        <v>13</v>
      </c>
      <c r="G10" s="8">
        <f>NORMSINV(G9)</f>
        <v>0.23355429919451906</v>
      </c>
      <c r="H10" s="8">
        <f>NORMSINV(H9)</f>
        <v>0.44980681846650555</v>
      </c>
      <c r="J10" s="9" t="s">
        <v>13</v>
      </c>
      <c r="K10" s="8">
        <f>NORMSINV(K9)</f>
        <v>0.4054849113558267</v>
      </c>
    </row>
    <row r="11" spans="1:12" x14ac:dyDescent="0.2">
      <c r="A11" s="9" t="s">
        <v>11</v>
      </c>
      <c r="B11" s="6">
        <f>B2+NORMSINV(B9)*B3</f>
        <v>11862.986208050363</v>
      </c>
      <c r="C11" s="6">
        <f>C2+NORMSINV(C9)*C3</f>
        <v>13066.801884674571</v>
      </c>
      <c r="D11" s="6">
        <f>D2+NORMSINV(D9)*D3</f>
        <v>13746.000326155503</v>
      </c>
      <c r="F11" s="9" t="s">
        <v>11</v>
      </c>
      <c r="G11" s="6">
        <f>G2+NORMSINV(G9)*G3</f>
        <v>17550.994346375337</v>
      </c>
      <c r="H11" s="6">
        <f>H2+NORMSINV(H9)*H3</f>
        <v>18524.130683099276</v>
      </c>
      <c r="J11" s="9" t="s">
        <v>11</v>
      </c>
      <c r="K11" s="6">
        <f>K2+NORMSINV(K9)*K3</f>
        <v>33649.364202202443</v>
      </c>
    </row>
    <row r="12" spans="1:12" x14ac:dyDescent="0.2">
      <c r="A12" s="9" t="s">
        <v>31</v>
      </c>
      <c r="B12" s="6">
        <f>B3*(NORMDIST(B10,0,1,0)-B10*(1-NORMSDIST(B10)))</f>
        <v>1266.5817294809883</v>
      </c>
      <c r="C12" s="6">
        <f>C3*(NORMDIST(C10,0,1,0)-C10*(1-NORMSDIST(C10)))</f>
        <v>738.30893865890982</v>
      </c>
      <c r="D12" s="6">
        <f>D3*(NORMDIST(D10,0,1,0)-D10*(1-NORMSDIST(D10)))</f>
        <v>520.99030101125879</v>
      </c>
      <c r="F12" s="9" t="s">
        <v>31</v>
      </c>
      <c r="G12" s="6">
        <f>G3*(NORMDIST(G10,0,1,0)-G10*(1-NORMSDIST(G10)))</f>
        <v>1318.4847621780734</v>
      </c>
      <c r="H12" s="6">
        <f>H3*(NORMDIST(H10,0,1,0)-H10*(1-NORMSDIST(H10)))</f>
        <v>961.78574637661382</v>
      </c>
      <c r="J12" s="9" t="s">
        <v>31</v>
      </c>
      <c r="K12" s="6">
        <f>K3*(NORMDIST(K10,0,1,0)-K10*(1-NORMSDIST(K10)))</f>
        <v>2056.9895212333299</v>
      </c>
    </row>
    <row r="13" spans="1:12" x14ac:dyDescent="0.2">
      <c r="A13" s="9" t="s">
        <v>29</v>
      </c>
      <c r="B13" s="6">
        <f>B2-B12</f>
        <v>10733.418270519012</v>
      </c>
      <c r="C13" s="6">
        <f>C2-C12</f>
        <v>11261.691061341091</v>
      </c>
      <c r="D13" s="6">
        <f>D2-D12</f>
        <v>11479.009698988741</v>
      </c>
      <c r="F13" s="9" t="s">
        <v>29</v>
      </c>
      <c r="G13" s="6">
        <f>G2-G12</f>
        <v>15181.515237821926</v>
      </c>
      <c r="H13" s="6">
        <f>H2-H12</f>
        <v>15538.214253623386</v>
      </c>
      <c r="J13" s="9" t="s">
        <v>29</v>
      </c>
      <c r="K13" s="6">
        <f>K2-K12</f>
        <v>27943.010478766671</v>
      </c>
    </row>
    <row r="14" spans="1:12" x14ac:dyDescent="0.2">
      <c r="A14" s="9" t="s">
        <v>30</v>
      </c>
      <c r="B14" s="6">
        <f>B11-B13</f>
        <v>1129.5679375313503</v>
      </c>
      <c r="C14" s="6">
        <f>C11-C13</f>
        <v>1805.1108233334799</v>
      </c>
      <c r="D14" s="6">
        <f>D11-D13</f>
        <v>2266.9906271667624</v>
      </c>
      <c r="F14" s="9" t="s">
        <v>30</v>
      </c>
      <c r="G14" s="6">
        <f>G11-G13</f>
        <v>2369.4791085534107</v>
      </c>
      <c r="H14" s="6">
        <f>H11-H13</f>
        <v>2985.9164294758903</v>
      </c>
      <c r="J14" s="9" t="s">
        <v>30</v>
      </c>
      <c r="K14" s="6">
        <f>K11-K13</f>
        <v>5706.3537234357718</v>
      </c>
    </row>
    <row r="15" spans="1:12" x14ac:dyDescent="0.2">
      <c r="A15" s="9"/>
      <c r="F15" s="9"/>
      <c r="J15" s="9"/>
    </row>
    <row r="16" spans="1:12" x14ac:dyDescent="0.2">
      <c r="A16" s="9" t="s">
        <v>32</v>
      </c>
      <c r="B16" s="3">
        <f>B11*(-B5)</f>
        <v>-290643.16209723387</v>
      </c>
      <c r="C16" s="3">
        <f>C11*(-C5)</f>
        <v>-352803.65088621341</v>
      </c>
      <c r="D16" s="3">
        <f>D11*(-D5)</f>
        <v>-411005.40975204954</v>
      </c>
      <c r="F16" s="9" t="s">
        <v>32</v>
      </c>
      <c r="G16" s="3">
        <f>G11*(-G5)</f>
        <v>-456325.85300575878</v>
      </c>
      <c r="H16" s="3">
        <f>H11*(-H5)</f>
        <v>-518675.65912677976</v>
      </c>
      <c r="J16" s="9" t="s">
        <v>32</v>
      </c>
      <c r="K16" s="3">
        <f>K11*(-K5)</f>
        <v>-925357.51556056715</v>
      </c>
    </row>
    <row r="17" spans="1:11" x14ac:dyDescent="0.2">
      <c r="A17" s="9" t="s">
        <v>33</v>
      </c>
      <c r="B17" s="3">
        <f>B4*B13</f>
        <v>483003.82217335555</v>
      </c>
      <c r="C17" s="3">
        <f>C4*C13</f>
        <v>788318.37429387635</v>
      </c>
      <c r="D17" s="3">
        <f>D4*D13</f>
        <v>1136421.9601998853</v>
      </c>
      <c r="F17" s="9" t="s">
        <v>33</v>
      </c>
      <c r="G17" s="3">
        <f>G4*G13</f>
        <v>910890.91426931554</v>
      </c>
      <c r="H17" s="3">
        <f>H4*H13</f>
        <v>1243057.1402898708</v>
      </c>
      <c r="J17" s="9" t="s">
        <v>33</v>
      </c>
      <c r="K17" s="3">
        <f>K4*K13</f>
        <v>2095725.7859075004</v>
      </c>
    </row>
    <row r="18" spans="1:11" x14ac:dyDescent="0.2">
      <c r="A18" s="9" t="s">
        <v>34</v>
      </c>
      <c r="B18" s="3">
        <f>B7*B14</f>
        <v>2767.4414469518083</v>
      </c>
      <c r="C18" s="3">
        <f>C7*C14</f>
        <v>4873.7992230003956</v>
      </c>
      <c r="D18" s="3">
        <f>D7*D14</f>
        <v>6778.30197522862</v>
      </c>
      <c r="F18" s="9" t="s">
        <v>34</v>
      </c>
      <c r="G18" s="3">
        <f>G7*G14</f>
        <v>6160.6456822388682</v>
      </c>
      <c r="H18" s="3">
        <f>H7*H14</f>
        <v>8360.5660025324942</v>
      </c>
      <c r="J18" s="9" t="s">
        <v>34</v>
      </c>
      <c r="K18" s="3">
        <f>K7*K14</f>
        <v>15692.472739448373</v>
      </c>
    </row>
    <row r="19" spans="1:11" x14ac:dyDescent="0.2">
      <c r="A19" s="9"/>
      <c r="F19" s="9"/>
      <c r="J19" s="9"/>
    </row>
    <row r="20" spans="1:11" x14ac:dyDescent="0.2">
      <c r="A20" s="9" t="s">
        <v>32</v>
      </c>
      <c r="B20" s="10">
        <f>SUM(B16:D16)</f>
        <v>-1054452.2227354967</v>
      </c>
      <c r="F20" s="9" t="s">
        <v>32</v>
      </c>
      <c r="G20" s="10">
        <f>SUM(G16:H16)</f>
        <v>-975001.51213253848</v>
      </c>
      <c r="J20" s="9" t="s">
        <v>32</v>
      </c>
      <c r="K20" s="10">
        <f>K16</f>
        <v>-925357.51556056715</v>
      </c>
    </row>
    <row r="21" spans="1:11" x14ac:dyDescent="0.2">
      <c r="A21" s="9" t="s">
        <v>33</v>
      </c>
      <c r="B21" s="10">
        <f>SUM(B17:D17)</f>
        <v>2407744.156667117</v>
      </c>
      <c r="F21" s="9" t="s">
        <v>33</v>
      </c>
      <c r="G21" s="10">
        <f>SUM(G17:H17)</f>
        <v>2153948.0545591861</v>
      </c>
      <c r="J21" s="9" t="s">
        <v>33</v>
      </c>
      <c r="K21" s="10">
        <f>K17</f>
        <v>2095725.7859075004</v>
      </c>
    </row>
    <row r="22" spans="1:11" x14ac:dyDescent="0.2">
      <c r="A22" s="9" t="s">
        <v>34</v>
      </c>
      <c r="B22" s="10">
        <f>SUM(B18:D18)</f>
        <v>14419.542645180823</v>
      </c>
      <c r="F22" s="9" t="s">
        <v>34</v>
      </c>
      <c r="G22" s="10">
        <f>SUM(G18:H18)</f>
        <v>14521.211684771362</v>
      </c>
      <c r="J22" s="9" t="s">
        <v>34</v>
      </c>
      <c r="K22" s="10">
        <f>K18</f>
        <v>15692.472739448373</v>
      </c>
    </row>
    <row r="23" spans="1:11" x14ac:dyDescent="0.2">
      <c r="A23" s="9" t="s">
        <v>35</v>
      </c>
      <c r="B23" s="11">
        <f>SUM(B20:B22)</f>
        <v>1367711.4765768012</v>
      </c>
      <c r="F23" s="9" t="s">
        <v>35</v>
      </c>
      <c r="G23" s="11">
        <f>SUM(G20:G22)</f>
        <v>1193467.754111419</v>
      </c>
      <c r="J23" s="9" t="s">
        <v>35</v>
      </c>
      <c r="K23" s="11">
        <f>SUM(K20:K22)</f>
        <v>1186060.7430863816</v>
      </c>
    </row>
    <row r="24" spans="1:11" x14ac:dyDescent="0.2">
      <c r="A24" s="9"/>
      <c r="F24" s="9"/>
      <c r="J24" s="9"/>
    </row>
    <row r="25" spans="1:11" x14ac:dyDescent="0.2">
      <c r="A25" s="12" t="s">
        <v>40</v>
      </c>
    </row>
    <row r="26" spans="1:11" x14ac:dyDescent="0.2">
      <c r="A26" s="9" t="s">
        <v>36</v>
      </c>
      <c r="B26" s="2">
        <f>B13/(B12+B13)</f>
        <v>0.894451522543251</v>
      </c>
      <c r="C26" s="2">
        <f>C13/(C12+C13)</f>
        <v>0.93847425511175753</v>
      </c>
      <c r="D26" s="2">
        <f>D13/(D12+D13)</f>
        <v>0.95658414158239502</v>
      </c>
      <c r="F26" s="9" t="s">
        <v>36</v>
      </c>
      <c r="G26" s="2">
        <f>G13/(G12+G13)</f>
        <v>0.92009183259526828</v>
      </c>
      <c r="H26" s="2">
        <f>H13/(H12+H13)</f>
        <v>0.9417099547650537</v>
      </c>
      <c r="J26" s="9" t="s">
        <v>36</v>
      </c>
      <c r="K26" s="2">
        <f>K13/(K12+K13)</f>
        <v>0.9314336826255557</v>
      </c>
    </row>
    <row r="27" spans="1:11" x14ac:dyDescent="0.2">
      <c r="A27" s="9"/>
      <c r="B27" s="2"/>
      <c r="C27" s="2"/>
      <c r="D27" s="2"/>
      <c r="F27" s="9"/>
      <c r="G27" s="2"/>
      <c r="H27" s="2"/>
      <c r="J27" s="9"/>
      <c r="K27" s="2"/>
    </row>
    <row r="28" spans="1:11" x14ac:dyDescent="0.2">
      <c r="A28" s="9" t="s">
        <v>38</v>
      </c>
      <c r="B28" s="2">
        <f>SUMPRODUCT(B26:D26,B2:D2)/SUM(B2:D2)</f>
        <v>0.92983663974580122</v>
      </c>
      <c r="F28" s="9" t="s">
        <v>38</v>
      </c>
      <c r="G28" s="2">
        <f>SUMPRODUCT(G26:H26,G2:H2)/SUM(G2:H2)</f>
        <v>0.93090089368016093</v>
      </c>
      <c r="J28" s="9"/>
    </row>
    <row r="29" spans="1:11" x14ac:dyDescent="0.2">
      <c r="A29" s="9" t="s">
        <v>37</v>
      </c>
      <c r="B29" s="2">
        <f>SUMPRODUCT(B26:D26,B2:D2,B6:D6)/SUMPRODUCT(B2:D2,B6:D6)</f>
        <v>0.94110568148782592</v>
      </c>
      <c r="F29" s="9" t="s">
        <v>37</v>
      </c>
      <c r="G29" s="2">
        <f>SUMPRODUCT(G26:H26,G2:H2,G6:H6)/SUMPRODUCT(G2:H2,G6:H6)</f>
        <v>0.93316325530258037</v>
      </c>
      <c r="J29" s="9"/>
    </row>
    <row r="30" spans="1:11" x14ac:dyDescent="0.2">
      <c r="A30" s="9"/>
      <c r="F30" s="9"/>
      <c r="J30" s="9"/>
    </row>
    <row r="31" spans="1:11" x14ac:dyDescent="0.2">
      <c r="A31" s="9" t="s">
        <v>16</v>
      </c>
      <c r="B31" s="2">
        <f>1-B5/B4</f>
        <v>0.4555555555555556</v>
      </c>
      <c r="C31" s="2">
        <f>1-C5/C4</f>
        <v>0.61428571428571432</v>
      </c>
      <c r="D31" s="2">
        <f>1-D5/D4</f>
        <v>0.69797979797979792</v>
      </c>
      <c r="F31" s="9" t="s">
        <v>16</v>
      </c>
      <c r="G31" s="2">
        <f>1-G5/G4</f>
        <v>0.56666666666666665</v>
      </c>
      <c r="H31" s="2">
        <f>1-H5/H4</f>
        <v>0.65</v>
      </c>
      <c r="J31" s="9" t="s">
        <v>16</v>
      </c>
      <c r="K31" s="2">
        <f>1-K5/K4</f>
        <v>0.6333333333333333</v>
      </c>
    </row>
    <row r="39" spans="1:12" hidden="1" x14ac:dyDescent="0.2">
      <c r="A39" s="9"/>
      <c r="B39" s="3">
        <f>(B4-B5)*B13+(B7-B5)*B14</f>
        <v>195128.10152307348</v>
      </c>
      <c r="C39" s="3">
        <f>(C4-C5)*C13+(C7-C5)*C14</f>
        <v>440388.52263066336</v>
      </c>
      <c r="D39" s="3">
        <f>(D4-D5)*D13+(D7-D5)*D14</f>
        <v>732194.85242306441</v>
      </c>
      <c r="E39" s="3">
        <f>SUM(B39:D39)</f>
        <v>1367711.4765768014</v>
      </c>
      <c r="F39" s="9"/>
      <c r="G39" s="3">
        <f>(G4-G5)*G13+(G7-G5)*G14</f>
        <v>460725.70694579568</v>
      </c>
      <c r="H39" s="3">
        <f>(H4-H5)*H13+(H7-H5)*H14</f>
        <v>732742.04716562363</v>
      </c>
      <c r="I39" s="3">
        <f>SUM(G39:H39)</f>
        <v>1193467.7541114194</v>
      </c>
      <c r="J39" s="9"/>
      <c r="K39" s="3">
        <f>(K4-K5)*K13+(K7-K5)*K14</f>
        <v>1186060.7430863813</v>
      </c>
    </row>
    <row r="40" spans="1:12" hidden="1" x14ac:dyDescent="0.2">
      <c r="A40" s="9"/>
      <c r="B40" s="3">
        <f>-B5*B11+B4*B13+B7*B14</f>
        <v>195128.10152307348</v>
      </c>
      <c r="C40" s="3">
        <f>-C5*C11+C4*C13+C7*C14</f>
        <v>440388.52263066336</v>
      </c>
      <c r="D40" s="3">
        <f>-D5*D11+D4*D13+D7*D14</f>
        <v>732194.85242306441</v>
      </c>
      <c r="E40" s="3"/>
      <c r="F40" s="9"/>
      <c r="G40" s="3">
        <f>-G5*G11+G4*G13+G7*G14</f>
        <v>460725.70694579562</v>
      </c>
      <c r="H40" s="3">
        <f>-H5*H11+H4*H13+H7*H14</f>
        <v>732742.04716562352</v>
      </c>
      <c r="I40" s="3"/>
      <c r="J40" s="9"/>
      <c r="K40" s="3">
        <f>-K5*K11+K4*K13+K7*K14</f>
        <v>1186060.7430863816</v>
      </c>
    </row>
    <row r="46" spans="1:12" hidden="1" x14ac:dyDescent="0.2">
      <c r="A46" s="5" t="s">
        <v>19</v>
      </c>
      <c r="B46" s="4">
        <v>118629.86208050363</v>
      </c>
      <c r="C46" s="4">
        <v>130668.0188467457</v>
      </c>
      <c r="D46" s="4">
        <v>137460.00326155504</v>
      </c>
      <c r="F46" s="5" t="s">
        <v>19</v>
      </c>
      <c r="G46" s="4">
        <v>175509.94346375336</v>
      </c>
      <c r="H46" s="4">
        <v>185241.30683099275</v>
      </c>
      <c r="J46" s="5" t="s">
        <v>19</v>
      </c>
      <c r="K46" s="4">
        <v>336493.64202202437</v>
      </c>
    </row>
    <row r="47" spans="1:12" hidden="1" x14ac:dyDescent="0.2">
      <c r="A47" s="5" t="s">
        <v>20</v>
      </c>
      <c r="B47" s="1">
        <f>(B46-B2)/B3</f>
        <v>35.543287360167881</v>
      </c>
      <c r="C47" s="1">
        <f>(C46-C2)/C3</f>
        <v>39.556006282248568</v>
      </c>
      <c r="D47" s="1">
        <f>(D46-D2)/D3</f>
        <v>41.820001087185013</v>
      </c>
      <c r="F47" s="5" t="s">
        <v>20</v>
      </c>
      <c r="G47" s="1">
        <f>(G46-G2)/G3</f>
        <v>35.335542991945189</v>
      </c>
      <c r="H47" s="1">
        <f>(H46-H2)/H3</f>
        <v>37.498068184665058</v>
      </c>
      <c r="J47" s="5" t="s">
        <v>20</v>
      </c>
      <c r="K47" s="1">
        <f>(K46-K2)/K3</f>
        <v>34.054849113558262</v>
      </c>
      <c r="L47" s="1"/>
    </row>
    <row r="48" spans="1:12" hidden="1" x14ac:dyDescent="0.2">
      <c r="A48" s="5" t="s">
        <v>12</v>
      </c>
      <c r="B48" s="4">
        <f>B3*(NORMDIST(B47,0,1,0)-B47*(1-NORMSDIST(B47)))</f>
        <v>5.6290244220843132E-272</v>
      </c>
      <c r="C48" s="4">
        <f>C3*(NORMDIST(C47,0,1,0)-C47*(1-NORMSDIST(C47)))</f>
        <v>0</v>
      </c>
      <c r="D48" s="4">
        <f>D3*(NORMDIST(D47,0,1,0)-D47*(1-NORMSDIST(D47)))</f>
        <v>0</v>
      </c>
      <c r="F48" s="5" t="s">
        <v>12</v>
      </c>
      <c r="G48" s="4">
        <f>G3*(NORMDIST(G47,0,1,0)-G47*(1-NORMSDIST(G47)))</f>
        <v>1.3302937694837951E-268</v>
      </c>
      <c r="H48" s="4">
        <f>H3*(NORMDIST(H47,0,1,0)-H47*(1-NORMSDIST(H47)))</f>
        <v>8.3613385578466956E-303</v>
      </c>
      <c r="J48" s="5" t="s">
        <v>12</v>
      </c>
      <c r="K48" s="4">
        <f>K3*(NORMDIST(K47,0,1,0)-K47*(1-NORMSDIST(K47)))</f>
        <v>5.2769876022176249E-249</v>
      </c>
    </row>
    <row r="49" spans="1:11" hidden="1" x14ac:dyDescent="0.2">
      <c r="A49" s="5" t="s">
        <v>14</v>
      </c>
      <c r="B49" s="4">
        <f>B2-B48</f>
        <v>12000</v>
      </c>
      <c r="C49" s="4">
        <f>C2-C48</f>
        <v>12000</v>
      </c>
      <c r="D49" s="4">
        <f>D2-D48</f>
        <v>12000</v>
      </c>
      <c r="F49" s="5" t="s">
        <v>14</v>
      </c>
      <c r="G49" s="4">
        <f>G2-G48</f>
        <v>16500</v>
      </c>
      <c r="H49" s="4">
        <f>H2-H48</f>
        <v>16500</v>
      </c>
      <c r="J49" s="5" t="s">
        <v>14</v>
      </c>
      <c r="K49" s="4">
        <f>K2-K48</f>
        <v>30000</v>
      </c>
    </row>
    <row r="50" spans="1:11" hidden="1" x14ac:dyDescent="0.2">
      <c r="A50" s="5" t="s">
        <v>15</v>
      </c>
      <c r="B50" s="4">
        <f>B46-B49</f>
        <v>106629.86208050363</v>
      </c>
      <c r="C50" s="4">
        <f>C46-C49</f>
        <v>118668.0188467457</v>
      </c>
      <c r="D50" s="4">
        <f>D46-D49</f>
        <v>125460.00326155504</v>
      </c>
      <c r="F50" s="5" t="s">
        <v>15</v>
      </c>
      <c r="G50" s="4">
        <f>G46-G49</f>
        <v>159009.94346375336</v>
      </c>
      <c r="H50" s="4">
        <f>H46-H49</f>
        <v>168741.30683099275</v>
      </c>
      <c r="J50" s="5" t="s">
        <v>15</v>
      </c>
      <c r="K50" s="4">
        <f>K46-K49</f>
        <v>306493.64202202437</v>
      </c>
    </row>
    <row r="51" spans="1:11" hidden="1" x14ac:dyDescent="0.2"/>
    <row r="52" spans="1:11" hidden="1" x14ac:dyDescent="0.2">
      <c r="A52" s="5" t="s">
        <v>6</v>
      </c>
      <c r="B52" s="3">
        <f>B46*(-B5)</f>
        <v>-2906431.6209723391</v>
      </c>
      <c r="C52" s="3">
        <f>C46*(-C5)</f>
        <v>-3528036.5088621341</v>
      </c>
      <c r="D52" s="3">
        <f>D46*(-D5)</f>
        <v>-4110054.0975204958</v>
      </c>
      <c r="F52" s="5" t="s">
        <v>6</v>
      </c>
      <c r="G52" s="3">
        <f>G46*(-G5)</f>
        <v>-4563258.5300575877</v>
      </c>
      <c r="H52" s="3">
        <f>H46*(-H5)</f>
        <v>-5186756.5912677972</v>
      </c>
      <c r="I52" s="3"/>
      <c r="J52" s="5" t="s">
        <v>6</v>
      </c>
      <c r="K52" s="3">
        <f>K46*(-K5)</f>
        <v>-9253575.1556056701</v>
      </c>
    </row>
    <row r="53" spans="1:11" hidden="1" x14ac:dyDescent="0.2">
      <c r="A53" s="5" t="s">
        <v>17</v>
      </c>
      <c r="B53" s="3">
        <f>B4*B49</f>
        <v>540000</v>
      </c>
      <c r="C53" s="3">
        <f>C4*C49</f>
        <v>840000</v>
      </c>
      <c r="D53" s="3">
        <f>D4*D49</f>
        <v>1188000</v>
      </c>
      <c r="F53" s="5" t="s">
        <v>17</v>
      </c>
      <c r="G53" s="3">
        <f>G4*G49</f>
        <v>990000</v>
      </c>
      <c r="H53" s="3">
        <f>H4*H49</f>
        <v>1320000</v>
      </c>
      <c r="I53" s="3"/>
      <c r="J53" s="5" t="s">
        <v>17</v>
      </c>
      <c r="K53" s="3">
        <f>K4*K49</f>
        <v>2250000</v>
      </c>
    </row>
    <row r="54" spans="1:11" hidden="1" x14ac:dyDescent="0.2">
      <c r="A54" s="5" t="s">
        <v>18</v>
      </c>
      <c r="B54" s="3">
        <f>B7*B50</f>
        <v>261243.16209723393</v>
      </c>
      <c r="C54" s="3">
        <f>C7*C50</f>
        <v>320403.65088621341</v>
      </c>
      <c r="D54" s="3">
        <f>D7*D50</f>
        <v>375125.4097520496</v>
      </c>
      <c r="F54" s="5" t="s">
        <v>18</v>
      </c>
      <c r="G54" s="3">
        <f>G7*G50</f>
        <v>413425.85300575872</v>
      </c>
      <c r="H54" s="3">
        <f>H7*H50</f>
        <v>472475.65912677976</v>
      </c>
      <c r="I54" s="3"/>
      <c r="J54" s="5" t="s">
        <v>18</v>
      </c>
      <c r="K54" s="3">
        <f>K7*K50</f>
        <v>842857.51556056703</v>
      </c>
    </row>
    <row r="55" spans="1:11" hidden="1" x14ac:dyDescent="0.2">
      <c r="A55" s="5" t="s">
        <v>21</v>
      </c>
      <c r="B55" s="3">
        <f>SUM(B52:B54)</f>
        <v>-2105188.4588751053</v>
      </c>
      <c r="C55" s="3">
        <f>SUM(C52:C54)</f>
        <v>-2367632.8579759207</v>
      </c>
      <c r="D55" s="3">
        <f>SUM(D52:D54)</f>
        <v>-2546928.6877684463</v>
      </c>
      <c r="E55" s="3">
        <f>SUM(B55:D55)</f>
        <v>-7019750.0046194717</v>
      </c>
      <c r="F55" s="5" t="s">
        <v>21</v>
      </c>
      <c r="G55" s="3">
        <f>SUM(G52:G54)</f>
        <v>-3159832.6770518292</v>
      </c>
      <c r="H55" s="3">
        <f>SUM(H52:H54)</f>
        <v>-3394280.9321410172</v>
      </c>
      <c r="I55" s="3">
        <f>SUM(G55:H55)</f>
        <v>-6554113.6091928463</v>
      </c>
      <c r="J55" s="5" t="s">
        <v>21</v>
      </c>
      <c r="K55" s="3">
        <f>SUM(K52:K54)</f>
        <v>-6160717.6400451027</v>
      </c>
    </row>
    <row r="56" spans="1:11" x14ac:dyDescent="0.2">
      <c r="E56" s="3"/>
    </row>
    <row r="57" spans="1:11" x14ac:dyDescent="0.2">
      <c r="E57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ProductStrategyAnalysis_v01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2022-02-05T23:16:27Z</dcterms:created>
  <dcterms:modified xsi:type="dcterms:W3CDTF">2023-02-15T18:28:50Z</dcterms:modified>
</cp:coreProperties>
</file>