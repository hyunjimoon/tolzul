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02 - BioCo/____InClass/"/>
    </mc:Choice>
  </mc:AlternateContent>
  <xr:revisionPtr revIDLastSave="0" documentId="13_ncr:1_{4C34E70A-A96C-E348-BDCA-6D5D466FBE1A}" xr6:coauthVersionLast="47" xr6:coauthVersionMax="47" xr10:uidLastSave="{00000000-0000-0000-0000-000000000000}"/>
  <bookViews>
    <workbookView xWindow="0" yWindow="760" windowWidth="34560" windowHeight="18600" activeTab="2" xr2:uid="{00000000-000D-0000-FFFF-FFFF00000000}"/>
  </bookViews>
  <sheets>
    <sheet name="ScratchAnalysis" sheetId="2" r:id="rId1"/>
    <sheet name="ScratchAnalysis (summary)" sheetId="3" r:id="rId2"/>
    <sheet name="Table2" sheetId="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5" l="1"/>
  <c r="J12" i="5"/>
  <c r="C12" i="5"/>
  <c r="O11" i="5"/>
  <c r="O10" i="5"/>
  <c r="O9" i="5"/>
  <c r="O8" i="5"/>
  <c r="O7" i="5"/>
  <c r="O6" i="5"/>
  <c r="O5" i="5"/>
  <c r="O4" i="5"/>
  <c r="O3" i="5"/>
  <c r="O2" i="5"/>
  <c r="L3" i="5"/>
  <c r="L4" i="5"/>
  <c r="L5" i="5"/>
  <c r="L6" i="5"/>
  <c r="L7" i="5"/>
  <c r="L8" i="5"/>
  <c r="L9" i="5"/>
  <c r="L10" i="5"/>
  <c r="L11" i="5"/>
  <c r="L2" i="5"/>
  <c r="Q7" i="3" l="1"/>
  <c r="O16" i="3"/>
  <c r="O17" i="3"/>
  <c r="O18" i="3"/>
  <c r="O19" i="3"/>
  <c r="O20" i="3"/>
  <c r="O21" i="3"/>
  <c r="O22" i="3"/>
  <c r="O23" i="3"/>
  <c r="O24" i="3"/>
  <c r="O15" i="3"/>
  <c r="T16" i="3"/>
  <c r="T17" i="3"/>
  <c r="T18" i="3"/>
  <c r="T19" i="3"/>
  <c r="T20" i="3"/>
  <c r="T21" i="3"/>
  <c r="T22" i="3"/>
  <c r="T23" i="3"/>
  <c r="T24" i="3"/>
  <c r="T15" i="3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S24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S12" i="2"/>
  <c r="BS1" i="2"/>
  <c r="BR12" i="2"/>
  <c r="BR1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DU24" i="2"/>
  <c r="DU25" i="2"/>
  <c r="DU26" i="2"/>
  <c r="DU27" i="2"/>
  <c r="DU28" i="2"/>
  <c r="DU29" i="2"/>
  <c r="DU30" i="2"/>
  <c r="DU31" i="2"/>
  <c r="DU32" i="2"/>
  <c r="DU33" i="2"/>
  <c r="BO12" i="2"/>
  <c r="BO1" i="2"/>
  <c r="BN12" i="2"/>
  <c r="BN1" i="2"/>
  <c r="BM12" i="2"/>
  <c r="BM1" i="2"/>
  <c r="BJ22" i="2"/>
  <c r="BK22" i="2"/>
  <c r="BI22" i="2"/>
  <c r="BH22" i="2"/>
  <c r="BF22" i="2"/>
  <c r="BE22" i="2"/>
  <c r="BD22" i="2"/>
  <c r="BJ21" i="2"/>
  <c r="BK21" i="2"/>
  <c r="BI21" i="2"/>
  <c r="BH21" i="2"/>
  <c r="BF21" i="2"/>
  <c r="BE21" i="2"/>
  <c r="BD21" i="2"/>
  <c r="BJ20" i="2"/>
  <c r="BK20" i="2"/>
  <c r="BI20" i="2"/>
  <c r="BH20" i="2"/>
  <c r="BF20" i="2"/>
  <c r="BE20" i="2"/>
  <c r="BD20" i="2"/>
  <c r="BJ19" i="2"/>
  <c r="BK19" i="2"/>
  <c r="BI19" i="2"/>
  <c r="BH19" i="2"/>
  <c r="BF19" i="2"/>
  <c r="BE19" i="2"/>
  <c r="BD19" i="2"/>
  <c r="BJ18" i="2"/>
  <c r="BK18" i="2"/>
  <c r="BI18" i="2"/>
  <c r="BH18" i="2"/>
  <c r="BF18" i="2"/>
  <c r="BE18" i="2"/>
  <c r="BD18" i="2"/>
  <c r="BJ17" i="2"/>
  <c r="BK17" i="2"/>
  <c r="BI17" i="2"/>
  <c r="BH17" i="2"/>
  <c r="BF17" i="2"/>
  <c r="BE17" i="2"/>
  <c r="BD17" i="2"/>
  <c r="BJ16" i="2"/>
  <c r="BK16" i="2"/>
  <c r="BI16" i="2"/>
  <c r="BH16" i="2"/>
  <c r="BF16" i="2"/>
  <c r="BE16" i="2"/>
  <c r="BD16" i="2"/>
  <c r="BJ15" i="2"/>
  <c r="BK15" i="2"/>
  <c r="BI15" i="2"/>
  <c r="BH15" i="2"/>
  <c r="BF15" i="2"/>
  <c r="BE15" i="2"/>
  <c r="BD15" i="2"/>
  <c r="BJ14" i="2"/>
  <c r="BK14" i="2"/>
  <c r="BI14" i="2"/>
  <c r="BH14" i="2"/>
  <c r="BF14" i="2"/>
  <c r="BE14" i="2"/>
  <c r="BD14" i="2"/>
  <c r="BJ13" i="2"/>
  <c r="BK13" i="2"/>
  <c r="BI13" i="2"/>
  <c r="BH13" i="2"/>
  <c r="BF13" i="2"/>
  <c r="BE13" i="2"/>
  <c r="BD13" i="2"/>
  <c r="BD2" i="2"/>
  <c r="BE2" i="2"/>
  <c r="BF2" i="2"/>
  <c r="BH2" i="2"/>
  <c r="BI2" i="2"/>
  <c r="BJ2" i="2"/>
  <c r="BK2" i="2"/>
  <c r="BD3" i="2"/>
  <c r="BE3" i="2"/>
  <c r="BF3" i="2"/>
  <c r="BH3" i="2"/>
  <c r="BI3" i="2"/>
  <c r="BJ3" i="2"/>
  <c r="BK3" i="2"/>
  <c r="BD4" i="2"/>
  <c r="BE4" i="2"/>
  <c r="BF4" i="2"/>
  <c r="BH4" i="2"/>
  <c r="BI4" i="2"/>
  <c r="BJ4" i="2"/>
  <c r="BK4" i="2"/>
  <c r="BD5" i="2"/>
  <c r="BE5" i="2"/>
  <c r="BF5" i="2"/>
  <c r="BH5" i="2"/>
  <c r="BI5" i="2"/>
  <c r="BJ5" i="2"/>
  <c r="BK5" i="2"/>
  <c r="BD6" i="2"/>
  <c r="BE6" i="2"/>
  <c r="BF6" i="2"/>
  <c r="BH6" i="2"/>
  <c r="BI6" i="2"/>
  <c r="BJ6" i="2"/>
  <c r="BK6" i="2"/>
  <c r="BD7" i="2"/>
  <c r="BE7" i="2"/>
  <c r="BF7" i="2"/>
  <c r="BH7" i="2"/>
  <c r="BI7" i="2"/>
  <c r="BJ7" i="2"/>
  <c r="BK7" i="2"/>
  <c r="BD8" i="2"/>
  <c r="BE8" i="2"/>
  <c r="BF8" i="2"/>
  <c r="BH8" i="2"/>
  <c r="BI8" i="2"/>
  <c r="BJ8" i="2"/>
  <c r="BK8" i="2"/>
  <c r="BD9" i="2"/>
  <c r="BE9" i="2"/>
  <c r="BF9" i="2"/>
  <c r="BH9" i="2"/>
  <c r="BI9" i="2"/>
  <c r="BJ9" i="2"/>
  <c r="BK9" i="2"/>
  <c r="BD10" i="2"/>
  <c r="BE10" i="2"/>
  <c r="BF10" i="2"/>
  <c r="BH10" i="2"/>
  <c r="BI10" i="2"/>
  <c r="BJ10" i="2"/>
  <c r="BK10" i="2"/>
  <c r="BD11" i="2"/>
  <c r="BE11" i="2"/>
  <c r="BF11" i="2"/>
  <c r="BH11" i="2"/>
  <c r="BI11" i="2"/>
  <c r="BJ11" i="2"/>
  <c r="BK11" i="2"/>
  <c r="BD24" i="2"/>
  <c r="BG24" i="2"/>
  <c r="BE24" i="2"/>
  <c r="BM24" i="2"/>
  <c r="BH24" i="2"/>
  <c r="BI24" i="2"/>
  <c r="BR24" i="2"/>
  <c r="BR13" i="2"/>
  <c r="BR2" i="2"/>
  <c r="BJ24" i="2"/>
  <c r="BK24" i="2"/>
  <c r="BD25" i="2"/>
  <c r="BG25" i="2"/>
  <c r="BE25" i="2"/>
  <c r="BM25" i="2"/>
  <c r="BH25" i="2"/>
  <c r="BI25" i="2"/>
  <c r="BR25" i="2"/>
  <c r="BR14" i="2"/>
  <c r="BR3" i="2"/>
  <c r="BJ25" i="2"/>
  <c r="BK25" i="2"/>
  <c r="BD26" i="2"/>
  <c r="BE26" i="2"/>
  <c r="BO26" i="2"/>
  <c r="BG26" i="2"/>
  <c r="BM26" i="2"/>
  <c r="BH26" i="2"/>
  <c r="BI26" i="2"/>
  <c r="BR26" i="2"/>
  <c r="BR15" i="2"/>
  <c r="BR4" i="2"/>
  <c r="BJ26" i="2"/>
  <c r="BK26" i="2"/>
  <c r="BD27" i="2"/>
  <c r="BG27" i="2"/>
  <c r="BE27" i="2"/>
  <c r="BM27" i="2"/>
  <c r="BH27" i="2"/>
  <c r="BI27" i="2"/>
  <c r="BR27" i="2"/>
  <c r="BR16" i="2"/>
  <c r="BR5" i="2"/>
  <c r="BJ27" i="2"/>
  <c r="BK27" i="2"/>
  <c r="BD28" i="2"/>
  <c r="BG28" i="2"/>
  <c r="BE28" i="2"/>
  <c r="BM28" i="2"/>
  <c r="BH28" i="2"/>
  <c r="BI28" i="2"/>
  <c r="BR28" i="2"/>
  <c r="BR17" i="2"/>
  <c r="BR6" i="2"/>
  <c r="BJ28" i="2"/>
  <c r="BK28" i="2"/>
  <c r="BD29" i="2"/>
  <c r="BG29" i="2"/>
  <c r="BE29" i="2"/>
  <c r="BM29" i="2"/>
  <c r="BH29" i="2"/>
  <c r="BI29" i="2"/>
  <c r="BR29" i="2"/>
  <c r="BR18" i="2"/>
  <c r="BR7" i="2"/>
  <c r="BJ29" i="2"/>
  <c r="BK29" i="2"/>
  <c r="BD30" i="2"/>
  <c r="BG30" i="2"/>
  <c r="BE30" i="2"/>
  <c r="BM30" i="2"/>
  <c r="BH30" i="2"/>
  <c r="BI30" i="2"/>
  <c r="BR30" i="2"/>
  <c r="BR19" i="2"/>
  <c r="BR8" i="2"/>
  <c r="BJ30" i="2"/>
  <c r="BK30" i="2"/>
  <c r="BD31" i="2"/>
  <c r="BG31" i="2"/>
  <c r="BE31" i="2"/>
  <c r="BM31" i="2"/>
  <c r="BH31" i="2"/>
  <c r="BI31" i="2"/>
  <c r="BR31" i="2"/>
  <c r="BR20" i="2"/>
  <c r="BR9" i="2"/>
  <c r="BJ31" i="2"/>
  <c r="BK31" i="2"/>
  <c r="BD32" i="2"/>
  <c r="BG32" i="2"/>
  <c r="BE32" i="2"/>
  <c r="BM32" i="2"/>
  <c r="BH32" i="2"/>
  <c r="BI32" i="2"/>
  <c r="BR32" i="2"/>
  <c r="BR21" i="2"/>
  <c r="BR10" i="2"/>
  <c r="BJ32" i="2"/>
  <c r="BK32" i="2"/>
  <c r="BD33" i="2"/>
  <c r="BG33" i="2"/>
  <c r="BE33" i="2"/>
  <c r="BM33" i="2"/>
  <c r="BH33" i="2"/>
  <c r="BI33" i="2"/>
  <c r="BR33" i="2"/>
  <c r="BR22" i="2"/>
  <c r="BR11" i="2"/>
  <c r="BJ33" i="2"/>
  <c r="BK33" i="2"/>
  <c r="BF55" i="2"/>
  <c r="BS30" i="2"/>
  <c r="BO33" i="2"/>
  <c r="BO25" i="2"/>
  <c r="BF49" i="2"/>
  <c r="BN28" i="2"/>
  <c r="BN17" i="2"/>
  <c r="BN6" i="2"/>
  <c r="BO28" i="2"/>
  <c r="BS29" i="2"/>
  <c r="BS18" i="2"/>
  <c r="BS7" i="2"/>
  <c r="BF54" i="2"/>
  <c r="BS28" i="2"/>
  <c r="BS17" i="2"/>
  <c r="BF48" i="2"/>
  <c r="BF53" i="2"/>
  <c r="BS27" i="2"/>
  <c r="BS16" i="2"/>
  <c r="BS5" i="2"/>
  <c r="BO24" i="2"/>
  <c r="BO13" i="2"/>
  <c r="BF57" i="2"/>
  <c r="BO27" i="2"/>
  <c r="BO16" i="2"/>
  <c r="BS26" i="2"/>
  <c r="BF52" i="2"/>
  <c r="BN30" i="2"/>
  <c r="BN19" i="2"/>
  <c r="BN8" i="2"/>
  <c r="BO30" i="2"/>
  <c r="BN29" i="2"/>
  <c r="BN18" i="2"/>
  <c r="BN7" i="2"/>
  <c r="BO29" i="2"/>
  <c r="BN32" i="2"/>
  <c r="BN21" i="2"/>
  <c r="BN10" i="2"/>
  <c r="BO32" i="2"/>
  <c r="BO21" i="2"/>
  <c r="BS25" i="2"/>
  <c r="BF56" i="2"/>
  <c r="BF51" i="2"/>
  <c r="BS32" i="2"/>
  <c r="BS21" i="2"/>
  <c r="BS10" i="2"/>
  <c r="BN31" i="2"/>
  <c r="BN20" i="2"/>
  <c r="BN9" i="2"/>
  <c r="BO31" i="2"/>
  <c r="BO20" i="2"/>
  <c r="BW20" i="2"/>
  <c r="BS31" i="2"/>
  <c r="BS20" i="2"/>
  <c r="BS9" i="2"/>
  <c r="BF50" i="2"/>
  <c r="BF31" i="2"/>
  <c r="BF30" i="2"/>
  <c r="BF28" i="2"/>
  <c r="BF32" i="2"/>
  <c r="BF24" i="2"/>
  <c r="BD50" i="2"/>
  <c r="BE50" i="2"/>
  <c r="BF27" i="2"/>
  <c r="BD55" i="2"/>
  <c r="BE55" i="2"/>
  <c r="BD43" i="2"/>
  <c r="BD39" i="2"/>
  <c r="BS33" i="2"/>
  <c r="BS22" i="2"/>
  <c r="BS11" i="2"/>
  <c r="BS15" i="2"/>
  <c r="BS4" i="2"/>
  <c r="BS13" i="2"/>
  <c r="BS2" i="2"/>
  <c r="BD49" i="2"/>
  <c r="BE49" i="2"/>
  <c r="BS14" i="2"/>
  <c r="BS3" i="2"/>
  <c r="BD54" i="2"/>
  <c r="BE54" i="2"/>
  <c r="BF29" i="2"/>
  <c r="BD42" i="2"/>
  <c r="BD38" i="2"/>
  <c r="BD48" i="2"/>
  <c r="BE48" i="2"/>
  <c r="BD57" i="2"/>
  <c r="BE57" i="2"/>
  <c r="BD56" i="2"/>
  <c r="BE56" i="2"/>
  <c r="BF26" i="2"/>
  <c r="BD53" i="2"/>
  <c r="BE53" i="2"/>
  <c r="BD45" i="2"/>
  <c r="BD41" i="2"/>
  <c r="BD37" i="2"/>
  <c r="BD52" i="2"/>
  <c r="BE52" i="2"/>
  <c r="BS19" i="2"/>
  <c r="BS8" i="2"/>
  <c r="BF33" i="2"/>
  <c r="BF25" i="2"/>
  <c r="BD51" i="2"/>
  <c r="BE51" i="2"/>
  <c r="BD44" i="2"/>
  <c r="BD40" i="2"/>
  <c r="BD36" i="2"/>
  <c r="BM16" i="2"/>
  <c r="BM5" i="2"/>
  <c r="BQ5" i="2"/>
  <c r="BM22" i="2"/>
  <c r="BM11" i="2"/>
  <c r="BQ11" i="2"/>
  <c r="BM14" i="2"/>
  <c r="BM3" i="2"/>
  <c r="BQ3" i="2"/>
  <c r="BM13" i="2"/>
  <c r="BM2" i="2"/>
  <c r="BQ2" i="2"/>
  <c r="BO22" i="2"/>
  <c r="BO19" i="2"/>
  <c r="BO18" i="2"/>
  <c r="BO7" i="2"/>
  <c r="BO17" i="2"/>
  <c r="BM21" i="2"/>
  <c r="BM10" i="2"/>
  <c r="BQ10" i="2"/>
  <c r="BM20" i="2"/>
  <c r="BM9" i="2"/>
  <c r="BQ9" i="2"/>
  <c r="BO15" i="2"/>
  <c r="BM19" i="2"/>
  <c r="BM8" i="2"/>
  <c r="BQ8" i="2"/>
  <c r="BM18" i="2"/>
  <c r="BM7" i="2"/>
  <c r="BQ7" i="2"/>
  <c r="BN27" i="2"/>
  <c r="BN16" i="2"/>
  <c r="BN5" i="2"/>
  <c r="BM15" i="2"/>
  <c r="BM4" i="2"/>
  <c r="BQ4" i="2"/>
  <c r="BN33" i="2"/>
  <c r="BN22" i="2"/>
  <c r="BN11" i="2"/>
  <c r="BN26" i="2"/>
  <c r="BN15" i="2"/>
  <c r="BN4" i="2"/>
  <c r="BO14" i="2"/>
  <c r="BN25" i="2"/>
  <c r="BN14" i="2"/>
  <c r="BN3" i="2"/>
  <c r="BM17" i="2"/>
  <c r="BM6" i="2"/>
  <c r="BQ6" i="2"/>
  <c r="BN24" i="2"/>
  <c r="BN13" i="2"/>
  <c r="BN2" i="2"/>
  <c r="BO2" i="2"/>
  <c r="BW13" i="2"/>
  <c r="BO8" i="2"/>
  <c r="BW19" i="2"/>
  <c r="BO10" i="2"/>
  <c r="BW21" i="2"/>
  <c r="BO4" i="2"/>
  <c r="BW15" i="2"/>
  <c r="BO6" i="2"/>
  <c r="BW17" i="2"/>
  <c r="BO3" i="2"/>
  <c r="BW14" i="2"/>
  <c r="BO11" i="2"/>
  <c r="BW22" i="2"/>
  <c r="BO5" i="2"/>
  <c r="BW16" i="2"/>
  <c r="BW18" i="2"/>
  <c r="BS6" i="2"/>
  <c r="BU17" i="2"/>
  <c r="BU16" i="2"/>
  <c r="BU21" i="2"/>
  <c r="BU19" i="2"/>
  <c r="BU20" i="2"/>
  <c r="BU15" i="2"/>
  <c r="BU13" i="2"/>
  <c r="BU18" i="2"/>
  <c r="BU22" i="2"/>
  <c r="BU14" i="2"/>
  <c r="BQ16" i="2"/>
  <c r="BQ17" i="2"/>
  <c r="BQ22" i="2"/>
  <c r="BQ18" i="2"/>
  <c r="BQ21" i="2"/>
  <c r="BQ19" i="2"/>
  <c r="BQ14" i="2"/>
  <c r="BQ20" i="2"/>
  <c r="BO9" i="2"/>
  <c r="BQ13" i="2"/>
  <c r="BQ15" i="2"/>
</calcChain>
</file>

<file path=xl/sharedStrings.xml><?xml version="1.0" encoding="utf-8"?>
<sst xmlns="http://schemas.openxmlformats.org/spreadsheetml/2006/main" count="405" uniqueCount="207">
  <si>
    <t>SKU</t>
  </si>
  <si>
    <t>SS week 1</t>
  </si>
  <si>
    <t>SS week 2</t>
  </si>
  <si>
    <t>SS week 3</t>
  </si>
  <si>
    <t>SS week 4</t>
  </si>
  <si>
    <t>SS week 5</t>
  </si>
  <si>
    <t>SS week 6</t>
  </si>
  <si>
    <t>SS week 7</t>
  </si>
  <si>
    <t>SS week 8</t>
  </si>
  <si>
    <t>SS week 9</t>
  </si>
  <si>
    <t>SS week 10</t>
  </si>
  <si>
    <t>SS week 11</t>
  </si>
  <si>
    <t>SS week 12</t>
  </si>
  <si>
    <t>SS week 13</t>
  </si>
  <si>
    <t>SS week 14</t>
  </si>
  <si>
    <t>SS week 15</t>
  </si>
  <si>
    <t>SS week 16</t>
  </si>
  <si>
    <t>SS week 17</t>
  </si>
  <si>
    <t>SS week 18</t>
  </si>
  <si>
    <t>SS week 19</t>
  </si>
  <si>
    <t>SS week 20</t>
  </si>
  <si>
    <t>SS week 21</t>
  </si>
  <si>
    <t>SS week 22</t>
  </si>
  <si>
    <t>SS week 23</t>
  </si>
  <si>
    <t>SS week 24</t>
  </si>
  <si>
    <t>SS week 25</t>
  </si>
  <si>
    <t>SS week 26</t>
  </si>
  <si>
    <t>SS week 27</t>
  </si>
  <si>
    <t>SS week 28</t>
  </si>
  <si>
    <t>SS week 29</t>
  </si>
  <si>
    <t>SS week 30</t>
  </si>
  <si>
    <t>SS week 31</t>
  </si>
  <si>
    <t>SS week 32</t>
  </si>
  <si>
    <t>SS week 33</t>
  </si>
  <si>
    <t>SS week 34</t>
  </si>
  <si>
    <t>SS week 35</t>
  </si>
  <si>
    <t>SS week 36</t>
  </si>
  <si>
    <t>SS week 37</t>
  </si>
  <si>
    <t>SS week 38</t>
  </si>
  <si>
    <t>SS week 39</t>
  </si>
  <si>
    <t>SS week 40</t>
  </si>
  <si>
    <t>SS week 41</t>
  </si>
  <si>
    <t>SS week 42</t>
  </si>
  <si>
    <t>SS week 43</t>
  </si>
  <si>
    <t>SS week 44</t>
  </si>
  <si>
    <t>SS week 45</t>
  </si>
  <si>
    <t>SS week 46</t>
  </si>
  <si>
    <t>SS week 47</t>
  </si>
  <si>
    <t>SS week 48</t>
  </si>
  <si>
    <t>SS week 49</t>
  </si>
  <si>
    <t>SS week 50</t>
  </si>
  <si>
    <t>SS week 51</t>
  </si>
  <si>
    <t>SS week 52</t>
  </si>
  <si>
    <t>On Hand Quantity week 1</t>
  </si>
  <si>
    <t>On Hand Quantity week 2</t>
  </si>
  <si>
    <t>On Hand Quantity week 3</t>
  </si>
  <si>
    <t>On Hand Quantity week 4</t>
  </si>
  <si>
    <t>On Hand Quantity week 5</t>
  </si>
  <si>
    <t>On Hand Quantity week 6</t>
  </si>
  <si>
    <t>On Hand Quantity week 7</t>
  </si>
  <si>
    <t>On Hand Quantity week 8</t>
  </si>
  <si>
    <t>On Hand Quantity week 9</t>
  </si>
  <si>
    <t>On Hand Quantity week 10</t>
  </si>
  <si>
    <t>On Hand Quantity week 11</t>
  </si>
  <si>
    <t>On Hand Quantity week 12</t>
  </si>
  <si>
    <t>On Hand Quantity week 13</t>
  </si>
  <si>
    <t>On Hand Quantity week 14</t>
  </si>
  <si>
    <t>On Hand Quantity week 15</t>
  </si>
  <si>
    <t>On Hand Quantity week 16</t>
  </si>
  <si>
    <t>On Hand Quantity week 17</t>
  </si>
  <si>
    <t>On Hand Quantity week 18</t>
  </si>
  <si>
    <t>On Hand Quantity week 19</t>
  </si>
  <si>
    <t>On Hand Quantity week 20</t>
  </si>
  <si>
    <t>On Hand Quantity week 21</t>
  </si>
  <si>
    <t>On Hand Quantity week 22</t>
  </si>
  <si>
    <t>On Hand Quantity week 23</t>
  </si>
  <si>
    <t>On Hand Quantity week 24</t>
  </si>
  <si>
    <t>On Hand Quantity week 25</t>
  </si>
  <si>
    <t>On Hand Quantity week 26</t>
  </si>
  <si>
    <t>On Hand Quantity week 27</t>
  </si>
  <si>
    <t>On Hand Quantity week 28</t>
  </si>
  <si>
    <t>On Hand Quantity week 29</t>
  </si>
  <si>
    <t>On Hand Quantity week 30</t>
  </si>
  <si>
    <t>On Hand Quantity week 31</t>
  </si>
  <si>
    <t>On Hand Quantity week 32</t>
  </si>
  <si>
    <t>On Hand Quantity week 33</t>
  </si>
  <si>
    <t>On Hand Quantity week 34</t>
  </si>
  <si>
    <t>On Hand Quantity week 35</t>
  </si>
  <si>
    <t>On Hand Quantity week 36</t>
  </si>
  <si>
    <t>On Hand Quantity week 37</t>
  </si>
  <si>
    <t>On Hand Quantity week 38</t>
  </si>
  <si>
    <t>On Hand Quantity week 39</t>
  </si>
  <si>
    <t>On Hand Quantity week 40</t>
  </si>
  <si>
    <t>On Hand Quantity week 41</t>
  </si>
  <si>
    <t>On Hand Quantity week 42</t>
  </si>
  <si>
    <t>On Hand Quantity week 43</t>
  </si>
  <si>
    <t>On Hand Quantity week 44</t>
  </si>
  <si>
    <t>On Hand Quantity week 45</t>
  </si>
  <si>
    <t>On Hand Quantity week 46</t>
  </si>
  <si>
    <t>On Hand Quantity week 47</t>
  </si>
  <si>
    <t>On Hand Quantity week 48</t>
  </si>
  <si>
    <t>On Hand Quantity week 49</t>
  </si>
  <si>
    <t>On Hand Quantity week 50</t>
  </si>
  <si>
    <t>On Hand Quantity week 51</t>
  </si>
  <si>
    <t>On Hand Quantity week 52</t>
  </si>
  <si>
    <t>Shipment week 1</t>
  </si>
  <si>
    <t>Shipment week 2</t>
  </si>
  <si>
    <t>Shipment week 3</t>
  </si>
  <si>
    <t>Shipment week 4</t>
  </si>
  <si>
    <t>Shipment week 5</t>
  </si>
  <si>
    <t>Shipment week 6</t>
  </si>
  <si>
    <t>Shipment week 7</t>
  </si>
  <si>
    <t>Shipment week 8</t>
  </si>
  <si>
    <t>Shipment week 9</t>
  </si>
  <si>
    <t>Shipment week 10</t>
  </si>
  <si>
    <t>Shipment week 11</t>
  </si>
  <si>
    <t>Shipment week 12</t>
  </si>
  <si>
    <t>Shipment week 13</t>
  </si>
  <si>
    <t>Shipment week 14</t>
  </si>
  <si>
    <t>Shipment week 15</t>
  </si>
  <si>
    <t>Shipment week 16</t>
  </si>
  <si>
    <t>Shipment week 17</t>
  </si>
  <si>
    <t>Shipment week 18</t>
  </si>
  <si>
    <t>Shipment week 19</t>
  </si>
  <si>
    <t>Shipment week 20</t>
  </si>
  <si>
    <t>Shipment week 21</t>
  </si>
  <si>
    <t>Shipment week 22</t>
  </si>
  <si>
    <t>Shipment week 23</t>
  </si>
  <si>
    <t>Shipment week 24</t>
  </si>
  <si>
    <t>Shipment week 25</t>
  </si>
  <si>
    <t>Shipment week 26</t>
  </si>
  <si>
    <t>Shipment week 27</t>
  </si>
  <si>
    <t>Shipment week 28</t>
  </si>
  <si>
    <t>Shipment week 29</t>
  </si>
  <si>
    <t>Shipment week 30</t>
  </si>
  <si>
    <t>Shipment week 31</t>
  </si>
  <si>
    <t>Shipment week 32</t>
  </si>
  <si>
    <t>Shipment week 33</t>
  </si>
  <si>
    <t>Shipment week 34</t>
  </si>
  <si>
    <t>Shipment week 35</t>
  </si>
  <si>
    <t>Shipment week 36</t>
  </si>
  <si>
    <t>Shipment week 37</t>
  </si>
  <si>
    <t>Shipment week 38</t>
  </si>
  <si>
    <t>Shipment week 39</t>
  </si>
  <si>
    <t>Shipment week 40</t>
  </si>
  <si>
    <t>Shipment week 41</t>
  </si>
  <si>
    <t>Shipment week 42</t>
  </si>
  <si>
    <t>Shipment week 43</t>
  </si>
  <si>
    <t>Shipment week 44</t>
  </si>
  <si>
    <t>Shipment week 45</t>
  </si>
  <si>
    <t>Shipment week 46</t>
  </si>
  <si>
    <t>Shipment week 47</t>
  </si>
  <si>
    <t>Shipment week 48</t>
  </si>
  <si>
    <t>Shipment week 49</t>
  </si>
  <si>
    <t>Shipment week 50</t>
  </si>
  <si>
    <t>Shipment week 51</t>
  </si>
  <si>
    <t>Shipment week 52</t>
  </si>
  <si>
    <t>max</t>
  </si>
  <si>
    <t>min</t>
  </si>
  <si>
    <t>st dev</t>
  </si>
  <si>
    <t>median</t>
  </si>
  <si>
    <t>average</t>
  </si>
  <si>
    <t>count 0</t>
  </si>
  <si>
    <t>zero %</t>
  </si>
  <si>
    <t>sci ss</t>
  </si>
  <si>
    <t>sci cs</t>
  </si>
  <si>
    <t>sci ss+cs</t>
  </si>
  <si>
    <t>3*max</t>
  </si>
  <si>
    <t>max3</t>
  </si>
  <si>
    <t>CV</t>
  </si>
  <si>
    <t>count 0s</t>
  </si>
  <si>
    <t>% weeks production</t>
  </si>
  <si>
    <t>SKU_02</t>
  </si>
  <si>
    <t>SKU_03</t>
  </si>
  <si>
    <t>SKU_04</t>
  </si>
  <si>
    <t>SKU_05</t>
  </si>
  <si>
    <t>SKU_06</t>
  </si>
  <si>
    <t>SKU_07</t>
  </si>
  <si>
    <t>SKU_08</t>
  </si>
  <si>
    <t>SKU_09</t>
  </si>
  <si>
    <t>SKU_10</t>
  </si>
  <si>
    <t>SKU_01</t>
  </si>
  <si>
    <t>average demand</t>
  </si>
  <si>
    <t>Min-Max3</t>
  </si>
  <si>
    <t>Rank</t>
  </si>
  <si>
    <t>Avg-Sci</t>
  </si>
  <si>
    <t>Vol Rank</t>
  </si>
  <si>
    <t>Planner</t>
  </si>
  <si>
    <t>Lynn B.</t>
  </si>
  <si>
    <t>Michael A.</t>
  </si>
  <si>
    <t>Eddie C.</t>
  </si>
  <si>
    <t>Average
weekly
demand</t>
  </si>
  <si>
    <t>Standard
deviation
weekly
demand</t>
  </si>
  <si>
    <t>Coefficient
of variation
of weekly
demand</t>
  </si>
  <si>
    <t>Median
weekly
demand</t>
  </si>
  <si>
    <t>Maximum
weekly
demand</t>
  </si>
  <si>
    <t>Minimum
weekly
demand</t>
  </si>
  <si>
    <t>Count
of weeks
with zero
demand</t>
  </si>
  <si>
    <t>Average
inventory
on hand</t>
  </si>
  <si>
    <t>Scientifically
calculated
expected
inventory
on hand</t>
  </si>
  <si>
    <t>Difference
between
average and
scientific
calculation</t>
  </si>
  <si>
    <t>Minimum
inventory
on hand</t>
  </si>
  <si>
    <t>Maximum
demand
over net
replenishment
time</t>
  </si>
  <si>
    <t>Difference
between 
minimum 
and max
calculation</t>
  </si>
  <si>
    <t>Lee's
recommended
inventory
reduction
(in units)</t>
  </si>
  <si>
    <t>Difference
rank</t>
  </si>
  <si>
    <t>Beverly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</si>
</sst>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9" fontId="0" fillId="0" borderId="0" xfId="1" applyFont="1"/>
    <xf numFmtId="10" fontId="0" fillId="0" borderId="0" xfId="1" applyNumberFormat="1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33" borderId="0" xfId="0" applyFill="1"/>
    <xf numFmtId="2" fontId="0" fillId="33" borderId="0" xfId="0" applyNumberFormat="1" applyFill="1"/>
    <xf numFmtId="10" fontId="0" fillId="33" borderId="0" xfId="1" applyNumberFormat="1" applyFont="1" applyFill="1"/>
    <xf numFmtId="1" fontId="0" fillId="33" borderId="0" xfId="0" applyNumberFormat="1" applyFill="1"/>
    <xf numFmtId="164" fontId="0" fillId="33" borderId="0" xfId="0" applyNumberFormat="1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57"/>
  <sheetViews>
    <sheetView topLeftCell="BL1" zoomScale="140" zoomScaleNormal="140" workbookViewId="0">
      <selection activeCell="BX24" sqref="BX24"/>
    </sheetView>
  </sheetViews>
  <sheetFormatPr baseColWidth="10" defaultColWidth="10.83203125" defaultRowHeight="16" x14ac:dyDescent="0.2"/>
  <cols>
    <col min="1" max="1" width="8.1640625" customWidth="1"/>
    <col min="2" max="2" width="7" customWidth="1"/>
    <col min="3" max="54" width="4.1640625" customWidth="1"/>
    <col min="55" max="55" width="4.33203125" customWidth="1"/>
    <col min="56" max="56" width="7.33203125" customWidth="1"/>
    <col min="57" max="74" width="6.83203125" customWidth="1"/>
  </cols>
  <sheetData>
    <row r="1" spans="1:75" x14ac:dyDescent="0.2">
      <c r="A1" t="s">
        <v>0</v>
      </c>
      <c r="B1" t="s">
        <v>187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D1" t="s">
        <v>161</v>
      </c>
      <c r="BE1" t="s">
        <v>160</v>
      </c>
      <c r="BF1" t="s">
        <v>159</v>
      </c>
      <c r="BH1" t="s">
        <v>158</v>
      </c>
      <c r="BI1" t="s">
        <v>157</v>
      </c>
      <c r="BJ1" t="s">
        <v>162</v>
      </c>
      <c r="BK1" t="s">
        <v>163</v>
      </c>
      <c r="BM1" t="str">
        <f>BM12</f>
        <v>sci ss</v>
      </c>
      <c r="BN1" t="str">
        <f>BN12</f>
        <v>sci cs</v>
      </c>
      <c r="BO1" t="str">
        <f>BO12</f>
        <v>sci ss+cs</v>
      </c>
      <c r="BR1" t="str">
        <f t="shared" ref="BR1:BS22" si="0">BR12</f>
        <v>3*max</v>
      </c>
      <c r="BS1" t="str">
        <f t="shared" si="0"/>
        <v>max3</v>
      </c>
    </row>
    <row r="2" spans="1:75" x14ac:dyDescent="0.2">
      <c r="A2" t="s">
        <v>181</v>
      </c>
      <c r="B2" t="s">
        <v>188</v>
      </c>
      <c r="C2">
        <v>120</v>
      </c>
      <c r="D2">
        <v>120</v>
      </c>
      <c r="E2">
        <v>120</v>
      </c>
      <c r="F2">
        <v>120</v>
      </c>
      <c r="G2">
        <v>120</v>
      </c>
      <c r="H2">
        <v>120</v>
      </c>
      <c r="I2">
        <v>120</v>
      </c>
      <c r="J2">
        <v>120</v>
      </c>
      <c r="K2">
        <v>120</v>
      </c>
      <c r="L2">
        <v>120</v>
      </c>
      <c r="M2">
        <v>120</v>
      </c>
      <c r="N2">
        <v>120</v>
      </c>
      <c r="O2">
        <v>120</v>
      </c>
      <c r="P2">
        <v>120</v>
      </c>
      <c r="Q2">
        <v>120</v>
      </c>
      <c r="R2">
        <v>120</v>
      </c>
      <c r="S2">
        <v>120</v>
      </c>
      <c r="T2">
        <v>120</v>
      </c>
      <c r="U2">
        <v>120</v>
      </c>
      <c r="V2">
        <v>120</v>
      </c>
      <c r="W2">
        <v>120</v>
      </c>
      <c r="X2">
        <v>120</v>
      </c>
      <c r="Y2">
        <v>120</v>
      </c>
      <c r="Z2">
        <v>120</v>
      </c>
      <c r="AA2">
        <v>120</v>
      </c>
      <c r="AB2">
        <v>120</v>
      </c>
      <c r="AC2">
        <v>106</v>
      </c>
      <c r="AD2">
        <v>155</v>
      </c>
      <c r="AE2">
        <v>155</v>
      </c>
      <c r="AF2">
        <v>155</v>
      </c>
      <c r="AG2">
        <v>155</v>
      </c>
      <c r="AH2">
        <v>155</v>
      </c>
      <c r="AI2">
        <v>155</v>
      </c>
      <c r="AJ2">
        <v>155</v>
      </c>
      <c r="AK2">
        <v>155</v>
      </c>
      <c r="AL2">
        <v>155</v>
      </c>
      <c r="AM2">
        <v>155</v>
      </c>
      <c r="AN2">
        <v>155</v>
      </c>
      <c r="AO2">
        <v>155</v>
      </c>
      <c r="AP2">
        <v>155</v>
      </c>
      <c r="AQ2">
        <v>155</v>
      </c>
      <c r="AR2">
        <v>155</v>
      </c>
      <c r="AS2">
        <v>155</v>
      </c>
      <c r="AT2">
        <v>155</v>
      </c>
      <c r="AU2">
        <v>155</v>
      </c>
      <c r="AV2">
        <v>155</v>
      </c>
      <c r="AW2">
        <v>155</v>
      </c>
      <c r="AX2">
        <v>155</v>
      </c>
      <c r="AY2">
        <v>155</v>
      </c>
      <c r="AZ2">
        <v>155</v>
      </c>
      <c r="BA2">
        <v>155</v>
      </c>
      <c r="BB2">
        <v>155</v>
      </c>
      <c r="BD2" s="3">
        <f t="shared" ref="BD2:BD11" si="1">AVERAGE(C2:BB2)</f>
        <v>136.55769230769232</v>
      </c>
      <c r="BE2">
        <f t="shared" ref="BE2:BE11" si="2">MEDIAN(C2:BB2)</f>
        <v>120</v>
      </c>
      <c r="BF2" s="3">
        <f t="shared" ref="BF2:BF11" si="3">STDEV(C2:BB2)</f>
        <v>18.022223167619146</v>
      </c>
      <c r="BG2" s="4"/>
      <c r="BH2">
        <f t="shared" ref="BH2:BH11" si="4">MIN(C2:BB2)</f>
        <v>106</v>
      </c>
      <c r="BI2">
        <f t="shared" ref="BI2:BI11" si="5">MAX(C2:BB2)</f>
        <v>155</v>
      </c>
      <c r="BJ2">
        <f t="shared" ref="BJ2:BJ11" si="6">COUNTIF(C2:BB2,"=0")</f>
        <v>0</v>
      </c>
      <c r="BK2" s="2">
        <f t="shared" ref="BK2:BK11" si="7">BJ2/52</f>
        <v>0</v>
      </c>
      <c r="BM2" s="4">
        <f t="shared" ref="BM2:BO2" si="8">BM13</f>
        <v>37.819000052643162</v>
      </c>
      <c r="BN2" s="4">
        <f t="shared" si="8"/>
        <v>12.221153846153847</v>
      </c>
      <c r="BO2" s="4">
        <f t="shared" si="8"/>
        <v>50.040153898797008</v>
      </c>
      <c r="BQ2" s="3">
        <f t="shared" ref="BQ2:BQ11" si="9">BD2-BM2</f>
        <v>98.738692255049159</v>
      </c>
      <c r="BR2" s="4">
        <f t="shared" si="0"/>
        <v>150</v>
      </c>
      <c r="BS2" s="4">
        <f t="shared" si="0"/>
        <v>119</v>
      </c>
    </row>
    <row r="3" spans="1:75" x14ac:dyDescent="0.2">
      <c r="A3" t="s">
        <v>172</v>
      </c>
      <c r="B3" t="s">
        <v>188</v>
      </c>
      <c r="C3">
        <v>68</v>
      </c>
      <c r="D3">
        <v>68</v>
      </c>
      <c r="E3">
        <v>72</v>
      </c>
      <c r="F3">
        <v>72</v>
      </c>
      <c r="G3">
        <v>72</v>
      </c>
      <c r="H3">
        <v>72</v>
      </c>
      <c r="I3">
        <v>72</v>
      </c>
      <c r="J3">
        <v>72</v>
      </c>
      <c r="K3">
        <v>72</v>
      </c>
      <c r="L3">
        <v>72</v>
      </c>
      <c r="M3">
        <v>72</v>
      </c>
      <c r="N3">
        <v>72</v>
      </c>
      <c r="O3">
        <v>72</v>
      </c>
      <c r="P3">
        <v>72</v>
      </c>
      <c r="Q3">
        <v>72</v>
      </c>
      <c r="R3">
        <v>72</v>
      </c>
      <c r="S3">
        <v>72</v>
      </c>
      <c r="T3">
        <v>84</v>
      </c>
      <c r="U3">
        <v>84</v>
      </c>
      <c r="V3">
        <v>84</v>
      </c>
      <c r="W3">
        <v>72</v>
      </c>
      <c r="X3">
        <v>72</v>
      </c>
      <c r="Y3">
        <v>72</v>
      </c>
      <c r="Z3">
        <v>72</v>
      </c>
      <c r="AA3">
        <v>72</v>
      </c>
      <c r="AB3">
        <v>72</v>
      </c>
      <c r="AC3">
        <v>64</v>
      </c>
      <c r="AD3">
        <v>64</v>
      </c>
      <c r="AE3">
        <v>64</v>
      </c>
      <c r="AF3">
        <v>64</v>
      </c>
      <c r="AG3">
        <v>64</v>
      </c>
      <c r="AH3">
        <v>64</v>
      </c>
      <c r="AI3">
        <v>64</v>
      </c>
      <c r="AJ3">
        <v>64</v>
      </c>
      <c r="AK3">
        <v>64</v>
      </c>
      <c r="AL3">
        <v>64</v>
      </c>
      <c r="AM3">
        <v>64</v>
      </c>
      <c r="AN3">
        <v>64</v>
      </c>
      <c r="AO3">
        <v>64</v>
      </c>
      <c r="AP3">
        <v>64</v>
      </c>
      <c r="AQ3">
        <v>64</v>
      </c>
      <c r="AR3">
        <v>64</v>
      </c>
      <c r="AS3">
        <v>64</v>
      </c>
      <c r="AT3">
        <v>64</v>
      </c>
      <c r="AU3">
        <v>64</v>
      </c>
      <c r="AV3">
        <v>64</v>
      </c>
      <c r="AW3">
        <v>64</v>
      </c>
      <c r="AX3">
        <v>64</v>
      </c>
      <c r="AY3">
        <v>64</v>
      </c>
      <c r="AZ3">
        <v>64</v>
      </c>
      <c r="BA3">
        <v>64</v>
      </c>
      <c r="BB3">
        <v>64</v>
      </c>
      <c r="BD3" s="3">
        <f t="shared" si="1"/>
        <v>68.538461538461533</v>
      </c>
      <c r="BE3">
        <f t="shared" si="2"/>
        <v>66</v>
      </c>
      <c r="BF3" s="3">
        <f t="shared" si="3"/>
        <v>5.4321538661881323</v>
      </c>
      <c r="BG3" s="4"/>
      <c r="BH3">
        <f t="shared" si="4"/>
        <v>64</v>
      </c>
      <c r="BI3">
        <f t="shared" si="5"/>
        <v>84</v>
      </c>
      <c r="BJ3">
        <f t="shared" si="6"/>
        <v>0</v>
      </c>
      <c r="BK3" s="2">
        <f t="shared" si="7"/>
        <v>0</v>
      </c>
      <c r="BM3" s="4">
        <f t="shared" ref="BM3:BO3" si="10">BM14</f>
        <v>80.839481065032416</v>
      </c>
      <c r="BN3" s="4">
        <f t="shared" si="10"/>
        <v>7.5</v>
      </c>
      <c r="BO3" s="4">
        <f t="shared" si="10"/>
        <v>88.339481065032416</v>
      </c>
      <c r="BQ3" s="3">
        <f t="shared" si="9"/>
        <v>-12.301019526570883</v>
      </c>
      <c r="BR3" s="4">
        <f t="shared" si="0"/>
        <v>405</v>
      </c>
      <c r="BS3" s="4">
        <f t="shared" si="0"/>
        <v>157</v>
      </c>
    </row>
    <row r="4" spans="1:75" x14ac:dyDescent="0.2">
      <c r="A4" t="s">
        <v>173</v>
      </c>
      <c r="B4" t="s">
        <v>206</v>
      </c>
      <c r="C4">
        <v>91</v>
      </c>
      <c r="D4">
        <v>101</v>
      </c>
      <c r="E4">
        <v>101</v>
      </c>
      <c r="F4">
        <v>101</v>
      </c>
      <c r="G4">
        <v>101</v>
      </c>
      <c r="H4">
        <v>101</v>
      </c>
      <c r="I4">
        <v>101</v>
      </c>
      <c r="J4">
        <v>91</v>
      </c>
      <c r="K4">
        <v>91</v>
      </c>
      <c r="L4">
        <v>91</v>
      </c>
      <c r="M4">
        <v>91</v>
      </c>
      <c r="N4">
        <v>91</v>
      </c>
      <c r="O4">
        <v>91</v>
      </c>
      <c r="P4">
        <v>91</v>
      </c>
      <c r="Q4">
        <v>91</v>
      </c>
      <c r="R4">
        <v>71</v>
      </c>
      <c r="S4">
        <v>71</v>
      </c>
      <c r="T4">
        <v>71</v>
      </c>
      <c r="U4">
        <v>71</v>
      </c>
      <c r="V4">
        <v>71</v>
      </c>
      <c r="W4">
        <v>56</v>
      </c>
      <c r="X4">
        <v>56</v>
      </c>
      <c r="Y4">
        <v>56</v>
      </c>
      <c r="Z4">
        <v>56</v>
      </c>
      <c r="AA4">
        <v>56</v>
      </c>
      <c r="AB4">
        <v>56</v>
      </c>
      <c r="AC4">
        <v>56</v>
      </c>
      <c r="AD4">
        <v>73</v>
      </c>
      <c r="AE4">
        <v>73</v>
      </c>
      <c r="AF4">
        <v>73</v>
      </c>
      <c r="AG4">
        <v>73</v>
      </c>
      <c r="AH4">
        <v>73</v>
      </c>
      <c r="AI4">
        <v>73</v>
      </c>
      <c r="AJ4">
        <v>73</v>
      </c>
      <c r="AK4">
        <v>73</v>
      </c>
      <c r="AL4">
        <v>73</v>
      </c>
      <c r="AM4">
        <v>73</v>
      </c>
      <c r="AN4">
        <v>73</v>
      </c>
      <c r="AO4">
        <v>73</v>
      </c>
      <c r="AP4">
        <v>73</v>
      </c>
      <c r="AQ4">
        <v>73</v>
      </c>
      <c r="AR4">
        <v>73</v>
      </c>
      <c r="AS4">
        <v>73</v>
      </c>
      <c r="AT4">
        <v>73</v>
      </c>
      <c r="AU4">
        <v>73</v>
      </c>
      <c r="AV4">
        <v>73</v>
      </c>
      <c r="AW4">
        <v>73</v>
      </c>
      <c r="AX4">
        <v>73</v>
      </c>
      <c r="AY4">
        <v>73</v>
      </c>
      <c r="AZ4">
        <v>73</v>
      </c>
      <c r="BA4">
        <v>73</v>
      </c>
      <c r="BB4">
        <v>73</v>
      </c>
      <c r="BD4" s="3">
        <f t="shared" si="1"/>
        <v>76.865384615384613</v>
      </c>
      <c r="BE4">
        <f t="shared" si="2"/>
        <v>73</v>
      </c>
      <c r="BF4" s="3">
        <f t="shared" si="3"/>
        <v>13.199864595493638</v>
      </c>
      <c r="BG4" s="4"/>
      <c r="BH4">
        <f t="shared" si="4"/>
        <v>56</v>
      </c>
      <c r="BI4">
        <f t="shared" si="5"/>
        <v>101</v>
      </c>
      <c r="BJ4">
        <f t="shared" si="6"/>
        <v>0</v>
      </c>
      <c r="BK4" s="2">
        <f t="shared" si="7"/>
        <v>0</v>
      </c>
      <c r="BM4" s="4">
        <f t="shared" ref="BM4:BO4" si="11">BM15</f>
        <v>28.168871998439364</v>
      </c>
      <c r="BN4" s="4">
        <f t="shared" si="11"/>
        <v>4.9519230769230766</v>
      </c>
      <c r="BO4" s="4">
        <f t="shared" si="11"/>
        <v>33.120795075362437</v>
      </c>
      <c r="BQ4" s="3">
        <f t="shared" si="9"/>
        <v>48.696512616945249</v>
      </c>
      <c r="BR4" s="4">
        <f t="shared" si="0"/>
        <v>117</v>
      </c>
      <c r="BS4" s="4">
        <f t="shared" si="0"/>
        <v>74</v>
      </c>
    </row>
    <row r="5" spans="1:75" x14ac:dyDescent="0.2">
      <c r="A5" t="s">
        <v>174</v>
      </c>
      <c r="B5" t="s">
        <v>190</v>
      </c>
      <c r="C5">
        <v>90</v>
      </c>
      <c r="D5">
        <v>90</v>
      </c>
      <c r="E5">
        <v>90</v>
      </c>
      <c r="F5">
        <v>90</v>
      </c>
      <c r="G5">
        <v>90</v>
      </c>
      <c r="H5">
        <v>90</v>
      </c>
      <c r="I5">
        <v>90</v>
      </c>
      <c r="J5">
        <v>90</v>
      </c>
      <c r="K5">
        <v>90</v>
      </c>
      <c r="L5">
        <v>90</v>
      </c>
      <c r="M5">
        <v>90</v>
      </c>
      <c r="N5">
        <v>90</v>
      </c>
      <c r="O5">
        <v>90</v>
      </c>
      <c r="P5">
        <v>90</v>
      </c>
      <c r="Q5">
        <v>90</v>
      </c>
      <c r="R5">
        <v>90</v>
      </c>
      <c r="S5">
        <v>90</v>
      </c>
      <c r="T5">
        <v>90</v>
      </c>
      <c r="U5">
        <v>90</v>
      </c>
      <c r="V5">
        <v>90</v>
      </c>
      <c r="W5">
        <v>90</v>
      </c>
      <c r="X5">
        <v>90</v>
      </c>
      <c r="Y5">
        <v>90</v>
      </c>
      <c r="Z5">
        <v>90</v>
      </c>
      <c r="AA5">
        <v>90</v>
      </c>
      <c r="AB5">
        <v>90</v>
      </c>
      <c r="AC5">
        <v>90</v>
      </c>
      <c r="AD5">
        <v>90</v>
      </c>
      <c r="AE5">
        <v>90</v>
      </c>
      <c r="AF5">
        <v>90</v>
      </c>
      <c r="AG5">
        <v>90</v>
      </c>
      <c r="AH5">
        <v>90</v>
      </c>
      <c r="AI5">
        <v>90</v>
      </c>
      <c r="AJ5">
        <v>90</v>
      </c>
      <c r="AK5">
        <v>90</v>
      </c>
      <c r="AL5">
        <v>90</v>
      </c>
      <c r="AM5">
        <v>90</v>
      </c>
      <c r="AN5">
        <v>90</v>
      </c>
      <c r="AO5">
        <v>90</v>
      </c>
      <c r="AP5">
        <v>90</v>
      </c>
      <c r="AQ5">
        <v>90</v>
      </c>
      <c r="AR5">
        <v>90</v>
      </c>
      <c r="AS5">
        <v>90</v>
      </c>
      <c r="AT5">
        <v>90</v>
      </c>
      <c r="AU5">
        <v>90</v>
      </c>
      <c r="AV5">
        <v>90</v>
      </c>
      <c r="AW5">
        <v>90</v>
      </c>
      <c r="AX5">
        <v>90</v>
      </c>
      <c r="AY5">
        <v>90</v>
      </c>
      <c r="AZ5">
        <v>90</v>
      </c>
      <c r="BA5">
        <v>90</v>
      </c>
      <c r="BB5">
        <v>90</v>
      </c>
      <c r="BD5" s="3">
        <f t="shared" si="1"/>
        <v>90</v>
      </c>
      <c r="BE5">
        <f t="shared" si="2"/>
        <v>90</v>
      </c>
      <c r="BF5" s="3">
        <f t="shared" si="3"/>
        <v>0</v>
      </c>
      <c r="BG5" s="4"/>
      <c r="BH5">
        <f t="shared" si="4"/>
        <v>90</v>
      </c>
      <c r="BI5">
        <f t="shared" si="5"/>
        <v>90</v>
      </c>
      <c r="BJ5">
        <f t="shared" si="6"/>
        <v>0</v>
      </c>
      <c r="BK5" s="2">
        <f t="shared" si="7"/>
        <v>0</v>
      </c>
      <c r="BM5" s="4">
        <f t="shared" ref="BM5:BO5" si="12">BM16</f>
        <v>15.803453189386163</v>
      </c>
      <c r="BN5" s="4">
        <f t="shared" si="12"/>
        <v>3.7980769230769229</v>
      </c>
      <c r="BO5" s="4">
        <f t="shared" si="12"/>
        <v>19.601530112463085</v>
      </c>
      <c r="BQ5" s="3">
        <f t="shared" si="9"/>
        <v>74.196546810613839</v>
      </c>
      <c r="BR5" s="4">
        <f t="shared" si="0"/>
        <v>57</v>
      </c>
      <c r="BS5" s="4">
        <f t="shared" si="0"/>
        <v>45</v>
      </c>
    </row>
    <row r="6" spans="1:75" x14ac:dyDescent="0.2">
      <c r="A6" t="s">
        <v>175</v>
      </c>
      <c r="B6" t="s">
        <v>206</v>
      </c>
      <c r="C6">
        <v>31</v>
      </c>
      <c r="D6">
        <v>31</v>
      </c>
      <c r="E6">
        <v>31</v>
      </c>
      <c r="F6">
        <v>31</v>
      </c>
      <c r="G6">
        <v>31</v>
      </c>
      <c r="H6">
        <v>31</v>
      </c>
      <c r="I6">
        <v>31</v>
      </c>
      <c r="J6">
        <v>31</v>
      </c>
      <c r="K6">
        <v>31</v>
      </c>
      <c r="L6">
        <v>31</v>
      </c>
      <c r="M6">
        <v>31</v>
      </c>
      <c r="N6">
        <v>31</v>
      </c>
      <c r="O6">
        <v>31</v>
      </c>
      <c r="P6">
        <v>31</v>
      </c>
      <c r="Q6">
        <v>31</v>
      </c>
      <c r="R6">
        <v>31</v>
      </c>
      <c r="S6">
        <v>31</v>
      </c>
      <c r="T6">
        <v>36</v>
      </c>
      <c r="U6">
        <v>36</v>
      </c>
      <c r="V6">
        <v>36</v>
      </c>
      <c r="W6">
        <v>31</v>
      </c>
      <c r="X6">
        <v>31</v>
      </c>
      <c r="Y6">
        <v>31</v>
      </c>
      <c r="Z6">
        <v>31</v>
      </c>
      <c r="AA6">
        <v>31</v>
      </c>
      <c r="AB6">
        <v>31</v>
      </c>
      <c r="AC6">
        <v>28</v>
      </c>
      <c r="AD6">
        <v>34</v>
      </c>
      <c r="AE6">
        <v>34</v>
      </c>
      <c r="AF6">
        <v>34</v>
      </c>
      <c r="AG6">
        <v>34</v>
      </c>
      <c r="AH6">
        <v>34</v>
      </c>
      <c r="AI6">
        <v>34</v>
      </c>
      <c r="AJ6">
        <v>34</v>
      </c>
      <c r="AK6">
        <v>34</v>
      </c>
      <c r="AL6">
        <v>34</v>
      </c>
      <c r="AM6">
        <v>34</v>
      </c>
      <c r="AN6">
        <v>27</v>
      </c>
      <c r="AO6">
        <v>27</v>
      </c>
      <c r="AP6">
        <v>27</v>
      </c>
      <c r="AQ6">
        <v>27</v>
      </c>
      <c r="AR6">
        <v>27</v>
      </c>
      <c r="AS6">
        <v>27</v>
      </c>
      <c r="AT6">
        <v>27</v>
      </c>
      <c r="AU6">
        <v>27</v>
      </c>
      <c r="AV6">
        <v>27</v>
      </c>
      <c r="AW6">
        <v>27</v>
      </c>
      <c r="AX6">
        <v>27</v>
      </c>
      <c r="AY6">
        <v>27</v>
      </c>
      <c r="AZ6">
        <v>27</v>
      </c>
      <c r="BA6">
        <v>27</v>
      </c>
      <c r="BB6">
        <v>27</v>
      </c>
      <c r="BD6" s="3">
        <f t="shared" si="1"/>
        <v>30.653846153846153</v>
      </c>
      <c r="BE6">
        <f t="shared" si="2"/>
        <v>31</v>
      </c>
      <c r="BF6" s="3">
        <f t="shared" si="3"/>
        <v>2.827627117058078</v>
      </c>
      <c r="BG6" s="4"/>
      <c r="BH6">
        <f t="shared" si="4"/>
        <v>27</v>
      </c>
      <c r="BI6">
        <f t="shared" si="5"/>
        <v>36</v>
      </c>
      <c r="BJ6">
        <f t="shared" si="6"/>
        <v>0</v>
      </c>
      <c r="BK6" s="2">
        <f t="shared" si="7"/>
        <v>0</v>
      </c>
      <c r="BM6" s="4">
        <f t="shared" ref="BM6:BO6" si="13">BM17</f>
        <v>11.364454234253666</v>
      </c>
      <c r="BN6" s="4">
        <f t="shared" si="13"/>
        <v>2.5384615384615383</v>
      </c>
      <c r="BO6" s="4">
        <f t="shared" si="13"/>
        <v>13.902915772715204</v>
      </c>
      <c r="BQ6" s="3">
        <f t="shared" si="9"/>
        <v>19.289391919592489</v>
      </c>
      <c r="BR6" s="4">
        <f t="shared" si="0"/>
        <v>33</v>
      </c>
      <c r="BS6" s="4">
        <f t="shared" si="0"/>
        <v>24</v>
      </c>
    </row>
    <row r="7" spans="1:75" x14ac:dyDescent="0.2">
      <c r="A7" t="s">
        <v>176</v>
      </c>
      <c r="B7" t="s">
        <v>206</v>
      </c>
      <c r="C7">
        <v>48</v>
      </c>
      <c r="D7">
        <v>48</v>
      </c>
      <c r="E7">
        <v>48</v>
      </c>
      <c r="F7">
        <v>48</v>
      </c>
      <c r="G7">
        <v>48</v>
      </c>
      <c r="H7">
        <v>48</v>
      </c>
      <c r="I7">
        <v>48</v>
      </c>
      <c r="J7">
        <v>48</v>
      </c>
      <c r="K7">
        <v>48</v>
      </c>
      <c r="L7">
        <v>48</v>
      </c>
      <c r="M7">
        <v>48</v>
      </c>
      <c r="N7">
        <v>48</v>
      </c>
      <c r="O7">
        <v>48</v>
      </c>
      <c r="P7">
        <v>48</v>
      </c>
      <c r="Q7">
        <v>48</v>
      </c>
      <c r="R7">
        <v>48</v>
      </c>
      <c r="S7">
        <v>48</v>
      </c>
      <c r="T7">
        <v>48</v>
      </c>
      <c r="U7">
        <v>48</v>
      </c>
      <c r="V7">
        <v>48</v>
      </c>
      <c r="W7">
        <v>48</v>
      </c>
      <c r="X7">
        <v>48</v>
      </c>
      <c r="Y7">
        <v>48</v>
      </c>
      <c r="Z7">
        <v>48</v>
      </c>
      <c r="AA7">
        <v>48</v>
      </c>
      <c r="AB7">
        <v>48</v>
      </c>
      <c r="AC7">
        <v>48</v>
      </c>
      <c r="AD7">
        <v>48</v>
      </c>
      <c r="AE7">
        <v>48</v>
      </c>
      <c r="AF7">
        <v>55</v>
      </c>
      <c r="AG7">
        <v>55</v>
      </c>
      <c r="AH7">
        <v>55</v>
      </c>
      <c r="AI7">
        <v>55</v>
      </c>
      <c r="AJ7">
        <v>48</v>
      </c>
      <c r="AK7">
        <v>48</v>
      </c>
      <c r="AL7">
        <v>48</v>
      </c>
      <c r="AM7">
        <v>48</v>
      </c>
      <c r="AN7">
        <v>48</v>
      </c>
      <c r="AO7">
        <v>48</v>
      </c>
      <c r="AP7">
        <v>48</v>
      </c>
      <c r="AQ7">
        <v>48</v>
      </c>
      <c r="AR7">
        <v>48</v>
      </c>
      <c r="AS7">
        <v>66</v>
      </c>
      <c r="AT7">
        <v>66</v>
      </c>
      <c r="AU7">
        <v>66</v>
      </c>
      <c r="AV7">
        <v>66</v>
      </c>
      <c r="AW7">
        <v>66</v>
      </c>
      <c r="AX7">
        <v>48</v>
      </c>
      <c r="AY7">
        <v>48</v>
      </c>
      <c r="AZ7">
        <v>48</v>
      </c>
      <c r="BA7">
        <v>48</v>
      </c>
      <c r="BB7">
        <v>48</v>
      </c>
      <c r="BD7" s="3">
        <f t="shared" si="1"/>
        <v>50.269230769230766</v>
      </c>
      <c r="BE7">
        <f t="shared" si="2"/>
        <v>48</v>
      </c>
      <c r="BF7" s="3">
        <f t="shared" si="3"/>
        <v>5.5097609806005776</v>
      </c>
      <c r="BG7" s="4"/>
      <c r="BH7">
        <f t="shared" si="4"/>
        <v>48</v>
      </c>
      <c r="BI7">
        <f t="shared" si="5"/>
        <v>66</v>
      </c>
      <c r="BJ7">
        <f t="shared" si="6"/>
        <v>0</v>
      </c>
      <c r="BK7" s="2">
        <f t="shared" si="7"/>
        <v>0</v>
      </c>
      <c r="BM7" s="4">
        <f t="shared" ref="BM7:BO7" si="14">BM18</f>
        <v>18.839642170721337</v>
      </c>
      <c r="BN7" s="4">
        <f t="shared" si="14"/>
        <v>2.2307692307692308</v>
      </c>
      <c r="BO7" s="4">
        <f t="shared" si="14"/>
        <v>21.070411401490567</v>
      </c>
      <c r="BQ7" s="3">
        <f t="shared" si="9"/>
        <v>31.429588598509429</v>
      </c>
      <c r="BR7" s="4">
        <f t="shared" si="0"/>
        <v>57</v>
      </c>
      <c r="BS7" s="4">
        <f t="shared" si="0"/>
        <v>33</v>
      </c>
    </row>
    <row r="8" spans="1:75" x14ac:dyDescent="0.2">
      <c r="A8" t="s">
        <v>177</v>
      </c>
      <c r="B8" t="s">
        <v>190</v>
      </c>
      <c r="C8">
        <v>24</v>
      </c>
      <c r="D8">
        <v>24</v>
      </c>
      <c r="E8">
        <v>24</v>
      </c>
      <c r="F8">
        <v>24</v>
      </c>
      <c r="G8">
        <v>24</v>
      </c>
      <c r="H8">
        <v>24</v>
      </c>
      <c r="I8">
        <v>24</v>
      </c>
      <c r="J8">
        <v>24</v>
      </c>
      <c r="K8">
        <v>24</v>
      </c>
      <c r="L8">
        <v>24</v>
      </c>
      <c r="M8">
        <v>24</v>
      </c>
      <c r="N8">
        <v>24</v>
      </c>
      <c r="O8">
        <v>24</v>
      </c>
      <c r="P8">
        <v>24</v>
      </c>
      <c r="Q8">
        <v>24</v>
      </c>
      <c r="R8">
        <v>24</v>
      </c>
      <c r="S8">
        <v>24</v>
      </c>
      <c r="T8">
        <v>24</v>
      </c>
      <c r="U8">
        <v>24</v>
      </c>
      <c r="V8">
        <v>24</v>
      </c>
      <c r="W8">
        <v>24</v>
      </c>
      <c r="X8">
        <v>24</v>
      </c>
      <c r="Y8">
        <v>24</v>
      </c>
      <c r="Z8">
        <v>24</v>
      </c>
      <c r="AA8">
        <v>24</v>
      </c>
      <c r="AB8">
        <v>24</v>
      </c>
      <c r="AC8">
        <v>24</v>
      </c>
      <c r="AD8">
        <v>24</v>
      </c>
      <c r="AE8">
        <v>24</v>
      </c>
      <c r="AF8">
        <v>24</v>
      </c>
      <c r="AG8">
        <v>24</v>
      </c>
      <c r="AH8">
        <v>24</v>
      </c>
      <c r="AI8">
        <v>24</v>
      </c>
      <c r="AJ8">
        <v>24</v>
      </c>
      <c r="AK8">
        <v>24</v>
      </c>
      <c r="AL8">
        <v>24</v>
      </c>
      <c r="AM8">
        <v>24</v>
      </c>
      <c r="AN8">
        <v>24</v>
      </c>
      <c r="AO8">
        <v>24</v>
      </c>
      <c r="AP8">
        <v>24</v>
      </c>
      <c r="AQ8">
        <v>24</v>
      </c>
      <c r="AR8">
        <v>24</v>
      </c>
      <c r="AS8">
        <v>24</v>
      </c>
      <c r="AT8">
        <v>24</v>
      </c>
      <c r="AU8">
        <v>24</v>
      </c>
      <c r="AV8">
        <v>24</v>
      </c>
      <c r="AW8">
        <v>24</v>
      </c>
      <c r="AX8">
        <v>24</v>
      </c>
      <c r="AY8">
        <v>24</v>
      </c>
      <c r="AZ8">
        <v>24</v>
      </c>
      <c r="BA8">
        <v>24</v>
      </c>
      <c r="BB8">
        <v>24</v>
      </c>
      <c r="BD8" s="3">
        <f t="shared" si="1"/>
        <v>24</v>
      </c>
      <c r="BE8">
        <f t="shared" si="2"/>
        <v>24</v>
      </c>
      <c r="BF8" s="3">
        <f t="shared" si="3"/>
        <v>0</v>
      </c>
      <c r="BG8" s="4"/>
      <c r="BH8">
        <f t="shared" si="4"/>
        <v>24</v>
      </c>
      <c r="BI8">
        <f t="shared" si="5"/>
        <v>24</v>
      </c>
      <c r="BJ8">
        <f t="shared" si="6"/>
        <v>0</v>
      </c>
      <c r="BK8" s="2">
        <f t="shared" si="7"/>
        <v>0</v>
      </c>
      <c r="BM8" s="4">
        <f t="shared" ref="BM8:BO8" si="15">BM19</f>
        <v>7.2272644986334713</v>
      </c>
      <c r="BN8" s="4">
        <f t="shared" si="15"/>
        <v>1.5961538461538463</v>
      </c>
      <c r="BO8" s="4">
        <f t="shared" si="15"/>
        <v>8.8234183447873171</v>
      </c>
      <c r="BQ8" s="3">
        <f t="shared" si="9"/>
        <v>16.77273550136653</v>
      </c>
      <c r="BR8" s="4">
        <f t="shared" si="0"/>
        <v>21</v>
      </c>
      <c r="BS8" s="4">
        <f t="shared" si="0"/>
        <v>17</v>
      </c>
    </row>
    <row r="9" spans="1:75" x14ac:dyDescent="0.2">
      <c r="A9" t="s">
        <v>178</v>
      </c>
      <c r="B9" t="s">
        <v>188</v>
      </c>
      <c r="C9">
        <v>16</v>
      </c>
      <c r="D9">
        <v>16</v>
      </c>
      <c r="E9">
        <v>16</v>
      </c>
      <c r="F9">
        <v>16</v>
      </c>
      <c r="G9">
        <v>16</v>
      </c>
      <c r="H9">
        <v>16</v>
      </c>
      <c r="I9">
        <v>16</v>
      </c>
      <c r="J9">
        <v>16</v>
      </c>
      <c r="K9">
        <v>16</v>
      </c>
      <c r="L9">
        <v>16</v>
      </c>
      <c r="M9">
        <v>16</v>
      </c>
      <c r="N9">
        <v>16</v>
      </c>
      <c r="O9">
        <v>16</v>
      </c>
      <c r="P9">
        <v>16</v>
      </c>
      <c r="Q9">
        <v>16</v>
      </c>
      <c r="R9">
        <v>16</v>
      </c>
      <c r="S9">
        <v>16</v>
      </c>
      <c r="T9">
        <v>16</v>
      </c>
      <c r="U9">
        <v>16</v>
      </c>
      <c r="V9">
        <v>16</v>
      </c>
      <c r="W9">
        <v>16</v>
      </c>
      <c r="X9">
        <v>16</v>
      </c>
      <c r="Y9">
        <v>16</v>
      </c>
      <c r="Z9">
        <v>16</v>
      </c>
      <c r="AA9">
        <v>16</v>
      </c>
      <c r="AB9">
        <v>16</v>
      </c>
      <c r="AC9">
        <v>15</v>
      </c>
      <c r="AD9">
        <v>15</v>
      </c>
      <c r="AE9">
        <v>15</v>
      </c>
      <c r="AF9">
        <v>15</v>
      </c>
      <c r="AG9">
        <v>17</v>
      </c>
      <c r="AH9">
        <v>17</v>
      </c>
      <c r="AI9">
        <v>17</v>
      </c>
      <c r="AJ9">
        <v>15</v>
      </c>
      <c r="AK9">
        <v>15</v>
      </c>
      <c r="AL9">
        <v>15</v>
      </c>
      <c r="AM9">
        <v>15</v>
      </c>
      <c r="AN9">
        <v>19</v>
      </c>
      <c r="AO9">
        <v>19</v>
      </c>
      <c r="AP9">
        <v>19</v>
      </c>
      <c r="AQ9">
        <v>19</v>
      </c>
      <c r="AR9">
        <v>19</v>
      </c>
      <c r="AS9">
        <v>19</v>
      </c>
      <c r="AT9">
        <v>19</v>
      </c>
      <c r="AU9">
        <v>19</v>
      </c>
      <c r="AV9">
        <v>19</v>
      </c>
      <c r="AW9">
        <v>19</v>
      </c>
      <c r="AX9">
        <v>19</v>
      </c>
      <c r="AY9">
        <v>19</v>
      </c>
      <c r="AZ9">
        <v>19</v>
      </c>
      <c r="BA9">
        <v>19</v>
      </c>
      <c r="BB9">
        <v>19</v>
      </c>
      <c r="BD9" s="3">
        <f t="shared" si="1"/>
        <v>16.76923076923077</v>
      </c>
      <c r="BE9">
        <f t="shared" si="2"/>
        <v>16</v>
      </c>
      <c r="BF9" s="3">
        <f t="shared" si="3"/>
        <v>1.5031389981176533</v>
      </c>
      <c r="BG9" s="4"/>
      <c r="BH9">
        <f t="shared" si="4"/>
        <v>15</v>
      </c>
      <c r="BI9">
        <f t="shared" si="5"/>
        <v>19</v>
      </c>
      <c r="BJ9">
        <f t="shared" si="6"/>
        <v>0</v>
      </c>
      <c r="BK9" s="2">
        <f t="shared" si="7"/>
        <v>0</v>
      </c>
      <c r="BM9" s="4">
        <f t="shared" ref="BM9:BO9" si="16">BM20</f>
        <v>5.0075869575629879</v>
      </c>
      <c r="BN9" s="4">
        <f t="shared" si="16"/>
        <v>0.92307692307692313</v>
      </c>
      <c r="BO9" s="4">
        <f t="shared" si="16"/>
        <v>5.9306638806399112</v>
      </c>
      <c r="BQ9" s="3">
        <f t="shared" si="9"/>
        <v>11.761643811667781</v>
      </c>
      <c r="BR9" s="4">
        <f t="shared" si="0"/>
        <v>15</v>
      </c>
      <c r="BS9" s="4">
        <f t="shared" si="0"/>
        <v>12</v>
      </c>
    </row>
    <row r="10" spans="1:75" x14ac:dyDescent="0.2">
      <c r="A10" t="s">
        <v>179</v>
      </c>
      <c r="B10" t="s">
        <v>188</v>
      </c>
      <c r="C10">
        <v>25</v>
      </c>
      <c r="D10">
        <v>25</v>
      </c>
      <c r="E10">
        <v>25</v>
      </c>
      <c r="F10">
        <v>25</v>
      </c>
      <c r="G10">
        <v>25</v>
      </c>
      <c r="H10">
        <v>25</v>
      </c>
      <c r="I10">
        <v>24</v>
      </c>
      <c r="J10">
        <v>25</v>
      </c>
      <c r="K10">
        <v>25</v>
      </c>
      <c r="L10">
        <v>25</v>
      </c>
      <c r="M10">
        <v>25</v>
      </c>
      <c r="N10">
        <v>25</v>
      </c>
      <c r="O10">
        <v>25</v>
      </c>
      <c r="P10">
        <v>25</v>
      </c>
      <c r="Q10">
        <v>25</v>
      </c>
      <c r="R10">
        <v>25</v>
      </c>
      <c r="S10">
        <v>25</v>
      </c>
      <c r="T10">
        <v>25</v>
      </c>
      <c r="U10">
        <v>20</v>
      </c>
      <c r="V10">
        <v>20</v>
      </c>
      <c r="W10">
        <v>20</v>
      </c>
      <c r="X10">
        <v>20</v>
      </c>
      <c r="Y10">
        <v>20</v>
      </c>
      <c r="Z10">
        <v>20</v>
      </c>
      <c r="AA10">
        <v>20</v>
      </c>
      <c r="AB10">
        <v>20</v>
      </c>
      <c r="AC10">
        <v>20</v>
      </c>
      <c r="AD10">
        <v>20</v>
      </c>
      <c r="AE10">
        <v>20</v>
      </c>
      <c r="AF10">
        <v>20</v>
      </c>
      <c r="AG10">
        <v>20</v>
      </c>
      <c r="AH10">
        <v>20</v>
      </c>
      <c r="AI10">
        <v>20</v>
      </c>
      <c r="AJ10">
        <v>20</v>
      </c>
      <c r="AK10">
        <v>20</v>
      </c>
      <c r="AL10">
        <v>20</v>
      </c>
      <c r="AM10">
        <v>20</v>
      </c>
      <c r="AN10">
        <v>20</v>
      </c>
      <c r="AO10">
        <v>20</v>
      </c>
      <c r="AP10">
        <v>20</v>
      </c>
      <c r="AQ10">
        <v>20</v>
      </c>
      <c r="AR10">
        <v>20</v>
      </c>
      <c r="AS10">
        <v>20</v>
      </c>
      <c r="AT10">
        <v>20</v>
      </c>
      <c r="AU10">
        <v>20</v>
      </c>
      <c r="AV10">
        <v>20</v>
      </c>
      <c r="AW10">
        <v>20</v>
      </c>
      <c r="AX10">
        <v>20</v>
      </c>
      <c r="AY10">
        <v>20</v>
      </c>
      <c r="AZ10">
        <v>20</v>
      </c>
      <c r="BA10">
        <v>11</v>
      </c>
      <c r="BB10">
        <v>11</v>
      </c>
      <c r="BD10" s="3">
        <f t="shared" si="1"/>
        <v>21.365384615384617</v>
      </c>
      <c r="BE10">
        <f t="shared" si="2"/>
        <v>20</v>
      </c>
      <c r="BF10" s="3">
        <f t="shared" si="3"/>
        <v>3.1500317219308158</v>
      </c>
      <c r="BG10" s="4"/>
      <c r="BH10">
        <f t="shared" si="4"/>
        <v>11</v>
      </c>
      <c r="BI10">
        <f t="shared" si="5"/>
        <v>25</v>
      </c>
      <c r="BJ10">
        <f t="shared" si="6"/>
        <v>0</v>
      </c>
      <c r="BK10" s="2">
        <f t="shared" si="7"/>
        <v>0</v>
      </c>
      <c r="BM10" s="4">
        <f t="shared" ref="BM10:BO10" si="17">BM21</f>
        <v>5.9916371718974792</v>
      </c>
      <c r="BN10" s="4">
        <f t="shared" si="17"/>
        <v>0.92307692307692313</v>
      </c>
      <c r="BO10" s="4">
        <f t="shared" si="17"/>
        <v>6.9147140949744026</v>
      </c>
      <c r="BQ10" s="3">
        <f t="shared" si="9"/>
        <v>15.373747443487137</v>
      </c>
      <c r="BR10" s="4">
        <f t="shared" si="0"/>
        <v>18</v>
      </c>
      <c r="BS10" s="4">
        <f t="shared" si="0"/>
        <v>12</v>
      </c>
    </row>
    <row r="11" spans="1:75" x14ac:dyDescent="0.2">
      <c r="A11" t="s">
        <v>180</v>
      </c>
      <c r="B11" t="s">
        <v>206</v>
      </c>
      <c r="C11">
        <v>19</v>
      </c>
      <c r="D11">
        <v>25</v>
      </c>
      <c r="E11">
        <v>25</v>
      </c>
      <c r="F11">
        <v>25</v>
      </c>
      <c r="G11">
        <v>25</v>
      </c>
      <c r="H11">
        <v>25</v>
      </c>
      <c r="I11">
        <v>25</v>
      </c>
      <c r="J11">
        <v>19</v>
      </c>
      <c r="K11">
        <v>19</v>
      </c>
      <c r="L11">
        <v>19</v>
      </c>
      <c r="M11">
        <v>19</v>
      </c>
      <c r="N11">
        <v>19</v>
      </c>
      <c r="O11">
        <v>19</v>
      </c>
      <c r="P11">
        <v>19</v>
      </c>
      <c r="Q11">
        <v>19</v>
      </c>
      <c r="R11">
        <v>19</v>
      </c>
      <c r="S11">
        <v>19</v>
      </c>
      <c r="T11">
        <v>22</v>
      </c>
      <c r="U11">
        <v>22</v>
      </c>
      <c r="V11">
        <v>22</v>
      </c>
      <c r="W11">
        <v>19</v>
      </c>
      <c r="X11">
        <v>19</v>
      </c>
      <c r="Y11">
        <v>19</v>
      </c>
      <c r="Z11">
        <v>19</v>
      </c>
      <c r="AA11">
        <v>19</v>
      </c>
      <c r="AB11">
        <v>19</v>
      </c>
      <c r="AC11">
        <v>19</v>
      </c>
      <c r="AD11">
        <v>19</v>
      </c>
      <c r="AE11">
        <v>19</v>
      </c>
      <c r="AF11">
        <v>22</v>
      </c>
      <c r="AG11">
        <v>22</v>
      </c>
      <c r="AH11">
        <v>22</v>
      </c>
      <c r="AI11">
        <v>22</v>
      </c>
      <c r="AJ11">
        <v>19</v>
      </c>
      <c r="AK11">
        <v>19</v>
      </c>
      <c r="AL11">
        <v>19</v>
      </c>
      <c r="AM11">
        <v>19</v>
      </c>
      <c r="AN11">
        <v>19</v>
      </c>
      <c r="AO11">
        <v>19</v>
      </c>
      <c r="AP11">
        <v>19</v>
      </c>
      <c r="AQ11">
        <v>19</v>
      </c>
      <c r="AR11">
        <v>19</v>
      </c>
      <c r="AS11">
        <v>22</v>
      </c>
      <c r="AT11">
        <v>22</v>
      </c>
      <c r="AU11">
        <v>22</v>
      </c>
      <c r="AV11">
        <v>22</v>
      </c>
      <c r="AW11">
        <v>22</v>
      </c>
      <c r="AX11">
        <v>19</v>
      </c>
      <c r="AY11">
        <v>19</v>
      </c>
      <c r="AZ11">
        <v>19</v>
      </c>
      <c r="BA11">
        <v>19</v>
      </c>
      <c r="BB11">
        <v>19</v>
      </c>
      <c r="BD11" s="3">
        <f t="shared" si="1"/>
        <v>20.384615384615383</v>
      </c>
      <c r="BE11">
        <f t="shared" si="2"/>
        <v>19</v>
      </c>
      <c r="BF11" s="3">
        <f t="shared" si="3"/>
        <v>2.097186220927663</v>
      </c>
      <c r="BG11" s="4"/>
      <c r="BH11">
        <f t="shared" si="4"/>
        <v>19</v>
      </c>
      <c r="BI11">
        <f t="shared" si="5"/>
        <v>25</v>
      </c>
      <c r="BJ11">
        <f t="shared" si="6"/>
        <v>0</v>
      </c>
      <c r="BK11" s="2">
        <f t="shared" si="7"/>
        <v>0</v>
      </c>
      <c r="BM11" s="4">
        <f t="shared" ref="BM11:BO11" si="18">BM22</f>
        <v>7.5060808266823917</v>
      </c>
      <c r="BN11" s="4">
        <f t="shared" si="18"/>
        <v>0.75961538461538458</v>
      </c>
      <c r="BO11" s="4">
        <f t="shared" si="18"/>
        <v>8.2656962112977759</v>
      </c>
      <c r="BQ11" s="3">
        <f t="shared" si="9"/>
        <v>12.878534557932991</v>
      </c>
      <c r="BR11" s="4">
        <f t="shared" si="0"/>
        <v>30</v>
      </c>
      <c r="BS11" s="4">
        <f t="shared" si="0"/>
        <v>14</v>
      </c>
    </row>
    <row r="12" spans="1:75" x14ac:dyDescent="0.2"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  <c r="P12" t="s">
        <v>66</v>
      </c>
      <c r="Q12" t="s">
        <v>67</v>
      </c>
      <c r="R12" t="s">
        <v>68</v>
      </c>
      <c r="S12" t="s">
        <v>69</v>
      </c>
      <c r="T12" t="s">
        <v>70</v>
      </c>
      <c r="U12" t="s">
        <v>71</v>
      </c>
      <c r="V12" t="s">
        <v>72</v>
      </c>
      <c r="W12" t="s">
        <v>73</v>
      </c>
      <c r="X12" t="s">
        <v>74</v>
      </c>
      <c r="Y12" t="s">
        <v>75</v>
      </c>
      <c r="Z12" t="s">
        <v>76</v>
      </c>
      <c r="AA12" t="s">
        <v>77</v>
      </c>
      <c r="AB12" t="s">
        <v>78</v>
      </c>
      <c r="AC12" t="s">
        <v>79</v>
      </c>
      <c r="AD12" t="s">
        <v>80</v>
      </c>
      <c r="AE12" t="s">
        <v>81</v>
      </c>
      <c r="AF12" t="s">
        <v>82</v>
      </c>
      <c r="AG12" t="s">
        <v>83</v>
      </c>
      <c r="AH12" t="s">
        <v>84</v>
      </c>
      <c r="AI12" t="s">
        <v>85</v>
      </c>
      <c r="AJ12" t="s">
        <v>86</v>
      </c>
      <c r="AK12" t="s">
        <v>87</v>
      </c>
      <c r="AL12" t="s">
        <v>88</v>
      </c>
      <c r="AM12" t="s">
        <v>89</v>
      </c>
      <c r="AN12" t="s">
        <v>90</v>
      </c>
      <c r="AO12" t="s">
        <v>91</v>
      </c>
      <c r="AP12" t="s">
        <v>92</v>
      </c>
      <c r="AQ12" t="s">
        <v>93</v>
      </c>
      <c r="AR12" t="s">
        <v>94</v>
      </c>
      <c r="AS12" t="s">
        <v>95</v>
      </c>
      <c r="AT12" t="s">
        <v>96</v>
      </c>
      <c r="AU12" t="s">
        <v>97</v>
      </c>
      <c r="AV12" t="s">
        <v>98</v>
      </c>
      <c r="AW12" t="s">
        <v>99</v>
      </c>
      <c r="AX12" t="s">
        <v>100</v>
      </c>
      <c r="AY12" t="s">
        <v>101</v>
      </c>
      <c r="AZ12" t="s">
        <v>102</v>
      </c>
      <c r="BA12" t="s">
        <v>103</v>
      </c>
      <c r="BB12" t="s">
        <v>104</v>
      </c>
      <c r="BD12" t="s">
        <v>161</v>
      </c>
      <c r="BE12" t="s">
        <v>160</v>
      </c>
      <c r="BF12" t="s">
        <v>159</v>
      </c>
      <c r="BH12" t="s">
        <v>158</v>
      </c>
      <c r="BI12" t="s">
        <v>157</v>
      </c>
      <c r="BJ12" t="s">
        <v>162</v>
      </c>
      <c r="BK12" t="s">
        <v>163</v>
      </c>
      <c r="BM12" t="str">
        <f>BM23</f>
        <v>sci ss</v>
      </c>
      <c r="BN12" t="str">
        <f>BN23</f>
        <v>sci cs</v>
      </c>
      <c r="BO12" t="str">
        <f>BO23</f>
        <v>sci ss+cs</v>
      </c>
      <c r="BR12" t="str">
        <f t="shared" si="0"/>
        <v>3*max</v>
      </c>
      <c r="BS12" t="str">
        <f t="shared" si="0"/>
        <v>max3</v>
      </c>
    </row>
    <row r="13" spans="1:75" x14ac:dyDescent="0.2">
      <c r="A13" t="s">
        <v>181</v>
      </c>
      <c r="B13" t="s">
        <v>188</v>
      </c>
      <c r="C13">
        <v>115</v>
      </c>
      <c r="D13">
        <v>111</v>
      </c>
      <c r="E13">
        <v>125</v>
      </c>
      <c r="F13">
        <v>134</v>
      </c>
      <c r="G13">
        <v>104</v>
      </c>
      <c r="H13">
        <v>70</v>
      </c>
      <c r="I13">
        <v>134</v>
      </c>
      <c r="J13">
        <v>114</v>
      </c>
      <c r="K13">
        <v>153</v>
      </c>
      <c r="L13">
        <v>150</v>
      </c>
      <c r="M13">
        <v>140</v>
      </c>
      <c r="N13">
        <v>121</v>
      </c>
      <c r="O13">
        <v>103</v>
      </c>
      <c r="P13">
        <v>119</v>
      </c>
      <c r="Q13">
        <v>89</v>
      </c>
      <c r="R13">
        <v>104</v>
      </c>
      <c r="S13">
        <v>124</v>
      </c>
      <c r="T13">
        <v>100</v>
      </c>
      <c r="U13">
        <v>124</v>
      </c>
      <c r="V13">
        <v>97</v>
      </c>
      <c r="W13">
        <v>118</v>
      </c>
      <c r="X13">
        <v>150</v>
      </c>
      <c r="Y13">
        <v>117</v>
      </c>
      <c r="Z13">
        <v>97</v>
      </c>
      <c r="AA13">
        <v>118</v>
      </c>
      <c r="AB13">
        <v>147</v>
      </c>
      <c r="AC13">
        <v>116</v>
      </c>
      <c r="AD13">
        <v>106</v>
      </c>
      <c r="AE13">
        <v>162</v>
      </c>
      <c r="AF13">
        <v>214</v>
      </c>
      <c r="AG13">
        <v>192</v>
      </c>
      <c r="AH13">
        <v>153</v>
      </c>
      <c r="AI13">
        <v>130</v>
      </c>
      <c r="AJ13">
        <v>109</v>
      </c>
      <c r="AK13">
        <v>164</v>
      </c>
      <c r="AL13">
        <v>129</v>
      </c>
      <c r="AM13">
        <v>183</v>
      </c>
      <c r="AN13">
        <v>167</v>
      </c>
      <c r="AO13">
        <v>141</v>
      </c>
      <c r="AP13">
        <v>193</v>
      </c>
      <c r="AQ13">
        <v>177</v>
      </c>
      <c r="AR13">
        <v>146</v>
      </c>
      <c r="AS13">
        <v>211</v>
      </c>
      <c r="AT13">
        <v>198</v>
      </c>
      <c r="AU13">
        <v>187</v>
      </c>
      <c r="AV13">
        <v>173</v>
      </c>
      <c r="AW13">
        <v>149</v>
      </c>
      <c r="AX13">
        <v>194</v>
      </c>
      <c r="AY13">
        <v>169</v>
      </c>
      <c r="AZ13">
        <v>144</v>
      </c>
      <c r="BA13">
        <v>180</v>
      </c>
      <c r="BB13">
        <v>138</v>
      </c>
      <c r="BD13" s="3">
        <f t="shared" ref="BD13:BD22" si="19">AVERAGE(C13:BB13)</f>
        <v>140.44230769230768</v>
      </c>
      <c r="BE13">
        <f t="shared" ref="BE13:BE22" si="20">MEDIAN(C13:BB13)</f>
        <v>136</v>
      </c>
      <c r="BF13" s="3">
        <f t="shared" ref="BF13:BF22" si="21">STDEV(C13:BB13)</f>
        <v>33.924606987790106</v>
      </c>
      <c r="BG13" s="4"/>
      <c r="BH13">
        <f t="shared" ref="BH13:BH22" si="22">MIN(C13:BB13)</f>
        <v>70</v>
      </c>
      <c r="BI13">
        <f t="shared" ref="BI13:BI22" si="23">MAX(C13:BB13)</f>
        <v>214</v>
      </c>
      <c r="BJ13">
        <f t="shared" ref="BJ13:BJ22" si="24">COUNTIF(C13:BB13,"=0")</f>
        <v>0</v>
      </c>
      <c r="BK13" s="2">
        <f t="shared" ref="BK13:BK22" si="25">BJ13/52</f>
        <v>0</v>
      </c>
      <c r="BM13" s="4">
        <f t="shared" ref="BM13:BN22" si="26">BM24</f>
        <v>37.819000052643162</v>
      </c>
      <c r="BN13" s="4">
        <f t="shared" si="26"/>
        <v>12.221153846153847</v>
      </c>
      <c r="BO13" s="4">
        <f t="shared" ref="BO13" si="27">BO24</f>
        <v>50.040153898797008</v>
      </c>
      <c r="BQ13" s="3">
        <f t="shared" ref="BQ13:BQ22" si="28">BD13-BO13</f>
        <v>90.402153793510678</v>
      </c>
      <c r="BR13" s="4">
        <f t="shared" si="0"/>
        <v>150</v>
      </c>
      <c r="BS13" s="4">
        <f t="shared" si="0"/>
        <v>119</v>
      </c>
      <c r="BU13" s="4">
        <f t="shared" ref="BU13:BU22" si="29">BH13-BS13</f>
        <v>-49</v>
      </c>
      <c r="BV13" t="s">
        <v>181</v>
      </c>
      <c r="BW13" s="3">
        <f>BD13-BO13</f>
        <v>90.402153793510678</v>
      </c>
    </row>
    <row r="14" spans="1:75" x14ac:dyDescent="0.2">
      <c r="A14" t="s">
        <v>172</v>
      </c>
      <c r="B14" t="s">
        <v>188</v>
      </c>
      <c r="C14">
        <v>70</v>
      </c>
      <c r="D14">
        <v>82</v>
      </c>
      <c r="E14">
        <v>67</v>
      </c>
      <c r="F14">
        <v>83</v>
      </c>
      <c r="G14">
        <v>131</v>
      </c>
      <c r="H14">
        <v>113</v>
      </c>
      <c r="I14">
        <v>110</v>
      </c>
      <c r="J14">
        <v>100</v>
      </c>
      <c r="K14">
        <v>97</v>
      </c>
      <c r="L14">
        <v>97</v>
      </c>
      <c r="M14">
        <v>92</v>
      </c>
      <c r="N14">
        <v>82</v>
      </c>
      <c r="O14">
        <v>72</v>
      </c>
      <c r="P14">
        <v>66</v>
      </c>
      <c r="Q14">
        <v>78</v>
      </c>
      <c r="R14">
        <v>67</v>
      </c>
      <c r="S14">
        <v>81</v>
      </c>
      <c r="T14">
        <v>68</v>
      </c>
      <c r="U14">
        <v>78</v>
      </c>
      <c r="V14">
        <v>63</v>
      </c>
      <c r="W14">
        <v>94</v>
      </c>
      <c r="X14">
        <v>90</v>
      </c>
      <c r="Y14">
        <v>78</v>
      </c>
      <c r="Z14">
        <v>68</v>
      </c>
      <c r="AA14">
        <v>76</v>
      </c>
      <c r="AB14">
        <v>71</v>
      </c>
      <c r="AC14">
        <v>84</v>
      </c>
      <c r="AD14">
        <v>77</v>
      </c>
      <c r="AE14">
        <v>67</v>
      </c>
      <c r="AF14">
        <v>55</v>
      </c>
      <c r="AG14">
        <v>63</v>
      </c>
      <c r="AH14">
        <v>64</v>
      </c>
      <c r="AI14">
        <v>63</v>
      </c>
      <c r="AJ14">
        <v>65</v>
      </c>
      <c r="AK14">
        <v>55</v>
      </c>
      <c r="AL14">
        <v>56</v>
      </c>
      <c r="AM14">
        <v>67</v>
      </c>
      <c r="AN14">
        <v>63</v>
      </c>
      <c r="AO14">
        <v>65</v>
      </c>
      <c r="AP14">
        <v>76</v>
      </c>
      <c r="AQ14">
        <v>0</v>
      </c>
      <c r="AR14">
        <v>69</v>
      </c>
      <c r="AS14">
        <v>66</v>
      </c>
      <c r="AT14">
        <v>55</v>
      </c>
      <c r="AU14">
        <v>54</v>
      </c>
      <c r="AV14">
        <v>58</v>
      </c>
      <c r="AW14">
        <v>62</v>
      </c>
      <c r="AX14">
        <v>58</v>
      </c>
      <c r="AY14">
        <v>62</v>
      </c>
      <c r="AZ14">
        <v>66</v>
      </c>
      <c r="BA14">
        <v>58</v>
      </c>
      <c r="BB14">
        <v>152</v>
      </c>
      <c r="BD14" s="3">
        <f t="shared" si="19"/>
        <v>74.115384615384613</v>
      </c>
      <c r="BE14">
        <f t="shared" si="20"/>
        <v>68</v>
      </c>
      <c r="BF14" s="3">
        <f t="shared" si="21"/>
        <v>22.089527148698586</v>
      </c>
      <c r="BG14" s="4"/>
      <c r="BH14">
        <f t="shared" si="22"/>
        <v>0</v>
      </c>
      <c r="BI14">
        <f t="shared" si="23"/>
        <v>152</v>
      </c>
      <c r="BJ14">
        <f t="shared" si="24"/>
        <v>1</v>
      </c>
      <c r="BK14" s="2">
        <f t="shared" si="25"/>
        <v>1.9230769230769232E-2</v>
      </c>
      <c r="BM14" s="4">
        <f t="shared" si="26"/>
        <v>80.839481065032416</v>
      </c>
      <c r="BN14" s="4">
        <f t="shared" si="26"/>
        <v>7.5</v>
      </c>
      <c r="BO14" s="4">
        <f t="shared" ref="BO14" si="30">BO25</f>
        <v>88.339481065032416</v>
      </c>
      <c r="BQ14" s="3">
        <f t="shared" si="28"/>
        <v>-14.224096449647803</v>
      </c>
      <c r="BR14" s="4">
        <f t="shared" si="0"/>
        <v>405</v>
      </c>
      <c r="BS14" s="4">
        <f t="shared" si="0"/>
        <v>157</v>
      </c>
      <c r="BU14" s="4">
        <f t="shared" si="29"/>
        <v>-157</v>
      </c>
      <c r="BV14" t="s">
        <v>172</v>
      </c>
      <c r="BW14" s="3">
        <f t="shared" ref="BW14:BW22" si="31">BD14-BO14</f>
        <v>-14.224096449647803</v>
      </c>
    </row>
    <row r="15" spans="1:75" x14ac:dyDescent="0.2">
      <c r="A15" t="s">
        <v>173</v>
      </c>
      <c r="B15" t="s">
        <v>206</v>
      </c>
      <c r="C15">
        <v>119</v>
      </c>
      <c r="D15">
        <v>111</v>
      </c>
      <c r="E15">
        <v>100</v>
      </c>
      <c r="F15">
        <v>139</v>
      </c>
      <c r="G15">
        <v>132</v>
      </c>
      <c r="H15">
        <v>121</v>
      </c>
      <c r="I15">
        <v>105</v>
      </c>
      <c r="J15">
        <v>79</v>
      </c>
      <c r="K15">
        <v>118</v>
      </c>
      <c r="L15">
        <v>118</v>
      </c>
      <c r="M15">
        <v>102</v>
      </c>
      <c r="N15">
        <v>87</v>
      </c>
      <c r="O15">
        <v>93</v>
      </c>
      <c r="P15">
        <v>73</v>
      </c>
      <c r="Q15">
        <v>107</v>
      </c>
      <c r="R15">
        <v>95</v>
      </c>
      <c r="S15">
        <v>80</v>
      </c>
      <c r="T15">
        <v>63</v>
      </c>
      <c r="U15">
        <v>72</v>
      </c>
      <c r="V15">
        <v>56</v>
      </c>
      <c r="W15">
        <v>61</v>
      </c>
      <c r="X15">
        <v>74</v>
      </c>
      <c r="Y15">
        <v>66</v>
      </c>
      <c r="Z15">
        <v>64</v>
      </c>
      <c r="AA15">
        <v>59</v>
      </c>
      <c r="AB15">
        <v>57</v>
      </c>
      <c r="AC15">
        <v>55</v>
      </c>
      <c r="AD15">
        <v>54</v>
      </c>
      <c r="AE15">
        <v>100</v>
      </c>
      <c r="AF15">
        <v>95</v>
      </c>
      <c r="AG15">
        <v>83</v>
      </c>
      <c r="AH15">
        <v>80</v>
      </c>
      <c r="AI15">
        <v>70</v>
      </c>
      <c r="AJ15">
        <v>101</v>
      </c>
      <c r="AK15">
        <v>92</v>
      </c>
      <c r="AL15">
        <v>66</v>
      </c>
      <c r="AM15">
        <v>92</v>
      </c>
      <c r="AN15">
        <v>80</v>
      </c>
      <c r="AO15">
        <v>71</v>
      </c>
      <c r="AP15">
        <v>65</v>
      </c>
      <c r="AQ15">
        <v>92</v>
      </c>
      <c r="AR15">
        <v>90</v>
      </c>
      <c r="AS15">
        <v>81</v>
      </c>
      <c r="AT15">
        <v>72</v>
      </c>
      <c r="AU15">
        <v>94</v>
      </c>
      <c r="AV15">
        <v>90</v>
      </c>
      <c r="AW15">
        <v>82</v>
      </c>
      <c r="AX15">
        <v>77</v>
      </c>
      <c r="AY15">
        <v>72</v>
      </c>
      <c r="AZ15">
        <v>99</v>
      </c>
      <c r="BA15">
        <v>95</v>
      </c>
      <c r="BB15">
        <v>87</v>
      </c>
      <c r="BD15" s="3">
        <f t="shared" si="19"/>
        <v>86.269230769230774</v>
      </c>
      <c r="BE15">
        <f t="shared" si="20"/>
        <v>85</v>
      </c>
      <c r="BF15" s="3">
        <f t="shared" si="21"/>
        <v>20.414446427128343</v>
      </c>
      <c r="BG15" s="4"/>
      <c r="BH15">
        <f t="shared" si="22"/>
        <v>54</v>
      </c>
      <c r="BI15">
        <f t="shared" si="23"/>
        <v>139</v>
      </c>
      <c r="BJ15">
        <f t="shared" si="24"/>
        <v>0</v>
      </c>
      <c r="BK15" s="2">
        <f t="shared" si="25"/>
        <v>0</v>
      </c>
      <c r="BM15" s="4">
        <f t="shared" si="26"/>
        <v>28.168871998439364</v>
      </c>
      <c r="BN15" s="4">
        <f t="shared" si="26"/>
        <v>4.9519230769230766</v>
      </c>
      <c r="BO15" s="4">
        <f t="shared" ref="BO15" si="32">BO26</f>
        <v>33.120795075362437</v>
      </c>
      <c r="BQ15" s="3">
        <f t="shared" si="28"/>
        <v>53.148435693868336</v>
      </c>
      <c r="BR15" s="4">
        <f t="shared" si="0"/>
        <v>117</v>
      </c>
      <c r="BS15" s="4">
        <f t="shared" si="0"/>
        <v>74</v>
      </c>
      <c r="BU15" s="4">
        <f t="shared" si="29"/>
        <v>-20</v>
      </c>
      <c r="BV15" t="s">
        <v>173</v>
      </c>
      <c r="BW15" s="3">
        <f t="shared" si="31"/>
        <v>53.148435693868336</v>
      </c>
    </row>
    <row r="16" spans="1:75" x14ac:dyDescent="0.2">
      <c r="A16" t="s">
        <v>174</v>
      </c>
      <c r="B16" t="s">
        <v>190</v>
      </c>
      <c r="C16">
        <v>109</v>
      </c>
      <c r="D16">
        <v>103</v>
      </c>
      <c r="E16">
        <v>97</v>
      </c>
      <c r="F16">
        <v>92</v>
      </c>
      <c r="G16">
        <v>86</v>
      </c>
      <c r="H16">
        <v>123</v>
      </c>
      <c r="I16">
        <v>120</v>
      </c>
      <c r="J16">
        <v>118</v>
      </c>
      <c r="K16">
        <v>116</v>
      </c>
      <c r="L16">
        <v>115</v>
      </c>
      <c r="M16">
        <v>112</v>
      </c>
      <c r="N16">
        <v>99</v>
      </c>
      <c r="O16">
        <v>83</v>
      </c>
      <c r="P16">
        <v>70</v>
      </c>
      <c r="Q16">
        <v>110</v>
      </c>
      <c r="R16">
        <v>101</v>
      </c>
      <c r="S16">
        <v>90</v>
      </c>
      <c r="T16">
        <v>122</v>
      </c>
      <c r="U16">
        <v>103</v>
      </c>
      <c r="V16">
        <v>90</v>
      </c>
      <c r="W16">
        <v>131</v>
      </c>
      <c r="X16">
        <v>122</v>
      </c>
      <c r="Y16">
        <v>116</v>
      </c>
      <c r="Z16">
        <v>111</v>
      </c>
      <c r="AA16">
        <v>103</v>
      </c>
      <c r="AB16">
        <v>97</v>
      </c>
      <c r="AC16">
        <v>90</v>
      </c>
      <c r="AD16">
        <v>129</v>
      </c>
      <c r="AE16">
        <v>121</v>
      </c>
      <c r="AF16">
        <v>111</v>
      </c>
      <c r="AG16">
        <v>105</v>
      </c>
      <c r="AH16">
        <v>94</v>
      </c>
      <c r="AI16">
        <v>88</v>
      </c>
      <c r="AJ16">
        <v>122</v>
      </c>
      <c r="AK16">
        <v>114</v>
      </c>
      <c r="AL16">
        <v>106</v>
      </c>
      <c r="AM16">
        <v>99</v>
      </c>
      <c r="AN16">
        <v>85</v>
      </c>
      <c r="AO16">
        <v>124</v>
      </c>
      <c r="AP16">
        <v>113</v>
      </c>
      <c r="AQ16">
        <v>98</v>
      </c>
      <c r="AR16">
        <v>95</v>
      </c>
      <c r="AS16">
        <v>91</v>
      </c>
      <c r="AT16">
        <v>85</v>
      </c>
      <c r="AU16">
        <v>80</v>
      </c>
      <c r="AV16">
        <v>74</v>
      </c>
      <c r="AW16">
        <v>111</v>
      </c>
      <c r="AX16">
        <v>193</v>
      </c>
      <c r="AY16">
        <v>186</v>
      </c>
      <c r="AZ16">
        <v>184</v>
      </c>
      <c r="BA16">
        <v>173</v>
      </c>
      <c r="BB16">
        <v>169</v>
      </c>
      <c r="BD16" s="3">
        <f t="shared" si="19"/>
        <v>111.13461538461539</v>
      </c>
      <c r="BE16">
        <f t="shared" si="20"/>
        <v>107.5</v>
      </c>
      <c r="BF16" s="3">
        <f t="shared" si="21"/>
        <v>27.20007846453062</v>
      </c>
      <c r="BG16" s="4"/>
      <c r="BH16">
        <f t="shared" si="22"/>
        <v>70</v>
      </c>
      <c r="BI16">
        <f t="shared" si="23"/>
        <v>193</v>
      </c>
      <c r="BJ16">
        <f t="shared" si="24"/>
        <v>0</v>
      </c>
      <c r="BK16" s="2">
        <f t="shared" si="25"/>
        <v>0</v>
      </c>
      <c r="BM16" s="4">
        <f t="shared" si="26"/>
        <v>15.803453189386163</v>
      </c>
      <c r="BN16" s="4">
        <f t="shared" si="26"/>
        <v>3.7980769230769229</v>
      </c>
      <c r="BO16" s="4">
        <f t="shared" ref="BO16" si="33">BO27</f>
        <v>19.601530112463085</v>
      </c>
      <c r="BQ16" s="3">
        <f t="shared" si="28"/>
        <v>91.533085272152306</v>
      </c>
      <c r="BR16" s="4">
        <f t="shared" si="0"/>
        <v>57</v>
      </c>
      <c r="BS16" s="4">
        <f t="shared" si="0"/>
        <v>45</v>
      </c>
      <c r="BU16" s="4">
        <f t="shared" si="29"/>
        <v>25</v>
      </c>
      <c r="BV16" t="s">
        <v>174</v>
      </c>
      <c r="BW16" s="3">
        <f t="shared" si="31"/>
        <v>91.533085272152306</v>
      </c>
    </row>
    <row r="17" spans="1:125" x14ac:dyDescent="0.2">
      <c r="A17" t="s">
        <v>175</v>
      </c>
      <c r="B17" t="s">
        <v>206</v>
      </c>
      <c r="C17">
        <v>33</v>
      </c>
      <c r="D17">
        <v>37</v>
      </c>
      <c r="E17">
        <v>34</v>
      </c>
      <c r="F17">
        <v>23</v>
      </c>
      <c r="G17">
        <v>25</v>
      </c>
      <c r="H17">
        <v>21</v>
      </c>
      <c r="I17">
        <v>39</v>
      </c>
      <c r="J17">
        <v>31</v>
      </c>
      <c r="K17">
        <v>41</v>
      </c>
      <c r="L17">
        <v>41</v>
      </c>
      <c r="M17">
        <v>39</v>
      </c>
      <c r="N17">
        <v>36</v>
      </c>
      <c r="O17">
        <v>29</v>
      </c>
      <c r="P17">
        <v>36</v>
      </c>
      <c r="Q17">
        <v>33</v>
      </c>
      <c r="R17">
        <v>34</v>
      </c>
      <c r="S17">
        <v>23</v>
      </c>
      <c r="T17">
        <v>32</v>
      </c>
      <c r="U17">
        <v>32</v>
      </c>
      <c r="V17">
        <v>37</v>
      </c>
      <c r="W17">
        <v>29</v>
      </c>
      <c r="X17">
        <v>33</v>
      </c>
      <c r="Y17">
        <v>33</v>
      </c>
      <c r="Z17">
        <v>33</v>
      </c>
      <c r="AA17">
        <v>27</v>
      </c>
      <c r="AB17">
        <v>30</v>
      </c>
      <c r="AC17">
        <v>28</v>
      </c>
      <c r="AD17">
        <v>32</v>
      </c>
      <c r="AE17">
        <v>43</v>
      </c>
      <c r="AF17">
        <v>37</v>
      </c>
      <c r="AG17">
        <v>36</v>
      </c>
      <c r="AH17">
        <v>29</v>
      </c>
      <c r="AI17">
        <v>44</v>
      </c>
      <c r="AJ17">
        <v>38</v>
      </c>
      <c r="AK17">
        <v>34</v>
      </c>
      <c r="AL17">
        <v>44</v>
      </c>
      <c r="AM17">
        <v>37</v>
      </c>
      <c r="AN17">
        <v>36</v>
      </c>
      <c r="AO17">
        <v>30</v>
      </c>
      <c r="AP17">
        <v>22</v>
      </c>
      <c r="AQ17">
        <v>29</v>
      </c>
      <c r="AR17">
        <v>26</v>
      </c>
      <c r="AS17">
        <v>37</v>
      </c>
      <c r="AT17">
        <v>29</v>
      </c>
      <c r="AU17">
        <v>27</v>
      </c>
      <c r="AV17">
        <v>25</v>
      </c>
      <c r="AW17">
        <v>33</v>
      </c>
      <c r="AX17">
        <v>27</v>
      </c>
      <c r="AY17">
        <v>34</v>
      </c>
      <c r="AZ17">
        <v>28</v>
      </c>
      <c r="BA17">
        <v>24</v>
      </c>
      <c r="BB17">
        <v>32</v>
      </c>
      <c r="BD17" s="3">
        <f t="shared" si="19"/>
        <v>32.346153846153847</v>
      </c>
      <c r="BE17">
        <f t="shared" si="20"/>
        <v>33</v>
      </c>
      <c r="BF17" s="3">
        <f t="shared" si="21"/>
        <v>5.6910132644255311</v>
      </c>
      <c r="BG17" s="4"/>
      <c r="BH17">
        <f t="shared" si="22"/>
        <v>21</v>
      </c>
      <c r="BI17">
        <f t="shared" si="23"/>
        <v>44</v>
      </c>
      <c r="BJ17">
        <f t="shared" si="24"/>
        <v>0</v>
      </c>
      <c r="BK17" s="2">
        <f t="shared" si="25"/>
        <v>0</v>
      </c>
      <c r="BM17" s="4">
        <f t="shared" si="26"/>
        <v>11.364454234253666</v>
      </c>
      <c r="BN17" s="4">
        <f t="shared" si="26"/>
        <v>2.5384615384615383</v>
      </c>
      <c r="BO17" s="4">
        <f t="shared" ref="BO17" si="34">BO28</f>
        <v>13.902915772715204</v>
      </c>
      <c r="BQ17" s="3">
        <f t="shared" si="28"/>
        <v>18.443238073438643</v>
      </c>
      <c r="BR17" s="4">
        <f t="shared" si="0"/>
        <v>33</v>
      </c>
      <c r="BS17" s="4">
        <f t="shared" si="0"/>
        <v>24</v>
      </c>
      <c r="BU17" s="4">
        <f t="shared" si="29"/>
        <v>-3</v>
      </c>
      <c r="BV17" t="s">
        <v>175</v>
      </c>
      <c r="BW17" s="3">
        <f t="shared" si="31"/>
        <v>18.443238073438643</v>
      </c>
    </row>
    <row r="18" spans="1:125" x14ac:dyDescent="0.2">
      <c r="A18" t="s">
        <v>176</v>
      </c>
      <c r="B18" t="s">
        <v>206</v>
      </c>
      <c r="C18">
        <v>49</v>
      </c>
      <c r="D18">
        <v>46</v>
      </c>
      <c r="E18">
        <v>43</v>
      </c>
      <c r="F18">
        <v>42</v>
      </c>
      <c r="G18">
        <v>51</v>
      </c>
      <c r="H18">
        <v>37</v>
      </c>
      <c r="I18">
        <v>42</v>
      </c>
      <c r="J18">
        <v>42</v>
      </c>
      <c r="K18">
        <v>39</v>
      </c>
      <c r="L18">
        <v>51</v>
      </c>
      <c r="M18">
        <v>48</v>
      </c>
      <c r="N18">
        <v>48</v>
      </c>
      <c r="O18">
        <v>42</v>
      </c>
      <c r="P18">
        <v>49</v>
      </c>
      <c r="Q18">
        <v>46</v>
      </c>
      <c r="R18">
        <v>58</v>
      </c>
      <c r="S18">
        <v>48</v>
      </c>
      <c r="T18">
        <v>53</v>
      </c>
      <c r="U18">
        <v>51</v>
      </c>
      <c r="V18">
        <v>42</v>
      </c>
      <c r="W18">
        <v>45</v>
      </c>
      <c r="X18">
        <v>52</v>
      </c>
      <c r="Y18">
        <v>50</v>
      </c>
      <c r="Z18">
        <v>53</v>
      </c>
      <c r="AA18">
        <v>52</v>
      </c>
      <c r="AB18">
        <v>50</v>
      </c>
      <c r="AC18">
        <v>40</v>
      </c>
      <c r="AD18">
        <v>61</v>
      </c>
      <c r="AE18">
        <v>45</v>
      </c>
      <c r="AF18">
        <v>44</v>
      </c>
      <c r="AG18">
        <v>52</v>
      </c>
      <c r="AH18">
        <v>62</v>
      </c>
      <c r="AI18">
        <v>43</v>
      </c>
      <c r="AJ18">
        <v>66</v>
      </c>
      <c r="AK18">
        <v>65</v>
      </c>
      <c r="AL18">
        <v>61</v>
      </c>
      <c r="AM18">
        <v>61</v>
      </c>
      <c r="AN18">
        <v>46</v>
      </c>
      <c r="AO18">
        <v>46</v>
      </c>
      <c r="AP18">
        <v>55</v>
      </c>
      <c r="AQ18">
        <v>53</v>
      </c>
      <c r="AR18">
        <v>51</v>
      </c>
      <c r="AS18">
        <v>51</v>
      </c>
      <c r="AT18">
        <v>50</v>
      </c>
      <c r="AU18">
        <v>75</v>
      </c>
      <c r="AV18">
        <v>73</v>
      </c>
      <c r="AW18">
        <v>72</v>
      </c>
      <c r="AX18">
        <v>71</v>
      </c>
      <c r="AY18">
        <v>66</v>
      </c>
      <c r="AZ18">
        <v>63</v>
      </c>
      <c r="BA18">
        <v>61</v>
      </c>
      <c r="BB18">
        <v>56</v>
      </c>
      <c r="BD18" s="3">
        <f t="shared" si="19"/>
        <v>52.269230769230766</v>
      </c>
      <c r="BE18">
        <f t="shared" si="20"/>
        <v>51</v>
      </c>
      <c r="BF18" s="3">
        <f t="shared" si="21"/>
        <v>9.3789823115625683</v>
      </c>
      <c r="BG18" s="4"/>
      <c r="BH18">
        <f t="shared" si="22"/>
        <v>37</v>
      </c>
      <c r="BI18">
        <f t="shared" si="23"/>
        <v>75</v>
      </c>
      <c r="BJ18">
        <f t="shared" si="24"/>
        <v>0</v>
      </c>
      <c r="BK18" s="2">
        <f t="shared" si="25"/>
        <v>0</v>
      </c>
      <c r="BM18" s="4">
        <f t="shared" si="26"/>
        <v>18.839642170721337</v>
      </c>
      <c r="BN18" s="4">
        <f t="shared" si="26"/>
        <v>2.2307692307692308</v>
      </c>
      <c r="BO18" s="4">
        <f t="shared" ref="BO18" si="35">BO29</f>
        <v>21.070411401490567</v>
      </c>
      <c r="BQ18" s="3">
        <f t="shared" si="28"/>
        <v>31.198819367740199</v>
      </c>
      <c r="BR18" s="4">
        <f t="shared" si="0"/>
        <v>57</v>
      </c>
      <c r="BS18" s="4">
        <f t="shared" si="0"/>
        <v>33</v>
      </c>
      <c r="BU18" s="4">
        <f t="shared" si="29"/>
        <v>4</v>
      </c>
      <c r="BV18" t="s">
        <v>176</v>
      </c>
      <c r="BW18" s="3">
        <f t="shared" si="31"/>
        <v>31.198819367740199</v>
      </c>
    </row>
    <row r="19" spans="1:125" x14ac:dyDescent="0.2">
      <c r="A19" t="s">
        <v>177</v>
      </c>
      <c r="B19" t="s">
        <v>190</v>
      </c>
      <c r="C19">
        <v>23</v>
      </c>
      <c r="D19">
        <v>33</v>
      </c>
      <c r="E19">
        <v>27</v>
      </c>
      <c r="F19">
        <v>25</v>
      </c>
      <c r="G19">
        <v>24</v>
      </c>
      <c r="H19">
        <v>30</v>
      </c>
      <c r="I19">
        <v>23</v>
      </c>
      <c r="J19">
        <v>31</v>
      </c>
      <c r="K19">
        <v>30</v>
      </c>
      <c r="L19">
        <v>30</v>
      </c>
      <c r="M19">
        <v>29</v>
      </c>
      <c r="N19">
        <v>24</v>
      </c>
      <c r="O19">
        <v>31</v>
      </c>
      <c r="P19">
        <v>30</v>
      </c>
      <c r="Q19">
        <v>25</v>
      </c>
      <c r="R19">
        <v>24</v>
      </c>
      <c r="S19">
        <v>34</v>
      </c>
      <c r="T19">
        <v>30</v>
      </c>
      <c r="U19">
        <v>26</v>
      </c>
      <c r="V19">
        <v>24</v>
      </c>
      <c r="W19">
        <v>23</v>
      </c>
      <c r="X19">
        <v>32</v>
      </c>
      <c r="Y19">
        <v>31</v>
      </c>
      <c r="Z19">
        <v>29</v>
      </c>
      <c r="AA19">
        <v>25</v>
      </c>
      <c r="AB19">
        <v>32</v>
      </c>
      <c r="AC19">
        <v>29</v>
      </c>
      <c r="AD19">
        <v>23</v>
      </c>
      <c r="AE19">
        <v>35</v>
      </c>
      <c r="AF19">
        <v>31</v>
      </c>
      <c r="AG19">
        <v>27</v>
      </c>
      <c r="AH19">
        <v>24</v>
      </c>
      <c r="AI19">
        <v>30</v>
      </c>
      <c r="AJ19">
        <v>28</v>
      </c>
      <c r="AK19">
        <v>24</v>
      </c>
      <c r="AL19">
        <v>33</v>
      </c>
      <c r="AM19">
        <v>31</v>
      </c>
      <c r="AN19">
        <v>29</v>
      </c>
      <c r="AO19">
        <v>24</v>
      </c>
      <c r="AP19">
        <v>34</v>
      </c>
      <c r="AQ19">
        <v>30</v>
      </c>
      <c r="AR19">
        <v>26</v>
      </c>
      <c r="AS19">
        <v>22</v>
      </c>
      <c r="AT19">
        <v>33</v>
      </c>
      <c r="AU19">
        <v>27</v>
      </c>
      <c r="AV19">
        <v>25</v>
      </c>
      <c r="AW19">
        <v>34</v>
      </c>
      <c r="AX19">
        <v>30</v>
      </c>
      <c r="AY19">
        <v>25</v>
      </c>
      <c r="AZ19">
        <v>23</v>
      </c>
      <c r="BA19">
        <v>34</v>
      </c>
      <c r="BB19">
        <v>30</v>
      </c>
      <c r="BD19" s="3">
        <f t="shared" si="19"/>
        <v>28.192307692307693</v>
      </c>
      <c r="BE19">
        <f t="shared" si="20"/>
        <v>29</v>
      </c>
      <c r="BF19" s="3">
        <f t="shared" si="21"/>
        <v>3.7366151272711257</v>
      </c>
      <c r="BG19" s="4"/>
      <c r="BH19">
        <f t="shared" si="22"/>
        <v>22</v>
      </c>
      <c r="BI19">
        <f t="shared" si="23"/>
        <v>35</v>
      </c>
      <c r="BJ19">
        <f t="shared" si="24"/>
        <v>0</v>
      </c>
      <c r="BK19" s="2">
        <f t="shared" si="25"/>
        <v>0</v>
      </c>
      <c r="BM19" s="4">
        <f t="shared" si="26"/>
        <v>7.2272644986334713</v>
      </c>
      <c r="BN19" s="4">
        <f t="shared" si="26"/>
        <v>1.5961538461538463</v>
      </c>
      <c r="BO19" s="4">
        <f t="shared" ref="BO19" si="36">BO30</f>
        <v>8.8234183447873171</v>
      </c>
      <c r="BQ19" s="3">
        <f t="shared" si="28"/>
        <v>19.368889347520376</v>
      </c>
      <c r="BR19" s="4">
        <f t="shared" si="0"/>
        <v>21</v>
      </c>
      <c r="BS19" s="4">
        <f t="shared" si="0"/>
        <v>17</v>
      </c>
      <c r="BU19" s="4">
        <f t="shared" si="29"/>
        <v>5</v>
      </c>
      <c r="BV19" t="s">
        <v>177</v>
      </c>
      <c r="BW19" s="3">
        <f t="shared" si="31"/>
        <v>19.368889347520376</v>
      </c>
    </row>
    <row r="20" spans="1:125" x14ac:dyDescent="0.2">
      <c r="A20" t="s">
        <v>178</v>
      </c>
      <c r="B20" t="s">
        <v>188</v>
      </c>
      <c r="C20">
        <v>22</v>
      </c>
      <c r="D20">
        <v>21</v>
      </c>
      <c r="E20">
        <v>16</v>
      </c>
      <c r="F20">
        <v>22</v>
      </c>
      <c r="G20">
        <v>17</v>
      </c>
      <c r="H20">
        <v>13</v>
      </c>
      <c r="I20">
        <v>20</v>
      </c>
      <c r="J20">
        <v>19</v>
      </c>
      <c r="K20">
        <v>22</v>
      </c>
      <c r="L20">
        <v>22</v>
      </c>
      <c r="M20">
        <v>21</v>
      </c>
      <c r="N20">
        <v>21</v>
      </c>
      <c r="O20">
        <v>20</v>
      </c>
      <c r="P20">
        <v>19</v>
      </c>
      <c r="Q20">
        <v>18</v>
      </c>
      <c r="R20">
        <v>20</v>
      </c>
      <c r="S20">
        <v>18</v>
      </c>
      <c r="T20">
        <v>19</v>
      </c>
      <c r="U20">
        <v>21</v>
      </c>
      <c r="V20">
        <v>19</v>
      </c>
      <c r="W20">
        <v>21</v>
      </c>
      <c r="X20">
        <v>21</v>
      </c>
      <c r="Y20">
        <v>21</v>
      </c>
      <c r="Z20">
        <v>20</v>
      </c>
      <c r="AA20">
        <v>16</v>
      </c>
      <c r="AB20">
        <v>21</v>
      </c>
      <c r="AC20">
        <v>19</v>
      </c>
      <c r="AD20">
        <v>19</v>
      </c>
      <c r="AE20">
        <v>21</v>
      </c>
      <c r="AF20">
        <v>20</v>
      </c>
      <c r="AG20">
        <v>19</v>
      </c>
      <c r="AH20">
        <v>19</v>
      </c>
      <c r="AI20">
        <v>20</v>
      </c>
      <c r="AJ20">
        <v>17</v>
      </c>
      <c r="AK20">
        <v>21</v>
      </c>
      <c r="AL20">
        <v>20</v>
      </c>
      <c r="AM20">
        <v>18</v>
      </c>
      <c r="AN20">
        <v>16</v>
      </c>
      <c r="AO20">
        <v>27</v>
      </c>
      <c r="AP20">
        <v>32</v>
      </c>
      <c r="AQ20">
        <v>30</v>
      </c>
      <c r="AR20">
        <v>36</v>
      </c>
      <c r="AS20">
        <v>36</v>
      </c>
      <c r="AT20">
        <v>36</v>
      </c>
      <c r="AU20">
        <v>35</v>
      </c>
      <c r="AV20">
        <v>34</v>
      </c>
      <c r="AW20">
        <v>31</v>
      </c>
      <c r="AX20">
        <v>28</v>
      </c>
      <c r="AY20">
        <v>25</v>
      </c>
      <c r="AZ20">
        <v>24</v>
      </c>
      <c r="BA20">
        <v>21</v>
      </c>
      <c r="BB20">
        <v>19</v>
      </c>
      <c r="BD20" s="3">
        <f t="shared" si="19"/>
        <v>22.173076923076923</v>
      </c>
      <c r="BE20">
        <f t="shared" si="20"/>
        <v>21</v>
      </c>
      <c r="BF20" s="3">
        <f t="shared" si="21"/>
        <v>5.6454776412530769</v>
      </c>
      <c r="BG20" s="4"/>
      <c r="BH20">
        <f t="shared" si="22"/>
        <v>13</v>
      </c>
      <c r="BI20">
        <f t="shared" si="23"/>
        <v>36</v>
      </c>
      <c r="BJ20">
        <f t="shared" si="24"/>
        <v>0</v>
      </c>
      <c r="BK20" s="2">
        <f t="shared" si="25"/>
        <v>0</v>
      </c>
      <c r="BM20" s="4">
        <f t="shared" si="26"/>
        <v>5.0075869575629879</v>
      </c>
      <c r="BN20" s="4">
        <f t="shared" si="26"/>
        <v>0.92307692307692313</v>
      </c>
      <c r="BO20" s="4">
        <f t="shared" ref="BO20" si="37">BO31</f>
        <v>5.9306638806399112</v>
      </c>
      <c r="BQ20" s="3">
        <f t="shared" si="28"/>
        <v>16.242413042437011</v>
      </c>
      <c r="BR20" s="4">
        <f t="shared" si="0"/>
        <v>15</v>
      </c>
      <c r="BS20" s="4">
        <f t="shared" si="0"/>
        <v>12</v>
      </c>
      <c r="BU20" s="4">
        <f t="shared" si="29"/>
        <v>1</v>
      </c>
      <c r="BV20" t="s">
        <v>178</v>
      </c>
      <c r="BW20" s="3">
        <f t="shared" si="31"/>
        <v>16.242413042437011</v>
      </c>
    </row>
    <row r="21" spans="1:125" x14ac:dyDescent="0.2">
      <c r="A21" t="s">
        <v>179</v>
      </c>
      <c r="B21" t="s">
        <v>188</v>
      </c>
      <c r="C21">
        <v>63</v>
      </c>
      <c r="D21">
        <v>60</v>
      </c>
      <c r="E21">
        <v>60</v>
      </c>
      <c r="F21">
        <v>59</v>
      </c>
      <c r="G21">
        <v>58</v>
      </c>
      <c r="H21">
        <v>52</v>
      </c>
      <c r="I21">
        <v>51</v>
      </c>
      <c r="J21">
        <v>46</v>
      </c>
      <c r="K21">
        <v>45</v>
      </c>
      <c r="L21">
        <v>45</v>
      </c>
      <c r="M21">
        <v>44</v>
      </c>
      <c r="N21">
        <v>41</v>
      </c>
      <c r="O21">
        <v>40</v>
      </c>
      <c r="P21">
        <v>54</v>
      </c>
      <c r="Q21">
        <v>52</v>
      </c>
      <c r="R21">
        <v>49</v>
      </c>
      <c r="S21">
        <v>48</v>
      </c>
      <c r="T21">
        <v>46</v>
      </c>
      <c r="U21">
        <v>60</v>
      </c>
      <c r="V21">
        <v>57</v>
      </c>
      <c r="W21">
        <v>57</v>
      </c>
      <c r="X21">
        <v>56</v>
      </c>
      <c r="Y21">
        <v>68</v>
      </c>
      <c r="Z21">
        <v>65</v>
      </c>
      <c r="AA21">
        <v>62</v>
      </c>
      <c r="AB21">
        <v>58</v>
      </c>
      <c r="AC21">
        <v>58</v>
      </c>
      <c r="AD21">
        <v>56</v>
      </c>
      <c r="AE21">
        <v>50</v>
      </c>
      <c r="AF21">
        <v>48</v>
      </c>
      <c r="AG21">
        <v>47</v>
      </c>
      <c r="AH21">
        <v>45</v>
      </c>
      <c r="AI21">
        <v>45</v>
      </c>
      <c r="AJ21">
        <v>44</v>
      </c>
      <c r="AK21">
        <v>41</v>
      </c>
      <c r="AL21">
        <v>40</v>
      </c>
      <c r="AM21">
        <v>37</v>
      </c>
      <c r="AN21">
        <v>33</v>
      </c>
      <c r="AO21">
        <v>31</v>
      </c>
      <c r="AP21">
        <v>39</v>
      </c>
      <c r="AQ21">
        <v>37</v>
      </c>
      <c r="AR21">
        <v>37</v>
      </c>
      <c r="AS21">
        <v>33</v>
      </c>
      <c r="AT21">
        <v>32</v>
      </c>
      <c r="AU21">
        <v>40</v>
      </c>
      <c r="AV21">
        <v>37</v>
      </c>
      <c r="AW21">
        <v>37</v>
      </c>
      <c r="AX21">
        <v>35</v>
      </c>
      <c r="AY21">
        <v>35</v>
      </c>
      <c r="AZ21">
        <v>34</v>
      </c>
      <c r="BA21">
        <v>33</v>
      </c>
      <c r="BB21">
        <v>33</v>
      </c>
      <c r="BD21" s="3">
        <f t="shared" si="19"/>
        <v>46.78846153846154</v>
      </c>
      <c r="BE21">
        <f t="shared" si="20"/>
        <v>45.5</v>
      </c>
      <c r="BF21" s="3">
        <f t="shared" si="21"/>
        <v>10.185219083692086</v>
      </c>
      <c r="BG21" s="4"/>
      <c r="BH21">
        <f t="shared" si="22"/>
        <v>31</v>
      </c>
      <c r="BI21">
        <f t="shared" si="23"/>
        <v>68</v>
      </c>
      <c r="BJ21">
        <f t="shared" si="24"/>
        <v>0</v>
      </c>
      <c r="BK21" s="2">
        <f t="shared" si="25"/>
        <v>0</v>
      </c>
      <c r="BM21" s="4">
        <f t="shared" si="26"/>
        <v>5.9916371718974792</v>
      </c>
      <c r="BN21" s="4">
        <f t="shared" si="26"/>
        <v>0.92307692307692313</v>
      </c>
      <c r="BO21" s="4">
        <f t="shared" ref="BO21" si="38">BO32</f>
        <v>6.9147140949744026</v>
      </c>
      <c r="BQ21" s="3">
        <f t="shared" si="28"/>
        <v>39.87374744348714</v>
      </c>
      <c r="BR21" s="4">
        <f t="shared" si="0"/>
        <v>18</v>
      </c>
      <c r="BS21" s="4">
        <f t="shared" si="0"/>
        <v>12</v>
      </c>
      <c r="BU21" s="4">
        <f t="shared" si="29"/>
        <v>19</v>
      </c>
      <c r="BV21" t="s">
        <v>179</v>
      </c>
      <c r="BW21" s="3">
        <f t="shared" si="31"/>
        <v>39.87374744348714</v>
      </c>
    </row>
    <row r="22" spans="1:125" x14ac:dyDescent="0.2">
      <c r="A22" t="s">
        <v>180</v>
      </c>
      <c r="B22" t="s">
        <v>206</v>
      </c>
      <c r="C22">
        <v>16</v>
      </c>
      <c r="D22">
        <v>20</v>
      </c>
      <c r="E22">
        <v>19</v>
      </c>
      <c r="F22">
        <v>30</v>
      </c>
      <c r="G22">
        <v>29</v>
      </c>
      <c r="H22">
        <v>26</v>
      </c>
      <c r="I22">
        <v>26</v>
      </c>
      <c r="J22">
        <v>25</v>
      </c>
      <c r="K22">
        <v>25</v>
      </c>
      <c r="L22">
        <v>24</v>
      </c>
      <c r="M22">
        <v>20</v>
      </c>
      <c r="N22">
        <v>18</v>
      </c>
      <c r="O22">
        <v>18</v>
      </c>
      <c r="P22">
        <v>19</v>
      </c>
      <c r="Q22">
        <v>19</v>
      </c>
      <c r="R22">
        <v>19</v>
      </c>
      <c r="S22">
        <v>23</v>
      </c>
      <c r="T22">
        <v>23</v>
      </c>
      <c r="U22">
        <v>22</v>
      </c>
      <c r="V22">
        <v>21</v>
      </c>
      <c r="W22">
        <v>23</v>
      </c>
      <c r="X22">
        <v>22</v>
      </c>
      <c r="Y22">
        <v>16</v>
      </c>
      <c r="Z22">
        <v>21</v>
      </c>
      <c r="AA22">
        <v>21</v>
      </c>
      <c r="AB22">
        <v>18</v>
      </c>
      <c r="AC22">
        <v>20</v>
      </c>
      <c r="AD22">
        <v>19</v>
      </c>
      <c r="AE22">
        <v>21</v>
      </c>
      <c r="AF22">
        <v>18</v>
      </c>
      <c r="AG22">
        <v>17</v>
      </c>
      <c r="AH22">
        <v>20</v>
      </c>
      <c r="AI22">
        <v>26</v>
      </c>
      <c r="AJ22">
        <v>26</v>
      </c>
      <c r="AK22">
        <v>26</v>
      </c>
      <c r="AL22">
        <v>25</v>
      </c>
      <c r="AM22">
        <v>23</v>
      </c>
      <c r="AN22">
        <v>23</v>
      </c>
      <c r="AO22">
        <v>22</v>
      </c>
      <c r="AP22">
        <v>20</v>
      </c>
      <c r="AQ22">
        <v>20</v>
      </c>
      <c r="AR22">
        <v>19</v>
      </c>
      <c r="AS22">
        <v>19</v>
      </c>
      <c r="AT22">
        <v>19</v>
      </c>
      <c r="AU22">
        <v>24</v>
      </c>
      <c r="AV22">
        <v>23</v>
      </c>
      <c r="AW22">
        <v>21</v>
      </c>
      <c r="AX22">
        <v>24</v>
      </c>
      <c r="AY22">
        <v>21</v>
      </c>
      <c r="AZ22">
        <v>20</v>
      </c>
      <c r="BA22">
        <v>19</v>
      </c>
      <c r="BB22">
        <v>19</v>
      </c>
      <c r="BD22" s="3">
        <f t="shared" si="19"/>
        <v>21.48076923076923</v>
      </c>
      <c r="BE22">
        <f t="shared" si="20"/>
        <v>21</v>
      </c>
      <c r="BF22" s="3">
        <f t="shared" si="21"/>
        <v>3.1591161869985513</v>
      </c>
      <c r="BG22" s="4"/>
      <c r="BH22">
        <f t="shared" si="22"/>
        <v>16</v>
      </c>
      <c r="BI22">
        <f t="shared" si="23"/>
        <v>30</v>
      </c>
      <c r="BJ22">
        <f t="shared" si="24"/>
        <v>0</v>
      </c>
      <c r="BK22" s="2">
        <f t="shared" si="25"/>
        <v>0</v>
      </c>
      <c r="BM22" s="4">
        <f t="shared" si="26"/>
        <v>7.5060808266823917</v>
      </c>
      <c r="BN22" s="4">
        <f t="shared" si="26"/>
        <v>0.75961538461538458</v>
      </c>
      <c r="BO22" s="4">
        <f t="shared" ref="BO22" si="39">BO33</f>
        <v>8.2656962112977759</v>
      </c>
      <c r="BQ22" s="3">
        <f t="shared" si="28"/>
        <v>13.215073019471454</v>
      </c>
      <c r="BR22" s="4">
        <f t="shared" si="0"/>
        <v>30</v>
      </c>
      <c r="BS22" s="4">
        <f t="shared" si="0"/>
        <v>14</v>
      </c>
      <c r="BU22" s="4">
        <f t="shared" si="29"/>
        <v>2</v>
      </c>
      <c r="BV22" t="s">
        <v>180</v>
      </c>
      <c r="BW22" s="3">
        <f t="shared" si="31"/>
        <v>13.215073019471454</v>
      </c>
    </row>
    <row r="23" spans="1:125" x14ac:dyDescent="0.2">
      <c r="C23" t="s">
        <v>105</v>
      </c>
      <c r="D23" t="s">
        <v>106</v>
      </c>
      <c r="E23" t="s">
        <v>107</v>
      </c>
      <c r="F23" t="s">
        <v>108</v>
      </c>
      <c r="G23" t="s">
        <v>109</v>
      </c>
      <c r="H23" t="s">
        <v>110</v>
      </c>
      <c r="I23" t="s">
        <v>111</v>
      </c>
      <c r="J23" t="s">
        <v>112</v>
      </c>
      <c r="K23" t="s">
        <v>113</v>
      </c>
      <c r="L23" t="s">
        <v>114</v>
      </c>
      <c r="M23" t="s">
        <v>115</v>
      </c>
      <c r="N23" t="s">
        <v>116</v>
      </c>
      <c r="O23" t="s">
        <v>117</v>
      </c>
      <c r="P23" t="s">
        <v>118</v>
      </c>
      <c r="Q23" t="s">
        <v>119</v>
      </c>
      <c r="R23" t="s">
        <v>120</v>
      </c>
      <c r="S23" t="s">
        <v>121</v>
      </c>
      <c r="T23" t="s">
        <v>122</v>
      </c>
      <c r="U23" t="s">
        <v>123</v>
      </c>
      <c r="V23" t="s">
        <v>124</v>
      </c>
      <c r="W23" t="s">
        <v>125</v>
      </c>
      <c r="X23" t="s">
        <v>126</v>
      </c>
      <c r="Y23" t="s">
        <v>127</v>
      </c>
      <c r="Z23" t="s">
        <v>128</v>
      </c>
      <c r="AA23" t="s">
        <v>129</v>
      </c>
      <c r="AB23" t="s">
        <v>130</v>
      </c>
      <c r="AC23" t="s">
        <v>131</v>
      </c>
      <c r="AD23" t="s">
        <v>132</v>
      </c>
      <c r="AE23" t="s">
        <v>133</v>
      </c>
      <c r="AF23" t="s">
        <v>134</v>
      </c>
      <c r="AG23" t="s">
        <v>135</v>
      </c>
      <c r="AH23" t="s">
        <v>136</v>
      </c>
      <c r="AI23" t="s">
        <v>137</v>
      </c>
      <c r="AJ23" t="s">
        <v>138</v>
      </c>
      <c r="AK23" t="s">
        <v>139</v>
      </c>
      <c r="AL23" t="s">
        <v>140</v>
      </c>
      <c r="AM23" t="s">
        <v>141</v>
      </c>
      <c r="AN23" t="s">
        <v>142</v>
      </c>
      <c r="AO23" t="s">
        <v>143</v>
      </c>
      <c r="AP23" t="s">
        <v>144</v>
      </c>
      <c r="AQ23" t="s">
        <v>145</v>
      </c>
      <c r="AR23" t="s">
        <v>146</v>
      </c>
      <c r="AS23" t="s">
        <v>147</v>
      </c>
      <c r="AT23" t="s">
        <v>148</v>
      </c>
      <c r="AU23" t="s">
        <v>149</v>
      </c>
      <c r="AV23" t="s">
        <v>150</v>
      </c>
      <c r="AW23" t="s">
        <v>151</v>
      </c>
      <c r="AX23" t="s">
        <v>152</v>
      </c>
      <c r="AY23" t="s">
        <v>153</v>
      </c>
      <c r="AZ23" t="s">
        <v>154</v>
      </c>
      <c r="BA23" t="s">
        <v>155</v>
      </c>
      <c r="BB23" t="s">
        <v>156</v>
      </c>
      <c r="BD23" t="s">
        <v>161</v>
      </c>
      <c r="BE23" t="s">
        <v>159</v>
      </c>
      <c r="BF23" t="s">
        <v>169</v>
      </c>
      <c r="BG23" t="s">
        <v>160</v>
      </c>
      <c r="BH23" t="s">
        <v>158</v>
      </c>
      <c r="BI23" t="s">
        <v>157</v>
      </c>
      <c r="BJ23" t="s">
        <v>162</v>
      </c>
      <c r="BK23" t="s">
        <v>163</v>
      </c>
      <c r="BM23" t="s">
        <v>164</v>
      </c>
      <c r="BN23" t="s">
        <v>165</v>
      </c>
      <c r="BO23" t="s">
        <v>166</v>
      </c>
      <c r="BR23" t="s">
        <v>167</v>
      </c>
      <c r="BS23" t="s">
        <v>168</v>
      </c>
    </row>
    <row r="24" spans="1:125" x14ac:dyDescent="0.2">
      <c r="A24" t="s">
        <v>181</v>
      </c>
      <c r="B24" t="s">
        <v>188</v>
      </c>
      <c r="C24">
        <v>50</v>
      </c>
      <c r="D24">
        <v>32</v>
      </c>
      <c r="E24">
        <v>37</v>
      </c>
      <c r="F24">
        <v>30</v>
      </c>
      <c r="G24">
        <v>34</v>
      </c>
      <c r="H24">
        <v>28</v>
      </c>
      <c r="I24">
        <v>20</v>
      </c>
      <c r="J24">
        <v>7</v>
      </c>
      <c r="K24">
        <v>3</v>
      </c>
      <c r="L24">
        <v>10</v>
      </c>
      <c r="M24">
        <v>15</v>
      </c>
      <c r="N24">
        <v>18</v>
      </c>
      <c r="O24">
        <v>30</v>
      </c>
      <c r="P24">
        <v>30</v>
      </c>
      <c r="Q24">
        <v>31</v>
      </c>
      <c r="R24">
        <v>26</v>
      </c>
      <c r="S24">
        <v>24</v>
      </c>
      <c r="T24">
        <v>22</v>
      </c>
      <c r="U24">
        <v>27</v>
      </c>
      <c r="V24">
        <v>25</v>
      </c>
      <c r="W24">
        <v>14</v>
      </c>
      <c r="X24">
        <v>33</v>
      </c>
      <c r="Y24">
        <v>20</v>
      </c>
      <c r="Z24">
        <v>25</v>
      </c>
      <c r="AA24">
        <v>21</v>
      </c>
      <c r="AB24">
        <v>31</v>
      </c>
      <c r="AC24">
        <v>10</v>
      </c>
      <c r="AD24">
        <v>22</v>
      </c>
      <c r="AE24">
        <v>26</v>
      </c>
      <c r="AF24">
        <v>22</v>
      </c>
      <c r="AG24">
        <v>39</v>
      </c>
      <c r="AH24">
        <v>23</v>
      </c>
      <c r="AI24">
        <v>21</v>
      </c>
      <c r="AJ24">
        <v>23</v>
      </c>
      <c r="AK24">
        <v>35</v>
      </c>
      <c r="AL24">
        <v>24</v>
      </c>
      <c r="AM24">
        <v>16</v>
      </c>
      <c r="AN24">
        <v>26</v>
      </c>
      <c r="AO24">
        <v>26</v>
      </c>
      <c r="AP24">
        <v>16</v>
      </c>
      <c r="AQ24">
        <v>30</v>
      </c>
      <c r="AR24">
        <v>13</v>
      </c>
      <c r="AS24">
        <v>13</v>
      </c>
      <c r="AT24">
        <v>11</v>
      </c>
      <c r="AU24">
        <v>14</v>
      </c>
      <c r="AV24">
        <v>24</v>
      </c>
      <c r="AW24">
        <v>33</v>
      </c>
      <c r="AX24">
        <v>25</v>
      </c>
      <c r="AY24">
        <v>25</v>
      </c>
      <c r="AZ24">
        <v>42</v>
      </c>
      <c r="BA24">
        <v>42</v>
      </c>
      <c r="BB24">
        <v>27</v>
      </c>
      <c r="BD24" s="3">
        <f t="shared" ref="BD24:BD33" si="40">AVERAGE(C24:BB24)</f>
        <v>24.442307692307693</v>
      </c>
      <c r="BE24" s="3">
        <f t="shared" ref="BE24:BE33" si="41">STDEV(C24:BB24)</f>
        <v>9.3858747887731742</v>
      </c>
      <c r="BF24" s="3">
        <f t="shared" ref="BF24:BF33" si="42">BE24/BD24</f>
        <v>0.38400117153123919</v>
      </c>
      <c r="BG24">
        <f t="shared" ref="BG24:BG33" si="43">MEDIAN(C24:BB24)</f>
        <v>25</v>
      </c>
      <c r="BH24">
        <f t="shared" ref="BH24:BH33" si="44">MIN(C24:BB24)</f>
        <v>3</v>
      </c>
      <c r="BI24">
        <f t="shared" ref="BI24:BI33" si="45">MAX(C24:BB24)</f>
        <v>50</v>
      </c>
      <c r="BJ24">
        <f t="shared" ref="BJ24:BJ33" si="46">COUNTIF(C24:BB24,"=0")</f>
        <v>0</v>
      </c>
      <c r="BK24" s="2">
        <f t="shared" ref="BK24:BK33" si="47">BJ24/52</f>
        <v>0</v>
      </c>
      <c r="BM24" s="4">
        <f t="shared" ref="BM24:BM33" si="48">NORMSINV(0.99)*BE24*SQRT(3)</f>
        <v>37.819000052643162</v>
      </c>
      <c r="BN24" s="4">
        <f t="shared" ref="BN24:BN33" si="49">BD24/2</f>
        <v>12.221153846153847</v>
      </c>
      <c r="BO24" s="4">
        <f t="shared" ref="BO24:BO33" si="50">BD24/2+NORMSINV(0.99)*BE24*SQRT(3)</f>
        <v>50.040153898797008</v>
      </c>
      <c r="BR24">
        <f t="shared" ref="BR24:BR33" si="51">3*BI24</f>
        <v>150</v>
      </c>
      <c r="BS24" s="5">
        <f t="shared" ref="BS24:BS33" si="52">MAX(BW24:DT24)</f>
        <v>119</v>
      </c>
      <c r="BW24">
        <f t="shared" ref="BW24:BW33" si="53">C24+D24+E24</f>
        <v>119</v>
      </c>
      <c r="BX24">
        <f t="shared" ref="BX24:BX33" si="54">D24+E24+F24</f>
        <v>99</v>
      </c>
      <c r="BY24">
        <f t="shared" ref="BY24:BY33" si="55">E24+F24+G24</f>
        <v>101</v>
      </c>
      <c r="BZ24">
        <f t="shared" ref="BZ24:BZ33" si="56">F24+G24+H24</f>
        <v>92</v>
      </c>
      <c r="CA24">
        <f t="shared" ref="CA24:CA33" si="57">G24+H24+I24</f>
        <v>82</v>
      </c>
      <c r="CB24">
        <f t="shared" ref="CB24:CB33" si="58">H24+I24+J24</f>
        <v>55</v>
      </c>
      <c r="CC24">
        <f t="shared" ref="CC24:CC33" si="59">I24+J24+K24</f>
        <v>30</v>
      </c>
      <c r="CD24">
        <f t="shared" ref="CD24:CD33" si="60">J24+K24+L24</f>
        <v>20</v>
      </c>
      <c r="CE24">
        <f t="shared" ref="CE24:CE33" si="61">K24+L24+M24</f>
        <v>28</v>
      </c>
      <c r="CF24">
        <f t="shared" ref="CF24:CF33" si="62">L24+M24+N24</f>
        <v>43</v>
      </c>
      <c r="CG24">
        <f t="shared" ref="CG24:CG33" si="63">M24+N24+O24</f>
        <v>63</v>
      </c>
      <c r="CH24">
        <f t="shared" ref="CH24:CH33" si="64">N24+O24+P24</f>
        <v>78</v>
      </c>
      <c r="CI24">
        <f t="shared" ref="CI24:CI33" si="65">O24+P24+Q24</f>
        <v>91</v>
      </c>
      <c r="CJ24">
        <f t="shared" ref="CJ24:CJ33" si="66">P24+Q24+R24</f>
        <v>87</v>
      </c>
      <c r="CK24">
        <f t="shared" ref="CK24:CK33" si="67">Q24+R24+S24</f>
        <v>81</v>
      </c>
      <c r="CL24">
        <f t="shared" ref="CL24:CL33" si="68">R24+S24+T24</f>
        <v>72</v>
      </c>
      <c r="CM24">
        <f t="shared" ref="CM24:CM33" si="69">S24+T24+U24</f>
        <v>73</v>
      </c>
      <c r="CN24">
        <f t="shared" ref="CN24:CN33" si="70">T24+U24+V24</f>
        <v>74</v>
      </c>
      <c r="CO24">
        <f t="shared" ref="CO24:CO33" si="71">U24+V24+W24</f>
        <v>66</v>
      </c>
      <c r="CP24">
        <f t="shared" ref="CP24:CP33" si="72">V24+W24+X24</f>
        <v>72</v>
      </c>
      <c r="CQ24">
        <f t="shared" ref="CQ24:CQ33" si="73">W24+X24+Y24</f>
        <v>67</v>
      </c>
      <c r="CR24">
        <f t="shared" ref="CR24:CR33" si="74">X24+Y24+Z24</f>
        <v>78</v>
      </c>
      <c r="CS24">
        <f t="shared" ref="CS24:CS33" si="75">Y24+Z24+AA24</f>
        <v>66</v>
      </c>
      <c r="CT24">
        <f t="shared" ref="CT24:CT33" si="76">Z24+AA24+AB24</f>
        <v>77</v>
      </c>
      <c r="CU24">
        <f t="shared" ref="CU24:CU33" si="77">AA24+AB24+AC24</f>
        <v>62</v>
      </c>
      <c r="CV24">
        <f t="shared" ref="CV24:CV33" si="78">AB24+AC24+AD24</f>
        <v>63</v>
      </c>
      <c r="CW24">
        <f t="shared" ref="CW24:CW33" si="79">AC24+AD24+AE24</f>
        <v>58</v>
      </c>
      <c r="CX24">
        <f t="shared" ref="CX24:CX33" si="80">AD24+AE24+AF24</f>
        <v>70</v>
      </c>
      <c r="CY24">
        <f t="shared" ref="CY24:CY33" si="81">AE24+AF24+AG24</f>
        <v>87</v>
      </c>
      <c r="CZ24">
        <f t="shared" ref="CZ24:CZ33" si="82">AF24+AG24+AH24</f>
        <v>84</v>
      </c>
      <c r="DA24">
        <f t="shared" ref="DA24:DA33" si="83">AG24+AH24+AI24</f>
        <v>83</v>
      </c>
      <c r="DB24">
        <f t="shared" ref="DB24:DB33" si="84">AH24+AI24+AJ24</f>
        <v>67</v>
      </c>
      <c r="DC24">
        <f t="shared" ref="DC24:DC33" si="85">AI24+AJ24+AK24</f>
        <v>79</v>
      </c>
      <c r="DD24">
        <f t="shared" ref="DD24:DD33" si="86">AJ24+AK24+AL24</f>
        <v>82</v>
      </c>
      <c r="DE24">
        <f t="shared" ref="DE24:DE33" si="87">AK24+AL24+AM24</f>
        <v>75</v>
      </c>
      <c r="DF24">
        <f t="shared" ref="DF24:DF33" si="88">AL24+AM24+AN24</f>
        <v>66</v>
      </c>
      <c r="DG24">
        <f t="shared" ref="DG24:DG33" si="89">AM24+AN24+AO24</f>
        <v>68</v>
      </c>
      <c r="DH24">
        <f t="shared" ref="DH24:DH33" si="90">AN24+AO24+AP24</f>
        <v>68</v>
      </c>
      <c r="DI24">
        <f t="shared" ref="DI24:DI33" si="91">AO24+AP24+AQ24</f>
        <v>72</v>
      </c>
      <c r="DJ24">
        <f t="shared" ref="DJ24:DJ33" si="92">AP24+AQ24+AR24</f>
        <v>59</v>
      </c>
      <c r="DK24">
        <f t="shared" ref="DK24:DK33" si="93">AQ24+AR24+AS24</f>
        <v>56</v>
      </c>
      <c r="DL24">
        <f t="shared" ref="DL24:DL33" si="94">AR24+AS24+AT24</f>
        <v>37</v>
      </c>
      <c r="DM24">
        <f t="shared" ref="DM24:DM33" si="95">AS24+AT24+AU24</f>
        <v>38</v>
      </c>
      <c r="DN24">
        <f t="shared" ref="DN24:DN33" si="96">AT24+AU24+AV24</f>
        <v>49</v>
      </c>
      <c r="DO24">
        <f t="shared" ref="DO24:DO33" si="97">AU24+AV24+AW24</f>
        <v>71</v>
      </c>
      <c r="DP24">
        <f t="shared" ref="DP24:DP33" si="98">AV24+AW24+AX24</f>
        <v>82</v>
      </c>
      <c r="DQ24">
        <f t="shared" ref="DQ24:DQ33" si="99">AW24+AX24+AY24</f>
        <v>83</v>
      </c>
      <c r="DR24">
        <f t="shared" ref="DR24:DR33" si="100">AX24+AY24+AZ24</f>
        <v>92</v>
      </c>
      <c r="DS24">
        <f t="shared" ref="DS24:DS33" si="101">AY24+AZ24+BA24</f>
        <v>109</v>
      </c>
      <c r="DT24">
        <f t="shared" ref="DT24:DT33" si="102">AZ24+BA24+BB24</f>
        <v>111</v>
      </c>
      <c r="DU24">
        <f t="shared" ref="DU24:DU33" si="103">BA24+BB24</f>
        <v>69</v>
      </c>
    </row>
    <row r="25" spans="1:125" x14ac:dyDescent="0.2">
      <c r="A25" t="s">
        <v>172</v>
      </c>
      <c r="B25" t="s">
        <v>188</v>
      </c>
      <c r="C25">
        <v>14</v>
      </c>
      <c r="D25">
        <v>15</v>
      </c>
      <c r="E25">
        <v>10</v>
      </c>
      <c r="F25">
        <v>18</v>
      </c>
      <c r="G25">
        <v>18</v>
      </c>
      <c r="H25">
        <v>3</v>
      </c>
      <c r="I25">
        <v>10</v>
      </c>
      <c r="J25">
        <v>3</v>
      </c>
      <c r="K25">
        <v>0</v>
      </c>
      <c r="L25">
        <v>5</v>
      </c>
      <c r="M25">
        <v>10</v>
      </c>
      <c r="N25">
        <v>10</v>
      </c>
      <c r="O25">
        <v>32</v>
      </c>
      <c r="P25">
        <v>14</v>
      </c>
      <c r="Q25">
        <v>11</v>
      </c>
      <c r="R25">
        <v>12</v>
      </c>
      <c r="S25">
        <v>13</v>
      </c>
      <c r="T25">
        <v>16</v>
      </c>
      <c r="U25">
        <v>15</v>
      </c>
      <c r="V25">
        <v>11</v>
      </c>
      <c r="W25">
        <v>4</v>
      </c>
      <c r="X25">
        <v>12</v>
      </c>
      <c r="Y25">
        <v>10</v>
      </c>
      <c r="Z25">
        <v>10</v>
      </c>
      <c r="AA25">
        <v>5</v>
      </c>
      <c r="AB25">
        <v>5</v>
      </c>
      <c r="AC25">
        <v>7</v>
      </c>
      <c r="AD25">
        <v>10</v>
      </c>
      <c r="AE25">
        <v>12</v>
      </c>
      <c r="AF25">
        <v>8</v>
      </c>
      <c r="AG25">
        <v>15</v>
      </c>
      <c r="AH25">
        <v>17</v>
      </c>
      <c r="AI25">
        <v>14</v>
      </c>
      <c r="AJ25">
        <v>10</v>
      </c>
      <c r="AK25">
        <v>15</v>
      </c>
      <c r="AL25">
        <v>5</v>
      </c>
      <c r="AM25">
        <v>4</v>
      </c>
      <c r="AN25">
        <v>14</v>
      </c>
      <c r="AO25">
        <v>5</v>
      </c>
      <c r="AP25">
        <v>76</v>
      </c>
      <c r="AQ25">
        <v>26</v>
      </c>
      <c r="AR25">
        <v>19</v>
      </c>
      <c r="AS25">
        <v>11</v>
      </c>
      <c r="AT25">
        <v>1</v>
      </c>
      <c r="AU25">
        <v>12</v>
      </c>
      <c r="AV25">
        <v>12</v>
      </c>
      <c r="AW25">
        <v>20</v>
      </c>
      <c r="AX25">
        <v>12</v>
      </c>
      <c r="AY25">
        <v>12</v>
      </c>
      <c r="AZ25">
        <v>8</v>
      </c>
      <c r="BA25">
        <v>14</v>
      </c>
      <c r="BB25">
        <v>135</v>
      </c>
      <c r="BD25" s="3">
        <f t="shared" si="40"/>
        <v>15</v>
      </c>
      <c r="BE25" s="3">
        <f t="shared" si="41"/>
        <v>20.062646981930591</v>
      </c>
      <c r="BF25" s="3">
        <f t="shared" si="42"/>
        <v>1.3375097987953728</v>
      </c>
      <c r="BG25">
        <f t="shared" si="43"/>
        <v>12</v>
      </c>
      <c r="BH25">
        <f t="shared" si="44"/>
        <v>0</v>
      </c>
      <c r="BI25">
        <f t="shared" si="45"/>
        <v>135</v>
      </c>
      <c r="BJ25">
        <f t="shared" si="46"/>
        <v>1</v>
      </c>
      <c r="BK25" s="2">
        <f t="shared" si="47"/>
        <v>1.9230769230769232E-2</v>
      </c>
      <c r="BM25" s="4">
        <f t="shared" si="48"/>
        <v>80.839481065032416</v>
      </c>
      <c r="BN25" s="4">
        <f t="shared" si="49"/>
        <v>7.5</v>
      </c>
      <c r="BO25" s="4">
        <f t="shared" si="50"/>
        <v>88.339481065032416</v>
      </c>
      <c r="BR25">
        <f t="shared" si="51"/>
        <v>405</v>
      </c>
      <c r="BS25" s="5">
        <f t="shared" si="52"/>
        <v>157</v>
      </c>
      <c r="BW25">
        <f t="shared" si="53"/>
        <v>39</v>
      </c>
      <c r="BX25">
        <f t="shared" si="54"/>
        <v>43</v>
      </c>
      <c r="BY25">
        <f t="shared" si="55"/>
        <v>46</v>
      </c>
      <c r="BZ25">
        <f t="shared" si="56"/>
        <v>39</v>
      </c>
      <c r="CA25">
        <f t="shared" si="57"/>
        <v>31</v>
      </c>
      <c r="CB25">
        <f t="shared" si="58"/>
        <v>16</v>
      </c>
      <c r="CC25">
        <f t="shared" si="59"/>
        <v>13</v>
      </c>
      <c r="CD25">
        <f t="shared" si="60"/>
        <v>8</v>
      </c>
      <c r="CE25">
        <f t="shared" si="61"/>
        <v>15</v>
      </c>
      <c r="CF25">
        <f t="shared" si="62"/>
        <v>25</v>
      </c>
      <c r="CG25">
        <f t="shared" si="63"/>
        <v>52</v>
      </c>
      <c r="CH25">
        <f t="shared" si="64"/>
        <v>56</v>
      </c>
      <c r="CI25">
        <f t="shared" si="65"/>
        <v>57</v>
      </c>
      <c r="CJ25">
        <f t="shared" si="66"/>
        <v>37</v>
      </c>
      <c r="CK25">
        <f t="shared" si="67"/>
        <v>36</v>
      </c>
      <c r="CL25">
        <f t="shared" si="68"/>
        <v>41</v>
      </c>
      <c r="CM25">
        <f t="shared" si="69"/>
        <v>44</v>
      </c>
      <c r="CN25">
        <f t="shared" si="70"/>
        <v>42</v>
      </c>
      <c r="CO25">
        <f t="shared" si="71"/>
        <v>30</v>
      </c>
      <c r="CP25">
        <f t="shared" si="72"/>
        <v>27</v>
      </c>
      <c r="CQ25">
        <f t="shared" si="73"/>
        <v>26</v>
      </c>
      <c r="CR25">
        <f t="shared" si="74"/>
        <v>32</v>
      </c>
      <c r="CS25">
        <f t="shared" si="75"/>
        <v>25</v>
      </c>
      <c r="CT25">
        <f t="shared" si="76"/>
        <v>20</v>
      </c>
      <c r="CU25">
        <f t="shared" si="77"/>
        <v>17</v>
      </c>
      <c r="CV25">
        <f t="shared" si="78"/>
        <v>22</v>
      </c>
      <c r="CW25">
        <f t="shared" si="79"/>
        <v>29</v>
      </c>
      <c r="CX25">
        <f t="shared" si="80"/>
        <v>30</v>
      </c>
      <c r="CY25">
        <f t="shared" si="81"/>
        <v>35</v>
      </c>
      <c r="CZ25">
        <f t="shared" si="82"/>
        <v>40</v>
      </c>
      <c r="DA25">
        <f t="shared" si="83"/>
        <v>46</v>
      </c>
      <c r="DB25">
        <f t="shared" si="84"/>
        <v>41</v>
      </c>
      <c r="DC25">
        <f t="shared" si="85"/>
        <v>39</v>
      </c>
      <c r="DD25">
        <f t="shared" si="86"/>
        <v>30</v>
      </c>
      <c r="DE25">
        <f t="shared" si="87"/>
        <v>24</v>
      </c>
      <c r="DF25">
        <f t="shared" si="88"/>
        <v>23</v>
      </c>
      <c r="DG25">
        <f t="shared" si="89"/>
        <v>23</v>
      </c>
      <c r="DH25">
        <f t="shared" si="90"/>
        <v>95</v>
      </c>
      <c r="DI25">
        <f t="shared" si="91"/>
        <v>107</v>
      </c>
      <c r="DJ25">
        <f t="shared" si="92"/>
        <v>121</v>
      </c>
      <c r="DK25">
        <f t="shared" si="93"/>
        <v>56</v>
      </c>
      <c r="DL25">
        <f t="shared" si="94"/>
        <v>31</v>
      </c>
      <c r="DM25">
        <f t="shared" si="95"/>
        <v>24</v>
      </c>
      <c r="DN25">
        <f t="shared" si="96"/>
        <v>25</v>
      </c>
      <c r="DO25">
        <f t="shared" si="97"/>
        <v>44</v>
      </c>
      <c r="DP25">
        <f t="shared" si="98"/>
        <v>44</v>
      </c>
      <c r="DQ25">
        <f t="shared" si="99"/>
        <v>44</v>
      </c>
      <c r="DR25">
        <f t="shared" si="100"/>
        <v>32</v>
      </c>
      <c r="DS25">
        <f t="shared" si="101"/>
        <v>34</v>
      </c>
      <c r="DT25">
        <f t="shared" si="102"/>
        <v>157</v>
      </c>
      <c r="DU25">
        <f t="shared" si="103"/>
        <v>149</v>
      </c>
    </row>
    <row r="26" spans="1:125" x14ac:dyDescent="0.2">
      <c r="A26" t="s">
        <v>173</v>
      </c>
      <c r="B26" t="s">
        <v>206</v>
      </c>
      <c r="C26">
        <v>8</v>
      </c>
      <c r="D26">
        <v>11</v>
      </c>
      <c r="E26">
        <v>6</v>
      </c>
      <c r="F26">
        <v>7</v>
      </c>
      <c r="G26">
        <v>11</v>
      </c>
      <c r="H26">
        <v>16</v>
      </c>
      <c r="I26">
        <v>26</v>
      </c>
      <c r="J26">
        <v>6</v>
      </c>
      <c r="K26">
        <v>0</v>
      </c>
      <c r="L26">
        <v>16</v>
      </c>
      <c r="M26">
        <v>15</v>
      </c>
      <c r="N26">
        <v>39</v>
      </c>
      <c r="O26">
        <v>20</v>
      </c>
      <c r="P26">
        <v>11</v>
      </c>
      <c r="Q26">
        <v>12</v>
      </c>
      <c r="R26">
        <v>15</v>
      </c>
      <c r="S26">
        <v>17</v>
      </c>
      <c r="T26">
        <v>9</v>
      </c>
      <c r="U26">
        <v>16</v>
      </c>
      <c r="V26">
        <v>13</v>
      </c>
      <c r="W26">
        <v>5</v>
      </c>
      <c r="X26">
        <v>8</v>
      </c>
      <c r="Y26">
        <v>2</v>
      </c>
      <c r="Z26">
        <v>5</v>
      </c>
      <c r="AA26">
        <v>2</v>
      </c>
      <c r="AB26">
        <v>2</v>
      </c>
      <c r="AC26">
        <v>1</v>
      </c>
      <c r="AD26">
        <v>6</v>
      </c>
      <c r="AE26">
        <v>5</v>
      </c>
      <c r="AF26">
        <v>12</v>
      </c>
      <c r="AG26">
        <v>3</v>
      </c>
      <c r="AH26">
        <v>10</v>
      </c>
      <c r="AI26">
        <v>6</v>
      </c>
      <c r="AJ26">
        <v>9</v>
      </c>
      <c r="AK26">
        <v>26</v>
      </c>
      <c r="AL26">
        <v>11</v>
      </c>
      <c r="AM26">
        <v>12</v>
      </c>
      <c r="AN26">
        <v>9</v>
      </c>
      <c r="AO26">
        <v>6</v>
      </c>
      <c r="AP26">
        <v>10</v>
      </c>
      <c r="AQ26">
        <v>2</v>
      </c>
      <c r="AR26">
        <v>9</v>
      </c>
      <c r="AS26">
        <v>9</v>
      </c>
      <c r="AT26">
        <v>15</v>
      </c>
      <c r="AU26">
        <v>5</v>
      </c>
      <c r="AV26">
        <v>8</v>
      </c>
      <c r="AW26">
        <v>5</v>
      </c>
      <c r="AX26">
        <v>5</v>
      </c>
      <c r="AY26">
        <v>10</v>
      </c>
      <c r="AZ26">
        <v>4</v>
      </c>
      <c r="BA26">
        <v>8</v>
      </c>
      <c r="BB26">
        <v>11</v>
      </c>
      <c r="BD26" s="3">
        <f t="shared" si="40"/>
        <v>9.9038461538461533</v>
      </c>
      <c r="BE26" s="3">
        <f t="shared" si="41"/>
        <v>6.9909173999922443</v>
      </c>
      <c r="BF26" s="3">
        <f t="shared" si="42"/>
        <v>0.7058790384458189</v>
      </c>
      <c r="BG26">
        <f t="shared" si="43"/>
        <v>9</v>
      </c>
      <c r="BH26">
        <f t="shared" si="44"/>
        <v>0</v>
      </c>
      <c r="BI26">
        <f t="shared" si="45"/>
        <v>39</v>
      </c>
      <c r="BJ26">
        <f t="shared" si="46"/>
        <v>1</v>
      </c>
      <c r="BK26" s="2">
        <f t="shared" si="47"/>
        <v>1.9230769230769232E-2</v>
      </c>
      <c r="BM26" s="4">
        <f t="shared" si="48"/>
        <v>28.168871998439364</v>
      </c>
      <c r="BN26" s="4">
        <f t="shared" si="49"/>
        <v>4.9519230769230766</v>
      </c>
      <c r="BO26" s="4">
        <f t="shared" si="50"/>
        <v>33.120795075362437</v>
      </c>
      <c r="BR26">
        <f t="shared" si="51"/>
        <v>117</v>
      </c>
      <c r="BS26" s="5">
        <f t="shared" si="52"/>
        <v>74</v>
      </c>
      <c r="BW26">
        <f t="shared" si="53"/>
        <v>25</v>
      </c>
      <c r="BX26">
        <f t="shared" si="54"/>
        <v>24</v>
      </c>
      <c r="BY26">
        <f t="shared" si="55"/>
        <v>24</v>
      </c>
      <c r="BZ26">
        <f t="shared" si="56"/>
        <v>34</v>
      </c>
      <c r="CA26">
        <f t="shared" si="57"/>
        <v>53</v>
      </c>
      <c r="CB26">
        <f t="shared" si="58"/>
        <v>48</v>
      </c>
      <c r="CC26">
        <f t="shared" si="59"/>
        <v>32</v>
      </c>
      <c r="CD26">
        <f t="shared" si="60"/>
        <v>22</v>
      </c>
      <c r="CE26">
        <f t="shared" si="61"/>
        <v>31</v>
      </c>
      <c r="CF26">
        <f t="shared" si="62"/>
        <v>70</v>
      </c>
      <c r="CG26">
        <f t="shared" si="63"/>
        <v>74</v>
      </c>
      <c r="CH26">
        <f t="shared" si="64"/>
        <v>70</v>
      </c>
      <c r="CI26">
        <f t="shared" si="65"/>
        <v>43</v>
      </c>
      <c r="CJ26">
        <f t="shared" si="66"/>
        <v>38</v>
      </c>
      <c r="CK26">
        <f t="shared" si="67"/>
        <v>44</v>
      </c>
      <c r="CL26">
        <f t="shared" si="68"/>
        <v>41</v>
      </c>
      <c r="CM26">
        <f t="shared" si="69"/>
        <v>42</v>
      </c>
      <c r="CN26">
        <f t="shared" si="70"/>
        <v>38</v>
      </c>
      <c r="CO26">
        <f t="shared" si="71"/>
        <v>34</v>
      </c>
      <c r="CP26">
        <f t="shared" si="72"/>
        <v>26</v>
      </c>
      <c r="CQ26">
        <f t="shared" si="73"/>
        <v>15</v>
      </c>
      <c r="CR26">
        <f t="shared" si="74"/>
        <v>15</v>
      </c>
      <c r="CS26">
        <f t="shared" si="75"/>
        <v>9</v>
      </c>
      <c r="CT26">
        <f t="shared" si="76"/>
        <v>9</v>
      </c>
      <c r="CU26">
        <f t="shared" si="77"/>
        <v>5</v>
      </c>
      <c r="CV26">
        <f t="shared" si="78"/>
        <v>9</v>
      </c>
      <c r="CW26">
        <f t="shared" si="79"/>
        <v>12</v>
      </c>
      <c r="CX26">
        <f t="shared" si="80"/>
        <v>23</v>
      </c>
      <c r="CY26">
        <f t="shared" si="81"/>
        <v>20</v>
      </c>
      <c r="CZ26">
        <f t="shared" si="82"/>
        <v>25</v>
      </c>
      <c r="DA26">
        <f t="shared" si="83"/>
        <v>19</v>
      </c>
      <c r="DB26">
        <f t="shared" si="84"/>
        <v>25</v>
      </c>
      <c r="DC26">
        <f t="shared" si="85"/>
        <v>41</v>
      </c>
      <c r="DD26">
        <f t="shared" si="86"/>
        <v>46</v>
      </c>
      <c r="DE26">
        <f t="shared" si="87"/>
        <v>49</v>
      </c>
      <c r="DF26">
        <f t="shared" si="88"/>
        <v>32</v>
      </c>
      <c r="DG26">
        <f t="shared" si="89"/>
        <v>27</v>
      </c>
      <c r="DH26">
        <f t="shared" si="90"/>
        <v>25</v>
      </c>
      <c r="DI26">
        <f t="shared" si="91"/>
        <v>18</v>
      </c>
      <c r="DJ26">
        <f t="shared" si="92"/>
        <v>21</v>
      </c>
      <c r="DK26">
        <f t="shared" si="93"/>
        <v>20</v>
      </c>
      <c r="DL26">
        <f t="shared" si="94"/>
        <v>33</v>
      </c>
      <c r="DM26">
        <f t="shared" si="95"/>
        <v>29</v>
      </c>
      <c r="DN26">
        <f t="shared" si="96"/>
        <v>28</v>
      </c>
      <c r="DO26">
        <f t="shared" si="97"/>
        <v>18</v>
      </c>
      <c r="DP26">
        <f t="shared" si="98"/>
        <v>18</v>
      </c>
      <c r="DQ26">
        <f t="shared" si="99"/>
        <v>20</v>
      </c>
      <c r="DR26">
        <f t="shared" si="100"/>
        <v>19</v>
      </c>
      <c r="DS26">
        <f t="shared" si="101"/>
        <v>22</v>
      </c>
      <c r="DT26">
        <f t="shared" si="102"/>
        <v>23</v>
      </c>
      <c r="DU26">
        <f t="shared" si="103"/>
        <v>19</v>
      </c>
    </row>
    <row r="27" spans="1:125" x14ac:dyDescent="0.2">
      <c r="A27" t="s">
        <v>174</v>
      </c>
      <c r="B27" t="s">
        <v>190</v>
      </c>
      <c r="C27">
        <v>6</v>
      </c>
      <c r="D27">
        <v>6</v>
      </c>
      <c r="E27">
        <v>5</v>
      </c>
      <c r="F27">
        <v>6</v>
      </c>
      <c r="G27">
        <v>8</v>
      </c>
      <c r="H27">
        <v>3</v>
      </c>
      <c r="I27">
        <v>2</v>
      </c>
      <c r="J27">
        <v>2</v>
      </c>
      <c r="K27">
        <v>1</v>
      </c>
      <c r="L27">
        <v>3</v>
      </c>
      <c r="M27">
        <v>13</v>
      </c>
      <c r="N27">
        <v>16</v>
      </c>
      <c r="O27">
        <v>13</v>
      </c>
      <c r="P27">
        <v>5</v>
      </c>
      <c r="Q27">
        <v>9</v>
      </c>
      <c r="R27">
        <v>11</v>
      </c>
      <c r="S27">
        <v>13</v>
      </c>
      <c r="T27">
        <v>19</v>
      </c>
      <c r="U27">
        <v>13</v>
      </c>
      <c r="V27">
        <v>4</v>
      </c>
      <c r="W27">
        <v>9</v>
      </c>
      <c r="X27">
        <v>6</v>
      </c>
      <c r="Y27">
        <v>5</v>
      </c>
      <c r="Z27">
        <v>8</v>
      </c>
      <c r="AA27">
        <v>6</v>
      </c>
      <c r="AB27">
        <v>7</v>
      </c>
      <c r="AC27">
        <v>6</v>
      </c>
      <c r="AD27">
        <v>8</v>
      </c>
      <c r="AE27">
        <v>10</v>
      </c>
      <c r="AF27">
        <v>6</v>
      </c>
      <c r="AG27">
        <v>11</v>
      </c>
      <c r="AH27">
        <v>6</v>
      </c>
      <c r="AI27">
        <v>11</v>
      </c>
      <c r="AJ27">
        <v>8</v>
      </c>
      <c r="AK27">
        <v>8</v>
      </c>
      <c r="AL27">
        <v>7</v>
      </c>
      <c r="AM27">
        <v>14</v>
      </c>
      <c r="AN27">
        <v>6</v>
      </c>
      <c r="AO27">
        <v>11</v>
      </c>
      <c r="AP27">
        <v>15</v>
      </c>
      <c r="AQ27">
        <v>3</v>
      </c>
      <c r="AR27">
        <v>4</v>
      </c>
      <c r="AS27">
        <v>6</v>
      </c>
      <c r="AT27">
        <v>5</v>
      </c>
      <c r="AU27">
        <v>6</v>
      </c>
      <c r="AV27">
        <v>8</v>
      </c>
      <c r="AW27">
        <v>8</v>
      </c>
      <c r="AX27">
        <v>7</v>
      </c>
      <c r="AY27">
        <v>2</v>
      </c>
      <c r="AZ27">
        <v>11</v>
      </c>
      <c r="BA27">
        <v>4</v>
      </c>
      <c r="BB27">
        <v>5</v>
      </c>
      <c r="BD27" s="3">
        <f t="shared" si="40"/>
        <v>7.5961538461538458</v>
      </c>
      <c r="BE27" s="3">
        <f t="shared" si="41"/>
        <v>3.9220823569990162</v>
      </c>
      <c r="BF27" s="3">
        <f t="shared" si="42"/>
        <v>0.51632476598468069</v>
      </c>
      <c r="BG27">
        <f t="shared" si="43"/>
        <v>6.5</v>
      </c>
      <c r="BH27">
        <f t="shared" si="44"/>
        <v>1</v>
      </c>
      <c r="BI27">
        <f t="shared" si="45"/>
        <v>19</v>
      </c>
      <c r="BJ27">
        <f t="shared" si="46"/>
        <v>0</v>
      </c>
      <c r="BK27" s="2">
        <f t="shared" si="47"/>
        <v>0</v>
      </c>
      <c r="BM27" s="4">
        <f t="shared" si="48"/>
        <v>15.803453189386163</v>
      </c>
      <c r="BN27" s="4">
        <f t="shared" si="49"/>
        <v>3.7980769230769229</v>
      </c>
      <c r="BO27" s="4">
        <f t="shared" si="50"/>
        <v>19.601530112463085</v>
      </c>
      <c r="BR27">
        <f t="shared" si="51"/>
        <v>57</v>
      </c>
      <c r="BS27" s="5">
        <f t="shared" si="52"/>
        <v>45</v>
      </c>
      <c r="BW27">
        <f t="shared" si="53"/>
        <v>17</v>
      </c>
      <c r="BX27">
        <f t="shared" si="54"/>
        <v>17</v>
      </c>
      <c r="BY27">
        <f t="shared" si="55"/>
        <v>19</v>
      </c>
      <c r="BZ27">
        <f t="shared" si="56"/>
        <v>17</v>
      </c>
      <c r="CA27">
        <f t="shared" si="57"/>
        <v>13</v>
      </c>
      <c r="CB27">
        <f t="shared" si="58"/>
        <v>7</v>
      </c>
      <c r="CC27">
        <f t="shared" si="59"/>
        <v>5</v>
      </c>
      <c r="CD27">
        <f t="shared" si="60"/>
        <v>6</v>
      </c>
      <c r="CE27">
        <f t="shared" si="61"/>
        <v>17</v>
      </c>
      <c r="CF27">
        <f t="shared" si="62"/>
        <v>32</v>
      </c>
      <c r="CG27">
        <f t="shared" si="63"/>
        <v>42</v>
      </c>
      <c r="CH27">
        <f t="shared" si="64"/>
        <v>34</v>
      </c>
      <c r="CI27">
        <f t="shared" si="65"/>
        <v>27</v>
      </c>
      <c r="CJ27">
        <f t="shared" si="66"/>
        <v>25</v>
      </c>
      <c r="CK27">
        <f t="shared" si="67"/>
        <v>33</v>
      </c>
      <c r="CL27">
        <f t="shared" si="68"/>
        <v>43</v>
      </c>
      <c r="CM27">
        <f t="shared" si="69"/>
        <v>45</v>
      </c>
      <c r="CN27">
        <f t="shared" si="70"/>
        <v>36</v>
      </c>
      <c r="CO27">
        <f t="shared" si="71"/>
        <v>26</v>
      </c>
      <c r="CP27">
        <f t="shared" si="72"/>
        <v>19</v>
      </c>
      <c r="CQ27">
        <f t="shared" si="73"/>
        <v>20</v>
      </c>
      <c r="CR27">
        <f t="shared" si="74"/>
        <v>19</v>
      </c>
      <c r="CS27">
        <f t="shared" si="75"/>
        <v>19</v>
      </c>
      <c r="CT27">
        <f t="shared" si="76"/>
        <v>21</v>
      </c>
      <c r="CU27">
        <f t="shared" si="77"/>
        <v>19</v>
      </c>
      <c r="CV27">
        <f t="shared" si="78"/>
        <v>21</v>
      </c>
      <c r="CW27">
        <f t="shared" si="79"/>
        <v>24</v>
      </c>
      <c r="CX27">
        <f t="shared" si="80"/>
        <v>24</v>
      </c>
      <c r="CY27">
        <f t="shared" si="81"/>
        <v>27</v>
      </c>
      <c r="CZ27">
        <f t="shared" si="82"/>
        <v>23</v>
      </c>
      <c r="DA27">
        <f t="shared" si="83"/>
        <v>28</v>
      </c>
      <c r="DB27">
        <f t="shared" si="84"/>
        <v>25</v>
      </c>
      <c r="DC27">
        <f t="shared" si="85"/>
        <v>27</v>
      </c>
      <c r="DD27">
        <f t="shared" si="86"/>
        <v>23</v>
      </c>
      <c r="DE27">
        <f t="shared" si="87"/>
        <v>29</v>
      </c>
      <c r="DF27">
        <f t="shared" si="88"/>
        <v>27</v>
      </c>
      <c r="DG27">
        <f t="shared" si="89"/>
        <v>31</v>
      </c>
      <c r="DH27">
        <f t="shared" si="90"/>
        <v>32</v>
      </c>
      <c r="DI27">
        <f t="shared" si="91"/>
        <v>29</v>
      </c>
      <c r="DJ27">
        <f t="shared" si="92"/>
        <v>22</v>
      </c>
      <c r="DK27">
        <f t="shared" si="93"/>
        <v>13</v>
      </c>
      <c r="DL27">
        <f t="shared" si="94"/>
        <v>15</v>
      </c>
      <c r="DM27">
        <f t="shared" si="95"/>
        <v>17</v>
      </c>
      <c r="DN27">
        <f t="shared" si="96"/>
        <v>19</v>
      </c>
      <c r="DO27">
        <f t="shared" si="97"/>
        <v>22</v>
      </c>
      <c r="DP27">
        <f t="shared" si="98"/>
        <v>23</v>
      </c>
      <c r="DQ27">
        <f t="shared" si="99"/>
        <v>17</v>
      </c>
      <c r="DR27">
        <f t="shared" si="100"/>
        <v>20</v>
      </c>
      <c r="DS27">
        <f t="shared" si="101"/>
        <v>17</v>
      </c>
      <c r="DT27">
        <f t="shared" si="102"/>
        <v>20</v>
      </c>
      <c r="DU27">
        <f t="shared" si="103"/>
        <v>9</v>
      </c>
    </row>
    <row r="28" spans="1:125" x14ac:dyDescent="0.2">
      <c r="A28" t="s">
        <v>175</v>
      </c>
      <c r="B28" t="s">
        <v>206</v>
      </c>
      <c r="C28">
        <v>7</v>
      </c>
      <c r="D28">
        <v>3</v>
      </c>
      <c r="E28">
        <v>11</v>
      </c>
      <c r="F28">
        <v>9</v>
      </c>
      <c r="G28">
        <v>4</v>
      </c>
      <c r="H28">
        <v>4</v>
      </c>
      <c r="I28">
        <v>8</v>
      </c>
      <c r="J28">
        <v>1</v>
      </c>
      <c r="K28">
        <v>0</v>
      </c>
      <c r="L28">
        <v>2</v>
      </c>
      <c r="M28">
        <v>3</v>
      </c>
      <c r="N28">
        <v>7</v>
      </c>
      <c r="O28">
        <v>4</v>
      </c>
      <c r="P28">
        <v>3</v>
      </c>
      <c r="Q28">
        <v>10</v>
      </c>
      <c r="R28">
        <v>11</v>
      </c>
      <c r="S28">
        <v>2</v>
      </c>
      <c r="T28">
        <v>9</v>
      </c>
      <c r="U28">
        <v>4</v>
      </c>
      <c r="V28">
        <v>8</v>
      </c>
      <c r="W28">
        <v>5</v>
      </c>
      <c r="X28">
        <v>9</v>
      </c>
      <c r="Y28">
        <v>0</v>
      </c>
      <c r="Z28">
        <v>6</v>
      </c>
      <c r="AA28">
        <v>5</v>
      </c>
      <c r="AB28">
        <v>2</v>
      </c>
      <c r="AC28">
        <v>4</v>
      </c>
      <c r="AD28">
        <v>6</v>
      </c>
      <c r="AE28">
        <v>6</v>
      </c>
      <c r="AF28">
        <v>1</v>
      </c>
      <c r="AG28">
        <v>7</v>
      </c>
      <c r="AH28">
        <v>2</v>
      </c>
      <c r="AI28">
        <v>6</v>
      </c>
      <c r="AJ28">
        <v>4</v>
      </c>
      <c r="AK28">
        <v>7</v>
      </c>
      <c r="AL28">
        <v>7</v>
      </c>
      <c r="AM28">
        <v>1</v>
      </c>
      <c r="AN28">
        <v>6</v>
      </c>
      <c r="AO28">
        <v>8</v>
      </c>
      <c r="AP28">
        <v>7</v>
      </c>
      <c r="AQ28">
        <v>3</v>
      </c>
      <c r="AR28">
        <v>3</v>
      </c>
      <c r="AS28">
        <v>8</v>
      </c>
      <c r="AT28">
        <v>2</v>
      </c>
      <c r="AU28">
        <v>2</v>
      </c>
      <c r="AV28">
        <v>6</v>
      </c>
      <c r="AW28">
        <v>6</v>
      </c>
      <c r="AX28">
        <v>7</v>
      </c>
      <c r="AY28">
        <v>6</v>
      </c>
      <c r="AZ28">
        <v>4</v>
      </c>
      <c r="BA28">
        <v>6</v>
      </c>
      <c r="BB28">
        <v>2</v>
      </c>
      <c r="BD28" s="3">
        <f t="shared" si="40"/>
        <v>5.0769230769230766</v>
      </c>
      <c r="BE28" s="3">
        <f t="shared" si="41"/>
        <v>2.820416836430693</v>
      </c>
      <c r="BF28" s="3">
        <f t="shared" si="42"/>
        <v>0.55553664959998506</v>
      </c>
      <c r="BG28">
        <f t="shared" si="43"/>
        <v>5.5</v>
      </c>
      <c r="BH28">
        <f t="shared" si="44"/>
        <v>0</v>
      </c>
      <c r="BI28">
        <f t="shared" si="45"/>
        <v>11</v>
      </c>
      <c r="BJ28">
        <f t="shared" si="46"/>
        <v>2</v>
      </c>
      <c r="BK28" s="2">
        <f t="shared" si="47"/>
        <v>3.8461538461538464E-2</v>
      </c>
      <c r="BM28" s="4">
        <f t="shared" si="48"/>
        <v>11.364454234253666</v>
      </c>
      <c r="BN28" s="4">
        <f t="shared" si="49"/>
        <v>2.5384615384615383</v>
      </c>
      <c r="BO28" s="4">
        <f t="shared" si="50"/>
        <v>13.902915772715204</v>
      </c>
      <c r="BR28">
        <f t="shared" si="51"/>
        <v>33</v>
      </c>
      <c r="BS28" s="5">
        <f t="shared" si="52"/>
        <v>24</v>
      </c>
      <c r="BW28">
        <f t="shared" si="53"/>
        <v>21</v>
      </c>
      <c r="BX28">
        <f t="shared" si="54"/>
        <v>23</v>
      </c>
      <c r="BY28">
        <f t="shared" si="55"/>
        <v>24</v>
      </c>
      <c r="BZ28">
        <f t="shared" si="56"/>
        <v>17</v>
      </c>
      <c r="CA28">
        <f t="shared" si="57"/>
        <v>16</v>
      </c>
      <c r="CB28">
        <f t="shared" si="58"/>
        <v>13</v>
      </c>
      <c r="CC28">
        <f t="shared" si="59"/>
        <v>9</v>
      </c>
      <c r="CD28">
        <f t="shared" si="60"/>
        <v>3</v>
      </c>
      <c r="CE28">
        <f t="shared" si="61"/>
        <v>5</v>
      </c>
      <c r="CF28">
        <f t="shared" si="62"/>
        <v>12</v>
      </c>
      <c r="CG28">
        <f t="shared" si="63"/>
        <v>14</v>
      </c>
      <c r="CH28">
        <f t="shared" si="64"/>
        <v>14</v>
      </c>
      <c r="CI28">
        <f t="shared" si="65"/>
        <v>17</v>
      </c>
      <c r="CJ28">
        <f t="shared" si="66"/>
        <v>24</v>
      </c>
      <c r="CK28">
        <f t="shared" si="67"/>
        <v>23</v>
      </c>
      <c r="CL28">
        <f t="shared" si="68"/>
        <v>22</v>
      </c>
      <c r="CM28">
        <f t="shared" si="69"/>
        <v>15</v>
      </c>
      <c r="CN28">
        <f t="shared" si="70"/>
        <v>21</v>
      </c>
      <c r="CO28">
        <f t="shared" si="71"/>
        <v>17</v>
      </c>
      <c r="CP28">
        <f t="shared" si="72"/>
        <v>22</v>
      </c>
      <c r="CQ28">
        <f t="shared" si="73"/>
        <v>14</v>
      </c>
      <c r="CR28">
        <f t="shared" si="74"/>
        <v>15</v>
      </c>
      <c r="CS28">
        <f t="shared" si="75"/>
        <v>11</v>
      </c>
      <c r="CT28">
        <f t="shared" si="76"/>
        <v>13</v>
      </c>
      <c r="CU28">
        <f t="shared" si="77"/>
        <v>11</v>
      </c>
      <c r="CV28">
        <f t="shared" si="78"/>
        <v>12</v>
      </c>
      <c r="CW28">
        <f t="shared" si="79"/>
        <v>16</v>
      </c>
      <c r="CX28">
        <f t="shared" si="80"/>
        <v>13</v>
      </c>
      <c r="CY28">
        <f t="shared" si="81"/>
        <v>14</v>
      </c>
      <c r="CZ28">
        <f t="shared" si="82"/>
        <v>10</v>
      </c>
      <c r="DA28">
        <f t="shared" si="83"/>
        <v>15</v>
      </c>
      <c r="DB28">
        <f t="shared" si="84"/>
        <v>12</v>
      </c>
      <c r="DC28">
        <f t="shared" si="85"/>
        <v>17</v>
      </c>
      <c r="DD28">
        <f t="shared" si="86"/>
        <v>18</v>
      </c>
      <c r="DE28">
        <f t="shared" si="87"/>
        <v>15</v>
      </c>
      <c r="DF28">
        <f t="shared" si="88"/>
        <v>14</v>
      </c>
      <c r="DG28">
        <f t="shared" si="89"/>
        <v>15</v>
      </c>
      <c r="DH28">
        <f t="shared" si="90"/>
        <v>21</v>
      </c>
      <c r="DI28">
        <f t="shared" si="91"/>
        <v>18</v>
      </c>
      <c r="DJ28">
        <f t="shared" si="92"/>
        <v>13</v>
      </c>
      <c r="DK28">
        <f t="shared" si="93"/>
        <v>14</v>
      </c>
      <c r="DL28">
        <f t="shared" si="94"/>
        <v>13</v>
      </c>
      <c r="DM28">
        <f t="shared" si="95"/>
        <v>12</v>
      </c>
      <c r="DN28">
        <f t="shared" si="96"/>
        <v>10</v>
      </c>
      <c r="DO28">
        <f t="shared" si="97"/>
        <v>14</v>
      </c>
      <c r="DP28">
        <f t="shared" si="98"/>
        <v>19</v>
      </c>
      <c r="DQ28">
        <f t="shared" si="99"/>
        <v>19</v>
      </c>
      <c r="DR28">
        <f t="shared" si="100"/>
        <v>17</v>
      </c>
      <c r="DS28">
        <f t="shared" si="101"/>
        <v>16</v>
      </c>
      <c r="DT28">
        <f t="shared" si="102"/>
        <v>12</v>
      </c>
      <c r="DU28">
        <f t="shared" si="103"/>
        <v>8</v>
      </c>
    </row>
    <row r="29" spans="1:125" x14ac:dyDescent="0.2">
      <c r="A29" t="s">
        <v>176</v>
      </c>
      <c r="B29" t="s">
        <v>206</v>
      </c>
      <c r="C29">
        <v>3</v>
      </c>
      <c r="D29">
        <v>15</v>
      </c>
      <c r="E29">
        <v>1</v>
      </c>
      <c r="F29">
        <v>3</v>
      </c>
      <c r="G29">
        <v>14</v>
      </c>
      <c r="H29">
        <v>7</v>
      </c>
      <c r="I29">
        <v>12</v>
      </c>
      <c r="J29">
        <v>3</v>
      </c>
      <c r="K29">
        <v>0</v>
      </c>
      <c r="L29">
        <v>1</v>
      </c>
      <c r="M29">
        <v>0</v>
      </c>
      <c r="N29">
        <v>6</v>
      </c>
      <c r="O29">
        <v>5</v>
      </c>
      <c r="P29">
        <v>3</v>
      </c>
      <c r="Q29">
        <v>0</v>
      </c>
      <c r="R29">
        <v>10</v>
      </c>
      <c r="S29">
        <v>7</v>
      </c>
      <c r="T29">
        <v>2</v>
      </c>
      <c r="U29">
        <v>9</v>
      </c>
      <c r="V29">
        <v>2</v>
      </c>
      <c r="W29">
        <v>10</v>
      </c>
      <c r="X29">
        <v>4</v>
      </c>
      <c r="Y29">
        <v>9</v>
      </c>
      <c r="Z29">
        <v>1</v>
      </c>
      <c r="AA29">
        <v>2</v>
      </c>
      <c r="AB29">
        <v>10</v>
      </c>
      <c r="AC29">
        <v>3</v>
      </c>
      <c r="AD29">
        <v>13</v>
      </c>
      <c r="AE29">
        <v>2</v>
      </c>
      <c r="AF29">
        <v>4</v>
      </c>
      <c r="AG29">
        <v>2</v>
      </c>
      <c r="AH29">
        <v>19</v>
      </c>
      <c r="AI29">
        <v>1</v>
      </c>
      <c r="AJ29">
        <v>1</v>
      </c>
      <c r="AK29">
        <v>4</v>
      </c>
      <c r="AL29">
        <v>0</v>
      </c>
      <c r="AM29">
        <v>15</v>
      </c>
      <c r="AN29">
        <v>0</v>
      </c>
      <c r="AO29">
        <v>3</v>
      </c>
      <c r="AP29">
        <v>2</v>
      </c>
      <c r="AQ29">
        <v>2</v>
      </c>
      <c r="AR29">
        <v>0</v>
      </c>
      <c r="AS29">
        <v>1</v>
      </c>
      <c r="AT29">
        <v>2</v>
      </c>
      <c r="AU29">
        <v>2</v>
      </c>
      <c r="AV29">
        <v>1</v>
      </c>
      <c r="AW29">
        <v>1</v>
      </c>
      <c r="AX29">
        <v>5</v>
      </c>
      <c r="AY29">
        <v>3</v>
      </c>
      <c r="AZ29">
        <v>2</v>
      </c>
      <c r="BA29">
        <v>5</v>
      </c>
      <c r="BB29">
        <v>0</v>
      </c>
      <c r="BD29" s="3">
        <f t="shared" si="40"/>
        <v>4.4615384615384617</v>
      </c>
      <c r="BE29" s="3">
        <f t="shared" si="41"/>
        <v>4.6756001542490004</v>
      </c>
      <c r="BF29" s="3">
        <f t="shared" si="42"/>
        <v>1.0479793449178794</v>
      </c>
      <c r="BG29">
        <f t="shared" si="43"/>
        <v>3</v>
      </c>
      <c r="BH29">
        <f t="shared" si="44"/>
        <v>0</v>
      </c>
      <c r="BI29">
        <f t="shared" si="45"/>
        <v>19</v>
      </c>
      <c r="BJ29">
        <f t="shared" si="46"/>
        <v>7</v>
      </c>
      <c r="BK29" s="2">
        <f t="shared" si="47"/>
        <v>0.13461538461538461</v>
      </c>
      <c r="BM29" s="4">
        <f t="shared" si="48"/>
        <v>18.839642170721337</v>
      </c>
      <c r="BN29" s="4">
        <f t="shared" si="49"/>
        <v>2.2307692307692308</v>
      </c>
      <c r="BO29" s="4">
        <f t="shared" si="50"/>
        <v>21.070411401490567</v>
      </c>
      <c r="BR29">
        <f t="shared" si="51"/>
        <v>57</v>
      </c>
      <c r="BS29" s="5">
        <f t="shared" si="52"/>
        <v>33</v>
      </c>
      <c r="BW29">
        <f t="shared" si="53"/>
        <v>19</v>
      </c>
      <c r="BX29">
        <f t="shared" si="54"/>
        <v>19</v>
      </c>
      <c r="BY29">
        <f t="shared" si="55"/>
        <v>18</v>
      </c>
      <c r="BZ29">
        <f t="shared" si="56"/>
        <v>24</v>
      </c>
      <c r="CA29">
        <f t="shared" si="57"/>
        <v>33</v>
      </c>
      <c r="CB29">
        <f t="shared" si="58"/>
        <v>22</v>
      </c>
      <c r="CC29">
        <f t="shared" si="59"/>
        <v>15</v>
      </c>
      <c r="CD29">
        <f t="shared" si="60"/>
        <v>4</v>
      </c>
      <c r="CE29">
        <f t="shared" si="61"/>
        <v>1</v>
      </c>
      <c r="CF29">
        <f t="shared" si="62"/>
        <v>7</v>
      </c>
      <c r="CG29">
        <f t="shared" si="63"/>
        <v>11</v>
      </c>
      <c r="CH29">
        <f t="shared" si="64"/>
        <v>14</v>
      </c>
      <c r="CI29">
        <f t="shared" si="65"/>
        <v>8</v>
      </c>
      <c r="CJ29">
        <f t="shared" si="66"/>
        <v>13</v>
      </c>
      <c r="CK29">
        <f t="shared" si="67"/>
        <v>17</v>
      </c>
      <c r="CL29">
        <f t="shared" si="68"/>
        <v>19</v>
      </c>
      <c r="CM29">
        <f t="shared" si="69"/>
        <v>18</v>
      </c>
      <c r="CN29">
        <f t="shared" si="70"/>
        <v>13</v>
      </c>
      <c r="CO29">
        <f t="shared" si="71"/>
        <v>21</v>
      </c>
      <c r="CP29">
        <f t="shared" si="72"/>
        <v>16</v>
      </c>
      <c r="CQ29">
        <f t="shared" si="73"/>
        <v>23</v>
      </c>
      <c r="CR29">
        <f t="shared" si="74"/>
        <v>14</v>
      </c>
      <c r="CS29">
        <f t="shared" si="75"/>
        <v>12</v>
      </c>
      <c r="CT29">
        <f t="shared" si="76"/>
        <v>13</v>
      </c>
      <c r="CU29">
        <f t="shared" si="77"/>
        <v>15</v>
      </c>
      <c r="CV29">
        <f t="shared" si="78"/>
        <v>26</v>
      </c>
      <c r="CW29">
        <f t="shared" si="79"/>
        <v>18</v>
      </c>
      <c r="CX29">
        <f t="shared" si="80"/>
        <v>19</v>
      </c>
      <c r="CY29">
        <f t="shared" si="81"/>
        <v>8</v>
      </c>
      <c r="CZ29">
        <f t="shared" si="82"/>
        <v>25</v>
      </c>
      <c r="DA29">
        <f t="shared" si="83"/>
        <v>22</v>
      </c>
      <c r="DB29">
        <f t="shared" si="84"/>
        <v>21</v>
      </c>
      <c r="DC29">
        <f t="shared" si="85"/>
        <v>6</v>
      </c>
      <c r="DD29">
        <f t="shared" si="86"/>
        <v>5</v>
      </c>
      <c r="DE29">
        <f t="shared" si="87"/>
        <v>19</v>
      </c>
      <c r="DF29">
        <f t="shared" si="88"/>
        <v>15</v>
      </c>
      <c r="DG29">
        <f t="shared" si="89"/>
        <v>18</v>
      </c>
      <c r="DH29">
        <f t="shared" si="90"/>
        <v>5</v>
      </c>
      <c r="DI29">
        <f t="shared" si="91"/>
        <v>7</v>
      </c>
      <c r="DJ29">
        <f t="shared" si="92"/>
        <v>4</v>
      </c>
      <c r="DK29">
        <f t="shared" si="93"/>
        <v>3</v>
      </c>
      <c r="DL29">
        <f t="shared" si="94"/>
        <v>3</v>
      </c>
      <c r="DM29">
        <f t="shared" si="95"/>
        <v>5</v>
      </c>
      <c r="DN29">
        <f t="shared" si="96"/>
        <v>5</v>
      </c>
      <c r="DO29">
        <f t="shared" si="97"/>
        <v>4</v>
      </c>
      <c r="DP29">
        <f t="shared" si="98"/>
        <v>7</v>
      </c>
      <c r="DQ29">
        <f t="shared" si="99"/>
        <v>9</v>
      </c>
      <c r="DR29">
        <f t="shared" si="100"/>
        <v>10</v>
      </c>
      <c r="DS29">
        <f t="shared" si="101"/>
        <v>10</v>
      </c>
      <c r="DT29">
        <f t="shared" si="102"/>
        <v>7</v>
      </c>
      <c r="DU29">
        <f t="shared" si="103"/>
        <v>5</v>
      </c>
    </row>
    <row r="30" spans="1:125" x14ac:dyDescent="0.2">
      <c r="A30" t="s">
        <v>177</v>
      </c>
      <c r="B30" t="s">
        <v>190</v>
      </c>
      <c r="C30">
        <v>2</v>
      </c>
      <c r="D30">
        <v>6</v>
      </c>
      <c r="E30">
        <v>2</v>
      </c>
      <c r="F30">
        <v>1</v>
      </c>
      <c r="G30">
        <v>6</v>
      </c>
      <c r="H30">
        <v>7</v>
      </c>
      <c r="I30">
        <v>4</v>
      </c>
      <c r="J30">
        <v>1</v>
      </c>
      <c r="K30">
        <v>0</v>
      </c>
      <c r="L30">
        <v>1</v>
      </c>
      <c r="M30">
        <v>5</v>
      </c>
      <c r="N30">
        <v>5</v>
      </c>
      <c r="O30">
        <v>1</v>
      </c>
      <c r="P30">
        <v>5</v>
      </c>
      <c r="Q30">
        <v>1</v>
      </c>
      <c r="R30">
        <v>2</v>
      </c>
      <c r="S30">
        <v>4</v>
      </c>
      <c r="T30">
        <v>4</v>
      </c>
      <c r="U30">
        <v>2</v>
      </c>
      <c r="V30">
        <v>1</v>
      </c>
      <c r="W30">
        <v>3</v>
      </c>
      <c r="X30">
        <v>1</v>
      </c>
      <c r="Y30">
        <v>2</v>
      </c>
      <c r="Z30">
        <v>4</v>
      </c>
      <c r="AA30">
        <v>5</v>
      </c>
      <c r="AB30">
        <v>3</v>
      </c>
      <c r="AC30">
        <v>6</v>
      </c>
      <c r="AD30">
        <v>0</v>
      </c>
      <c r="AE30">
        <v>4</v>
      </c>
      <c r="AF30">
        <v>4</v>
      </c>
      <c r="AG30">
        <v>3</v>
      </c>
      <c r="AH30">
        <v>6</v>
      </c>
      <c r="AI30">
        <v>2</v>
      </c>
      <c r="AJ30">
        <v>4</v>
      </c>
      <c r="AK30">
        <v>3</v>
      </c>
      <c r="AL30">
        <v>2</v>
      </c>
      <c r="AM30">
        <v>2</v>
      </c>
      <c r="AN30">
        <v>5</v>
      </c>
      <c r="AO30">
        <v>2</v>
      </c>
      <c r="AP30">
        <v>4</v>
      </c>
      <c r="AQ30">
        <v>4</v>
      </c>
      <c r="AR30">
        <v>4</v>
      </c>
      <c r="AS30">
        <v>1</v>
      </c>
      <c r="AT30">
        <v>6</v>
      </c>
      <c r="AU30">
        <v>2</v>
      </c>
      <c r="AV30">
        <v>3</v>
      </c>
      <c r="AW30">
        <v>4</v>
      </c>
      <c r="AX30">
        <v>5</v>
      </c>
      <c r="AY30">
        <v>2</v>
      </c>
      <c r="AZ30">
        <v>1</v>
      </c>
      <c r="BA30">
        <v>4</v>
      </c>
      <c r="BB30">
        <v>5</v>
      </c>
      <c r="BD30" s="3">
        <f t="shared" si="40"/>
        <v>3.1923076923076925</v>
      </c>
      <c r="BE30" s="3">
        <f t="shared" si="41"/>
        <v>1.7936539716834312</v>
      </c>
      <c r="BF30" s="3">
        <f t="shared" si="42"/>
        <v>0.56186750920203865</v>
      </c>
      <c r="BG30">
        <f t="shared" si="43"/>
        <v>3</v>
      </c>
      <c r="BH30">
        <f t="shared" si="44"/>
        <v>0</v>
      </c>
      <c r="BI30">
        <f t="shared" si="45"/>
        <v>7</v>
      </c>
      <c r="BJ30">
        <f t="shared" si="46"/>
        <v>2</v>
      </c>
      <c r="BK30" s="2">
        <f t="shared" si="47"/>
        <v>3.8461538461538464E-2</v>
      </c>
      <c r="BM30" s="4">
        <f t="shared" si="48"/>
        <v>7.2272644986334713</v>
      </c>
      <c r="BN30" s="4">
        <f t="shared" si="49"/>
        <v>1.5961538461538463</v>
      </c>
      <c r="BO30" s="4">
        <f t="shared" si="50"/>
        <v>8.8234183447873171</v>
      </c>
      <c r="BR30">
        <f t="shared" si="51"/>
        <v>21</v>
      </c>
      <c r="BS30" s="5">
        <f t="shared" si="52"/>
        <v>17</v>
      </c>
      <c r="BW30">
        <f t="shared" si="53"/>
        <v>10</v>
      </c>
      <c r="BX30">
        <f t="shared" si="54"/>
        <v>9</v>
      </c>
      <c r="BY30">
        <f t="shared" si="55"/>
        <v>9</v>
      </c>
      <c r="BZ30">
        <f t="shared" si="56"/>
        <v>14</v>
      </c>
      <c r="CA30">
        <f t="shared" si="57"/>
        <v>17</v>
      </c>
      <c r="CB30">
        <f t="shared" si="58"/>
        <v>12</v>
      </c>
      <c r="CC30">
        <f t="shared" si="59"/>
        <v>5</v>
      </c>
      <c r="CD30">
        <f t="shared" si="60"/>
        <v>2</v>
      </c>
      <c r="CE30">
        <f t="shared" si="61"/>
        <v>6</v>
      </c>
      <c r="CF30">
        <f t="shared" si="62"/>
        <v>11</v>
      </c>
      <c r="CG30">
        <f t="shared" si="63"/>
        <v>11</v>
      </c>
      <c r="CH30">
        <f t="shared" si="64"/>
        <v>11</v>
      </c>
      <c r="CI30">
        <f t="shared" si="65"/>
        <v>7</v>
      </c>
      <c r="CJ30">
        <f t="shared" si="66"/>
        <v>8</v>
      </c>
      <c r="CK30">
        <f t="shared" si="67"/>
        <v>7</v>
      </c>
      <c r="CL30">
        <f t="shared" si="68"/>
        <v>10</v>
      </c>
      <c r="CM30">
        <f t="shared" si="69"/>
        <v>10</v>
      </c>
      <c r="CN30">
        <f t="shared" si="70"/>
        <v>7</v>
      </c>
      <c r="CO30">
        <f t="shared" si="71"/>
        <v>6</v>
      </c>
      <c r="CP30">
        <f t="shared" si="72"/>
        <v>5</v>
      </c>
      <c r="CQ30">
        <f t="shared" si="73"/>
        <v>6</v>
      </c>
      <c r="CR30">
        <f t="shared" si="74"/>
        <v>7</v>
      </c>
      <c r="CS30">
        <f t="shared" si="75"/>
        <v>11</v>
      </c>
      <c r="CT30">
        <f t="shared" si="76"/>
        <v>12</v>
      </c>
      <c r="CU30">
        <f t="shared" si="77"/>
        <v>14</v>
      </c>
      <c r="CV30">
        <f t="shared" si="78"/>
        <v>9</v>
      </c>
      <c r="CW30">
        <f t="shared" si="79"/>
        <v>10</v>
      </c>
      <c r="CX30">
        <f t="shared" si="80"/>
        <v>8</v>
      </c>
      <c r="CY30">
        <f t="shared" si="81"/>
        <v>11</v>
      </c>
      <c r="CZ30">
        <f t="shared" si="82"/>
        <v>13</v>
      </c>
      <c r="DA30">
        <f t="shared" si="83"/>
        <v>11</v>
      </c>
      <c r="DB30">
        <f t="shared" si="84"/>
        <v>12</v>
      </c>
      <c r="DC30">
        <f t="shared" si="85"/>
        <v>9</v>
      </c>
      <c r="DD30">
        <f t="shared" si="86"/>
        <v>9</v>
      </c>
      <c r="DE30">
        <f t="shared" si="87"/>
        <v>7</v>
      </c>
      <c r="DF30">
        <f t="shared" si="88"/>
        <v>9</v>
      </c>
      <c r="DG30">
        <f t="shared" si="89"/>
        <v>9</v>
      </c>
      <c r="DH30">
        <f t="shared" si="90"/>
        <v>11</v>
      </c>
      <c r="DI30">
        <f t="shared" si="91"/>
        <v>10</v>
      </c>
      <c r="DJ30">
        <f t="shared" si="92"/>
        <v>12</v>
      </c>
      <c r="DK30">
        <f t="shared" si="93"/>
        <v>9</v>
      </c>
      <c r="DL30">
        <f t="shared" si="94"/>
        <v>11</v>
      </c>
      <c r="DM30">
        <f t="shared" si="95"/>
        <v>9</v>
      </c>
      <c r="DN30">
        <f t="shared" si="96"/>
        <v>11</v>
      </c>
      <c r="DO30">
        <f t="shared" si="97"/>
        <v>9</v>
      </c>
      <c r="DP30">
        <f t="shared" si="98"/>
        <v>12</v>
      </c>
      <c r="DQ30">
        <f t="shared" si="99"/>
        <v>11</v>
      </c>
      <c r="DR30">
        <f t="shared" si="100"/>
        <v>8</v>
      </c>
      <c r="DS30">
        <f t="shared" si="101"/>
        <v>7</v>
      </c>
      <c r="DT30">
        <f t="shared" si="102"/>
        <v>10</v>
      </c>
      <c r="DU30">
        <f t="shared" si="103"/>
        <v>9</v>
      </c>
    </row>
    <row r="31" spans="1:125" x14ac:dyDescent="0.2">
      <c r="A31" t="s">
        <v>178</v>
      </c>
      <c r="B31" t="s">
        <v>188</v>
      </c>
      <c r="C31">
        <v>1</v>
      </c>
      <c r="D31">
        <v>5</v>
      </c>
      <c r="E31">
        <v>2</v>
      </c>
      <c r="F31">
        <v>5</v>
      </c>
      <c r="G31">
        <v>4</v>
      </c>
      <c r="H31">
        <v>1</v>
      </c>
      <c r="I31">
        <v>1</v>
      </c>
      <c r="J31">
        <v>1</v>
      </c>
      <c r="K31">
        <v>0</v>
      </c>
      <c r="L31">
        <v>1</v>
      </c>
      <c r="M31">
        <v>0</v>
      </c>
      <c r="N31">
        <v>1</v>
      </c>
      <c r="O31">
        <v>1</v>
      </c>
      <c r="P31">
        <v>1</v>
      </c>
      <c r="Q31">
        <v>2</v>
      </c>
      <c r="R31">
        <v>2</v>
      </c>
      <c r="S31">
        <v>3</v>
      </c>
      <c r="T31">
        <v>2</v>
      </c>
      <c r="U31">
        <v>2</v>
      </c>
      <c r="V31">
        <v>2</v>
      </c>
      <c r="W31">
        <v>0</v>
      </c>
      <c r="X31">
        <v>4</v>
      </c>
      <c r="Y31">
        <v>1</v>
      </c>
      <c r="Z31">
        <v>4</v>
      </c>
      <c r="AA31">
        <v>3</v>
      </c>
      <c r="AB31">
        <v>2</v>
      </c>
      <c r="AC31">
        <v>0</v>
      </c>
      <c r="AD31">
        <v>1</v>
      </c>
      <c r="AE31">
        <v>1</v>
      </c>
      <c r="AF31">
        <v>1</v>
      </c>
      <c r="AG31">
        <v>3</v>
      </c>
      <c r="AH31">
        <v>2</v>
      </c>
      <c r="AI31">
        <v>3</v>
      </c>
      <c r="AJ31">
        <v>2</v>
      </c>
      <c r="AK31">
        <v>1</v>
      </c>
      <c r="AL31">
        <v>2</v>
      </c>
      <c r="AM31">
        <v>2</v>
      </c>
      <c r="AN31">
        <v>3</v>
      </c>
      <c r="AO31">
        <v>2</v>
      </c>
      <c r="AP31">
        <v>2</v>
      </c>
      <c r="AQ31">
        <v>1</v>
      </c>
      <c r="AR31">
        <v>0</v>
      </c>
      <c r="AS31">
        <v>0</v>
      </c>
      <c r="AT31">
        <v>1</v>
      </c>
      <c r="AU31">
        <v>1</v>
      </c>
      <c r="AV31">
        <v>3</v>
      </c>
      <c r="AW31">
        <v>3</v>
      </c>
      <c r="AX31">
        <v>3</v>
      </c>
      <c r="AY31">
        <v>1</v>
      </c>
      <c r="AZ31">
        <v>3</v>
      </c>
      <c r="BA31">
        <v>2</v>
      </c>
      <c r="BB31">
        <v>2</v>
      </c>
      <c r="BD31" s="3">
        <f t="shared" si="40"/>
        <v>1.8461538461538463</v>
      </c>
      <c r="BE31" s="3">
        <f t="shared" si="41"/>
        <v>1.2427770198089878</v>
      </c>
      <c r="BF31" s="3">
        <f t="shared" si="42"/>
        <v>0.67317088572986838</v>
      </c>
      <c r="BG31">
        <f t="shared" si="43"/>
        <v>2</v>
      </c>
      <c r="BH31">
        <f t="shared" si="44"/>
        <v>0</v>
      </c>
      <c r="BI31">
        <f t="shared" si="45"/>
        <v>5</v>
      </c>
      <c r="BJ31">
        <f t="shared" si="46"/>
        <v>6</v>
      </c>
      <c r="BK31" s="2">
        <f t="shared" si="47"/>
        <v>0.11538461538461539</v>
      </c>
      <c r="BM31" s="4">
        <f t="shared" si="48"/>
        <v>5.0075869575629879</v>
      </c>
      <c r="BN31" s="4">
        <f t="shared" si="49"/>
        <v>0.92307692307692313</v>
      </c>
      <c r="BO31" s="4">
        <f t="shared" si="50"/>
        <v>5.9306638806399112</v>
      </c>
      <c r="BR31">
        <f t="shared" si="51"/>
        <v>15</v>
      </c>
      <c r="BS31" s="5">
        <f t="shared" si="52"/>
        <v>12</v>
      </c>
      <c r="BW31">
        <f t="shared" si="53"/>
        <v>8</v>
      </c>
      <c r="BX31">
        <f t="shared" si="54"/>
        <v>12</v>
      </c>
      <c r="BY31">
        <f t="shared" si="55"/>
        <v>11</v>
      </c>
      <c r="BZ31">
        <f t="shared" si="56"/>
        <v>10</v>
      </c>
      <c r="CA31">
        <f t="shared" si="57"/>
        <v>6</v>
      </c>
      <c r="CB31">
        <f t="shared" si="58"/>
        <v>3</v>
      </c>
      <c r="CC31">
        <f t="shared" si="59"/>
        <v>2</v>
      </c>
      <c r="CD31">
        <f t="shared" si="60"/>
        <v>2</v>
      </c>
      <c r="CE31">
        <f t="shared" si="61"/>
        <v>1</v>
      </c>
      <c r="CF31">
        <f t="shared" si="62"/>
        <v>2</v>
      </c>
      <c r="CG31">
        <f t="shared" si="63"/>
        <v>2</v>
      </c>
      <c r="CH31">
        <f t="shared" si="64"/>
        <v>3</v>
      </c>
      <c r="CI31">
        <f t="shared" si="65"/>
        <v>4</v>
      </c>
      <c r="CJ31">
        <f t="shared" si="66"/>
        <v>5</v>
      </c>
      <c r="CK31">
        <f t="shared" si="67"/>
        <v>7</v>
      </c>
      <c r="CL31">
        <f t="shared" si="68"/>
        <v>7</v>
      </c>
      <c r="CM31">
        <f t="shared" si="69"/>
        <v>7</v>
      </c>
      <c r="CN31">
        <f t="shared" si="70"/>
        <v>6</v>
      </c>
      <c r="CO31">
        <f t="shared" si="71"/>
        <v>4</v>
      </c>
      <c r="CP31">
        <f t="shared" si="72"/>
        <v>6</v>
      </c>
      <c r="CQ31">
        <f t="shared" si="73"/>
        <v>5</v>
      </c>
      <c r="CR31">
        <f t="shared" si="74"/>
        <v>9</v>
      </c>
      <c r="CS31">
        <f t="shared" si="75"/>
        <v>8</v>
      </c>
      <c r="CT31">
        <f t="shared" si="76"/>
        <v>9</v>
      </c>
      <c r="CU31">
        <f t="shared" si="77"/>
        <v>5</v>
      </c>
      <c r="CV31">
        <f t="shared" si="78"/>
        <v>3</v>
      </c>
      <c r="CW31">
        <f t="shared" si="79"/>
        <v>2</v>
      </c>
      <c r="CX31">
        <f t="shared" si="80"/>
        <v>3</v>
      </c>
      <c r="CY31">
        <f t="shared" si="81"/>
        <v>5</v>
      </c>
      <c r="CZ31">
        <f t="shared" si="82"/>
        <v>6</v>
      </c>
      <c r="DA31">
        <f t="shared" si="83"/>
        <v>8</v>
      </c>
      <c r="DB31">
        <f t="shared" si="84"/>
        <v>7</v>
      </c>
      <c r="DC31">
        <f t="shared" si="85"/>
        <v>6</v>
      </c>
      <c r="DD31">
        <f t="shared" si="86"/>
        <v>5</v>
      </c>
      <c r="DE31">
        <f t="shared" si="87"/>
        <v>5</v>
      </c>
      <c r="DF31">
        <f t="shared" si="88"/>
        <v>7</v>
      </c>
      <c r="DG31">
        <f t="shared" si="89"/>
        <v>7</v>
      </c>
      <c r="DH31">
        <f t="shared" si="90"/>
        <v>7</v>
      </c>
      <c r="DI31">
        <f t="shared" si="91"/>
        <v>5</v>
      </c>
      <c r="DJ31">
        <f t="shared" si="92"/>
        <v>3</v>
      </c>
      <c r="DK31">
        <f t="shared" si="93"/>
        <v>1</v>
      </c>
      <c r="DL31">
        <f t="shared" si="94"/>
        <v>1</v>
      </c>
      <c r="DM31">
        <f t="shared" si="95"/>
        <v>2</v>
      </c>
      <c r="DN31">
        <f t="shared" si="96"/>
        <v>5</v>
      </c>
      <c r="DO31">
        <f t="shared" si="97"/>
        <v>7</v>
      </c>
      <c r="DP31">
        <f t="shared" si="98"/>
        <v>9</v>
      </c>
      <c r="DQ31">
        <f t="shared" si="99"/>
        <v>7</v>
      </c>
      <c r="DR31">
        <f t="shared" si="100"/>
        <v>7</v>
      </c>
      <c r="DS31">
        <f t="shared" si="101"/>
        <v>6</v>
      </c>
      <c r="DT31">
        <f t="shared" si="102"/>
        <v>7</v>
      </c>
      <c r="DU31">
        <f t="shared" si="103"/>
        <v>4</v>
      </c>
    </row>
    <row r="32" spans="1:125" x14ac:dyDescent="0.2">
      <c r="A32" t="s">
        <v>179</v>
      </c>
      <c r="B32" t="s">
        <v>188</v>
      </c>
      <c r="C32">
        <v>3</v>
      </c>
      <c r="D32">
        <v>0</v>
      </c>
      <c r="E32">
        <v>1</v>
      </c>
      <c r="F32">
        <v>1</v>
      </c>
      <c r="G32">
        <v>6</v>
      </c>
      <c r="H32">
        <v>1</v>
      </c>
      <c r="I32">
        <v>5</v>
      </c>
      <c r="J32">
        <v>1</v>
      </c>
      <c r="K32">
        <v>0</v>
      </c>
      <c r="L32">
        <v>1</v>
      </c>
      <c r="M32">
        <v>3</v>
      </c>
      <c r="N32">
        <v>1</v>
      </c>
      <c r="O32">
        <v>2</v>
      </c>
      <c r="P32">
        <v>2</v>
      </c>
      <c r="Q32">
        <v>3</v>
      </c>
      <c r="R32">
        <v>1</v>
      </c>
      <c r="S32">
        <v>2</v>
      </c>
      <c r="T32">
        <v>2</v>
      </c>
      <c r="U32">
        <v>3</v>
      </c>
      <c r="V32">
        <v>0</v>
      </c>
      <c r="W32">
        <v>1</v>
      </c>
      <c r="X32">
        <v>4</v>
      </c>
      <c r="Y32">
        <v>3</v>
      </c>
      <c r="Z32">
        <v>3</v>
      </c>
      <c r="AA32">
        <v>2</v>
      </c>
      <c r="AB32">
        <v>1</v>
      </c>
      <c r="AC32">
        <v>2</v>
      </c>
      <c r="AD32">
        <v>6</v>
      </c>
      <c r="AE32">
        <v>2</v>
      </c>
      <c r="AF32">
        <v>1</v>
      </c>
      <c r="AG32">
        <v>2</v>
      </c>
      <c r="AH32">
        <v>0</v>
      </c>
      <c r="AI32">
        <v>1</v>
      </c>
      <c r="AJ32">
        <v>3</v>
      </c>
      <c r="AK32">
        <v>1</v>
      </c>
      <c r="AL32">
        <v>3</v>
      </c>
      <c r="AM32">
        <v>4</v>
      </c>
      <c r="AN32">
        <v>2</v>
      </c>
      <c r="AO32">
        <v>0</v>
      </c>
      <c r="AP32">
        <v>2</v>
      </c>
      <c r="AQ32">
        <v>0</v>
      </c>
      <c r="AR32">
        <v>4</v>
      </c>
      <c r="AS32">
        <v>1</v>
      </c>
      <c r="AT32">
        <v>2</v>
      </c>
      <c r="AU32">
        <v>3</v>
      </c>
      <c r="AV32">
        <v>0</v>
      </c>
      <c r="AW32">
        <v>2</v>
      </c>
      <c r="AX32">
        <v>0</v>
      </c>
      <c r="AY32">
        <v>1</v>
      </c>
      <c r="AZ32">
        <v>1</v>
      </c>
      <c r="BA32">
        <v>0</v>
      </c>
      <c r="BB32">
        <v>1</v>
      </c>
      <c r="BD32" s="3">
        <f t="shared" si="40"/>
        <v>1.8461538461538463</v>
      </c>
      <c r="BE32" s="3">
        <f t="shared" si="41"/>
        <v>1.4869974403582462</v>
      </c>
      <c r="BF32" s="3">
        <f t="shared" si="42"/>
        <v>0.80545694686071667</v>
      </c>
      <c r="BG32">
        <f t="shared" si="43"/>
        <v>2</v>
      </c>
      <c r="BH32">
        <f t="shared" si="44"/>
        <v>0</v>
      </c>
      <c r="BI32">
        <f t="shared" si="45"/>
        <v>6</v>
      </c>
      <c r="BJ32">
        <f t="shared" si="46"/>
        <v>9</v>
      </c>
      <c r="BK32" s="2">
        <f t="shared" si="47"/>
        <v>0.17307692307692307</v>
      </c>
      <c r="BM32" s="4">
        <f t="shared" si="48"/>
        <v>5.9916371718974792</v>
      </c>
      <c r="BN32" s="4">
        <f t="shared" si="49"/>
        <v>0.92307692307692313</v>
      </c>
      <c r="BO32" s="4">
        <f t="shared" si="50"/>
        <v>6.9147140949744026</v>
      </c>
      <c r="BR32">
        <f t="shared" si="51"/>
        <v>18</v>
      </c>
      <c r="BS32" s="5">
        <f t="shared" si="52"/>
        <v>12</v>
      </c>
      <c r="BW32">
        <f t="shared" si="53"/>
        <v>4</v>
      </c>
      <c r="BX32">
        <f t="shared" si="54"/>
        <v>2</v>
      </c>
      <c r="BY32">
        <f t="shared" si="55"/>
        <v>8</v>
      </c>
      <c r="BZ32">
        <f t="shared" si="56"/>
        <v>8</v>
      </c>
      <c r="CA32">
        <f t="shared" si="57"/>
        <v>12</v>
      </c>
      <c r="CB32">
        <f t="shared" si="58"/>
        <v>7</v>
      </c>
      <c r="CC32">
        <f t="shared" si="59"/>
        <v>6</v>
      </c>
      <c r="CD32">
        <f t="shared" si="60"/>
        <v>2</v>
      </c>
      <c r="CE32">
        <f t="shared" si="61"/>
        <v>4</v>
      </c>
      <c r="CF32">
        <f t="shared" si="62"/>
        <v>5</v>
      </c>
      <c r="CG32">
        <f t="shared" si="63"/>
        <v>6</v>
      </c>
      <c r="CH32">
        <f t="shared" si="64"/>
        <v>5</v>
      </c>
      <c r="CI32">
        <f t="shared" si="65"/>
        <v>7</v>
      </c>
      <c r="CJ32">
        <f t="shared" si="66"/>
        <v>6</v>
      </c>
      <c r="CK32">
        <f t="shared" si="67"/>
        <v>6</v>
      </c>
      <c r="CL32">
        <f t="shared" si="68"/>
        <v>5</v>
      </c>
      <c r="CM32">
        <f t="shared" si="69"/>
        <v>7</v>
      </c>
      <c r="CN32">
        <f t="shared" si="70"/>
        <v>5</v>
      </c>
      <c r="CO32">
        <f t="shared" si="71"/>
        <v>4</v>
      </c>
      <c r="CP32">
        <f t="shared" si="72"/>
        <v>5</v>
      </c>
      <c r="CQ32">
        <f t="shared" si="73"/>
        <v>8</v>
      </c>
      <c r="CR32">
        <f t="shared" si="74"/>
        <v>10</v>
      </c>
      <c r="CS32">
        <f t="shared" si="75"/>
        <v>8</v>
      </c>
      <c r="CT32">
        <f t="shared" si="76"/>
        <v>6</v>
      </c>
      <c r="CU32">
        <f t="shared" si="77"/>
        <v>5</v>
      </c>
      <c r="CV32">
        <f t="shared" si="78"/>
        <v>9</v>
      </c>
      <c r="CW32">
        <f t="shared" si="79"/>
        <v>10</v>
      </c>
      <c r="CX32">
        <f t="shared" si="80"/>
        <v>9</v>
      </c>
      <c r="CY32">
        <f t="shared" si="81"/>
        <v>5</v>
      </c>
      <c r="CZ32">
        <f t="shared" si="82"/>
        <v>3</v>
      </c>
      <c r="DA32">
        <f t="shared" si="83"/>
        <v>3</v>
      </c>
      <c r="DB32">
        <f t="shared" si="84"/>
        <v>4</v>
      </c>
      <c r="DC32">
        <f t="shared" si="85"/>
        <v>5</v>
      </c>
      <c r="DD32">
        <f t="shared" si="86"/>
        <v>7</v>
      </c>
      <c r="DE32">
        <f t="shared" si="87"/>
        <v>8</v>
      </c>
      <c r="DF32">
        <f t="shared" si="88"/>
        <v>9</v>
      </c>
      <c r="DG32">
        <f t="shared" si="89"/>
        <v>6</v>
      </c>
      <c r="DH32">
        <f t="shared" si="90"/>
        <v>4</v>
      </c>
      <c r="DI32">
        <f t="shared" si="91"/>
        <v>2</v>
      </c>
      <c r="DJ32">
        <f t="shared" si="92"/>
        <v>6</v>
      </c>
      <c r="DK32">
        <f t="shared" si="93"/>
        <v>5</v>
      </c>
      <c r="DL32">
        <f t="shared" si="94"/>
        <v>7</v>
      </c>
      <c r="DM32">
        <f t="shared" si="95"/>
        <v>6</v>
      </c>
      <c r="DN32">
        <f t="shared" si="96"/>
        <v>5</v>
      </c>
      <c r="DO32">
        <f t="shared" si="97"/>
        <v>5</v>
      </c>
      <c r="DP32">
        <f t="shared" si="98"/>
        <v>2</v>
      </c>
      <c r="DQ32">
        <f t="shared" si="99"/>
        <v>3</v>
      </c>
      <c r="DR32">
        <f t="shared" si="100"/>
        <v>2</v>
      </c>
      <c r="DS32">
        <f t="shared" si="101"/>
        <v>2</v>
      </c>
      <c r="DT32">
        <f t="shared" si="102"/>
        <v>2</v>
      </c>
      <c r="DU32">
        <f t="shared" si="103"/>
        <v>1</v>
      </c>
    </row>
    <row r="33" spans="1:125" x14ac:dyDescent="0.2">
      <c r="A33" t="s">
        <v>180</v>
      </c>
      <c r="B33" t="s">
        <v>206</v>
      </c>
      <c r="C33">
        <v>1</v>
      </c>
      <c r="D33">
        <v>1</v>
      </c>
      <c r="E33">
        <v>0</v>
      </c>
      <c r="F33">
        <v>1</v>
      </c>
      <c r="G33">
        <v>3</v>
      </c>
      <c r="H33">
        <v>10</v>
      </c>
      <c r="I33">
        <v>1</v>
      </c>
      <c r="J33">
        <v>0</v>
      </c>
      <c r="K33">
        <v>1</v>
      </c>
      <c r="L33">
        <v>4</v>
      </c>
      <c r="M33">
        <v>2</v>
      </c>
      <c r="N33">
        <v>0</v>
      </c>
      <c r="O33">
        <v>4</v>
      </c>
      <c r="P33">
        <v>0</v>
      </c>
      <c r="Q33">
        <v>0</v>
      </c>
      <c r="R33">
        <v>1</v>
      </c>
      <c r="S33">
        <v>0</v>
      </c>
      <c r="T33">
        <v>1</v>
      </c>
      <c r="U33">
        <v>1</v>
      </c>
      <c r="V33">
        <v>3</v>
      </c>
      <c r="W33">
        <v>1</v>
      </c>
      <c r="X33">
        <v>6</v>
      </c>
      <c r="Y33">
        <v>0</v>
      </c>
      <c r="Z33">
        <v>0</v>
      </c>
      <c r="AA33">
        <v>3</v>
      </c>
      <c r="AB33">
        <v>3</v>
      </c>
      <c r="AC33">
        <v>1</v>
      </c>
      <c r="AD33">
        <v>3</v>
      </c>
      <c r="AE33">
        <v>3</v>
      </c>
      <c r="AF33">
        <v>1</v>
      </c>
      <c r="AG33">
        <v>2</v>
      </c>
      <c r="AH33">
        <v>4</v>
      </c>
      <c r="AI33">
        <v>0</v>
      </c>
      <c r="AJ33">
        <v>0</v>
      </c>
      <c r="AK33">
        <v>1</v>
      </c>
      <c r="AL33">
        <v>2</v>
      </c>
      <c r="AM33">
        <v>0</v>
      </c>
      <c r="AN33">
        <v>1</v>
      </c>
      <c r="AO33">
        <v>2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4</v>
      </c>
      <c r="AX33">
        <v>3</v>
      </c>
      <c r="AY33">
        <v>1</v>
      </c>
      <c r="AZ33">
        <v>1</v>
      </c>
      <c r="BA33">
        <v>0</v>
      </c>
      <c r="BB33">
        <v>1</v>
      </c>
      <c r="BD33" s="3">
        <f t="shared" si="40"/>
        <v>1.5192307692307692</v>
      </c>
      <c r="BE33" s="3">
        <f t="shared" si="41"/>
        <v>1.8628502788435877</v>
      </c>
      <c r="BF33" s="3">
        <f t="shared" si="42"/>
        <v>1.2261799303780578</v>
      </c>
      <c r="BG33">
        <f t="shared" si="43"/>
        <v>1</v>
      </c>
      <c r="BH33">
        <f t="shared" si="44"/>
        <v>0</v>
      </c>
      <c r="BI33">
        <f t="shared" si="45"/>
        <v>10</v>
      </c>
      <c r="BJ33">
        <f t="shared" si="46"/>
        <v>17</v>
      </c>
      <c r="BK33" s="2">
        <f t="shared" si="47"/>
        <v>0.32692307692307693</v>
      </c>
      <c r="BM33" s="4">
        <f t="shared" si="48"/>
        <v>7.5060808266823917</v>
      </c>
      <c r="BN33" s="4">
        <f t="shared" si="49"/>
        <v>0.75961538461538458</v>
      </c>
      <c r="BO33" s="4">
        <f t="shared" si="50"/>
        <v>8.2656962112977759</v>
      </c>
      <c r="BR33">
        <f t="shared" si="51"/>
        <v>30</v>
      </c>
      <c r="BS33" s="5">
        <f t="shared" si="52"/>
        <v>14</v>
      </c>
      <c r="BW33">
        <f t="shared" si="53"/>
        <v>2</v>
      </c>
      <c r="BX33">
        <f t="shared" si="54"/>
        <v>2</v>
      </c>
      <c r="BY33">
        <f t="shared" si="55"/>
        <v>4</v>
      </c>
      <c r="BZ33">
        <f t="shared" si="56"/>
        <v>14</v>
      </c>
      <c r="CA33">
        <f t="shared" si="57"/>
        <v>14</v>
      </c>
      <c r="CB33">
        <f t="shared" si="58"/>
        <v>11</v>
      </c>
      <c r="CC33">
        <f t="shared" si="59"/>
        <v>2</v>
      </c>
      <c r="CD33">
        <f t="shared" si="60"/>
        <v>5</v>
      </c>
      <c r="CE33">
        <f t="shared" si="61"/>
        <v>7</v>
      </c>
      <c r="CF33">
        <f t="shared" si="62"/>
        <v>6</v>
      </c>
      <c r="CG33">
        <f t="shared" si="63"/>
        <v>6</v>
      </c>
      <c r="CH33">
        <f t="shared" si="64"/>
        <v>4</v>
      </c>
      <c r="CI33">
        <f t="shared" si="65"/>
        <v>4</v>
      </c>
      <c r="CJ33">
        <f t="shared" si="66"/>
        <v>1</v>
      </c>
      <c r="CK33">
        <f t="shared" si="67"/>
        <v>1</v>
      </c>
      <c r="CL33">
        <f t="shared" si="68"/>
        <v>2</v>
      </c>
      <c r="CM33">
        <f t="shared" si="69"/>
        <v>2</v>
      </c>
      <c r="CN33">
        <f t="shared" si="70"/>
        <v>5</v>
      </c>
      <c r="CO33">
        <f t="shared" si="71"/>
        <v>5</v>
      </c>
      <c r="CP33">
        <f t="shared" si="72"/>
        <v>10</v>
      </c>
      <c r="CQ33">
        <f t="shared" si="73"/>
        <v>7</v>
      </c>
      <c r="CR33">
        <f t="shared" si="74"/>
        <v>6</v>
      </c>
      <c r="CS33">
        <f t="shared" si="75"/>
        <v>3</v>
      </c>
      <c r="CT33">
        <f t="shared" si="76"/>
        <v>6</v>
      </c>
      <c r="CU33">
        <f t="shared" si="77"/>
        <v>7</v>
      </c>
      <c r="CV33">
        <f t="shared" si="78"/>
        <v>7</v>
      </c>
      <c r="CW33">
        <f t="shared" si="79"/>
        <v>7</v>
      </c>
      <c r="CX33">
        <f t="shared" si="80"/>
        <v>7</v>
      </c>
      <c r="CY33">
        <f t="shared" si="81"/>
        <v>6</v>
      </c>
      <c r="CZ33">
        <f t="shared" si="82"/>
        <v>7</v>
      </c>
      <c r="DA33">
        <f t="shared" si="83"/>
        <v>6</v>
      </c>
      <c r="DB33">
        <f t="shared" si="84"/>
        <v>4</v>
      </c>
      <c r="DC33">
        <f t="shared" si="85"/>
        <v>1</v>
      </c>
      <c r="DD33">
        <f t="shared" si="86"/>
        <v>3</v>
      </c>
      <c r="DE33">
        <f t="shared" si="87"/>
        <v>3</v>
      </c>
      <c r="DF33">
        <f t="shared" si="88"/>
        <v>3</v>
      </c>
      <c r="DG33">
        <f t="shared" si="89"/>
        <v>3</v>
      </c>
      <c r="DH33">
        <f t="shared" si="90"/>
        <v>3</v>
      </c>
      <c r="DI33">
        <f t="shared" si="91"/>
        <v>3</v>
      </c>
      <c r="DJ33">
        <f t="shared" si="92"/>
        <v>1</v>
      </c>
      <c r="DK33">
        <f t="shared" si="93"/>
        <v>1</v>
      </c>
      <c r="DL33">
        <f t="shared" si="94"/>
        <v>0</v>
      </c>
      <c r="DM33">
        <f t="shared" si="95"/>
        <v>1</v>
      </c>
      <c r="DN33">
        <f t="shared" si="96"/>
        <v>1</v>
      </c>
      <c r="DO33">
        <f t="shared" si="97"/>
        <v>5</v>
      </c>
      <c r="DP33">
        <f t="shared" si="98"/>
        <v>7</v>
      </c>
      <c r="DQ33">
        <f t="shared" si="99"/>
        <v>8</v>
      </c>
      <c r="DR33">
        <f t="shared" si="100"/>
        <v>5</v>
      </c>
      <c r="DS33">
        <f t="shared" si="101"/>
        <v>2</v>
      </c>
      <c r="DT33">
        <f t="shared" si="102"/>
        <v>2</v>
      </c>
      <c r="DU33">
        <f t="shared" si="103"/>
        <v>1</v>
      </c>
    </row>
    <row r="36" spans="1:125" x14ac:dyDescent="0.2">
      <c r="C36">
        <f t="shared" ref="C36:AH36" si="104">IF(C2&gt;C13,1,"")</f>
        <v>1</v>
      </c>
      <c r="D36">
        <f t="shared" si="104"/>
        <v>1</v>
      </c>
      <c r="E36" t="str">
        <f t="shared" si="104"/>
        <v/>
      </c>
      <c r="F36" t="str">
        <f t="shared" si="104"/>
        <v/>
      </c>
      <c r="G36">
        <f t="shared" si="104"/>
        <v>1</v>
      </c>
      <c r="H36">
        <f t="shared" si="104"/>
        <v>1</v>
      </c>
      <c r="I36" t="str">
        <f t="shared" si="104"/>
        <v/>
      </c>
      <c r="J36">
        <f t="shared" si="104"/>
        <v>1</v>
      </c>
      <c r="K36" t="str">
        <f t="shared" si="104"/>
        <v/>
      </c>
      <c r="L36" t="str">
        <f t="shared" si="104"/>
        <v/>
      </c>
      <c r="M36" t="str">
        <f t="shared" si="104"/>
        <v/>
      </c>
      <c r="N36" t="str">
        <f t="shared" si="104"/>
        <v/>
      </c>
      <c r="O36">
        <f t="shared" si="104"/>
        <v>1</v>
      </c>
      <c r="P36">
        <f t="shared" si="104"/>
        <v>1</v>
      </c>
      <c r="Q36">
        <f t="shared" si="104"/>
        <v>1</v>
      </c>
      <c r="R36">
        <f t="shared" si="104"/>
        <v>1</v>
      </c>
      <c r="S36" t="str">
        <f t="shared" si="104"/>
        <v/>
      </c>
      <c r="T36">
        <f t="shared" si="104"/>
        <v>1</v>
      </c>
      <c r="U36" t="str">
        <f t="shared" si="104"/>
        <v/>
      </c>
      <c r="V36">
        <f t="shared" si="104"/>
        <v>1</v>
      </c>
      <c r="W36">
        <f t="shared" si="104"/>
        <v>1</v>
      </c>
      <c r="X36" t="str">
        <f t="shared" si="104"/>
        <v/>
      </c>
      <c r="Y36">
        <f t="shared" si="104"/>
        <v>1</v>
      </c>
      <c r="Z36">
        <f t="shared" si="104"/>
        <v>1</v>
      </c>
      <c r="AA36">
        <f t="shared" si="104"/>
        <v>1</v>
      </c>
      <c r="AB36" t="str">
        <f t="shared" si="104"/>
        <v/>
      </c>
      <c r="AC36" t="str">
        <f t="shared" si="104"/>
        <v/>
      </c>
      <c r="AD36">
        <f t="shared" si="104"/>
        <v>1</v>
      </c>
      <c r="AE36" t="str">
        <f t="shared" si="104"/>
        <v/>
      </c>
      <c r="AF36" t="str">
        <f t="shared" si="104"/>
        <v/>
      </c>
      <c r="AG36" t="str">
        <f t="shared" si="104"/>
        <v/>
      </c>
      <c r="AH36">
        <f t="shared" si="104"/>
        <v>1</v>
      </c>
      <c r="AI36">
        <f t="shared" ref="AI36:BB36" si="105">IF(AI2&gt;AI13,1,"")</f>
        <v>1</v>
      </c>
      <c r="AJ36">
        <f t="shared" si="105"/>
        <v>1</v>
      </c>
      <c r="AK36" t="str">
        <f t="shared" si="105"/>
        <v/>
      </c>
      <c r="AL36">
        <f t="shared" si="105"/>
        <v>1</v>
      </c>
      <c r="AM36" t="str">
        <f t="shared" si="105"/>
        <v/>
      </c>
      <c r="AN36" t="str">
        <f t="shared" si="105"/>
        <v/>
      </c>
      <c r="AO36">
        <f t="shared" si="105"/>
        <v>1</v>
      </c>
      <c r="AP36" t="str">
        <f t="shared" si="105"/>
        <v/>
      </c>
      <c r="AQ36" t="str">
        <f t="shared" si="105"/>
        <v/>
      </c>
      <c r="AR36">
        <f t="shared" si="105"/>
        <v>1</v>
      </c>
      <c r="AS36" t="str">
        <f t="shared" si="105"/>
        <v/>
      </c>
      <c r="AT36" t="str">
        <f t="shared" si="105"/>
        <v/>
      </c>
      <c r="AU36" t="str">
        <f t="shared" si="105"/>
        <v/>
      </c>
      <c r="AV36" t="str">
        <f t="shared" si="105"/>
        <v/>
      </c>
      <c r="AW36">
        <f t="shared" si="105"/>
        <v>1</v>
      </c>
      <c r="AX36" t="str">
        <f t="shared" si="105"/>
        <v/>
      </c>
      <c r="AY36" t="str">
        <f t="shared" si="105"/>
        <v/>
      </c>
      <c r="AZ36">
        <f t="shared" si="105"/>
        <v>1</v>
      </c>
      <c r="BA36" t="str">
        <f t="shared" si="105"/>
        <v/>
      </c>
      <c r="BB36">
        <f t="shared" si="105"/>
        <v>1</v>
      </c>
      <c r="BD36" s="3">
        <f t="shared" ref="BD36:BD45" si="106">SUM(C36:BB36)/52</f>
        <v>0.48076923076923078</v>
      </c>
    </row>
    <row r="37" spans="1:125" x14ac:dyDescent="0.2">
      <c r="C37" t="str">
        <f t="shared" ref="C37:AH37" si="107">IF(C3&gt;C14,1,"")</f>
        <v/>
      </c>
      <c r="D37" t="str">
        <f t="shared" si="107"/>
        <v/>
      </c>
      <c r="E37">
        <f t="shared" si="107"/>
        <v>1</v>
      </c>
      <c r="F37" t="str">
        <f t="shared" si="107"/>
        <v/>
      </c>
      <c r="G37" t="str">
        <f t="shared" si="107"/>
        <v/>
      </c>
      <c r="H37" t="str">
        <f t="shared" si="107"/>
        <v/>
      </c>
      <c r="I37" t="str">
        <f t="shared" si="107"/>
        <v/>
      </c>
      <c r="J37" t="str">
        <f t="shared" si="107"/>
        <v/>
      </c>
      <c r="K37" t="str">
        <f t="shared" si="107"/>
        <v/>
      </c>
      <c r="L37" t="str">
        <f t="shared" si="107"/>
        <v/>
      </c>
      <c r="M37" t="str">
        <f t="shared" si="107"/>
        <v/>
      </c>
      <c r="N37" t="str">
        <f t="shared" si="107"/>
        <v/>
      </c>
      <c r="O37" t="str">
        <f t="shared" si="107"/>
        <v/>
      </c>
      <c r="P37">
        <f t="shared" si="107"/>
        <v>1</v>
      </c>
      <c r="Q37" t="str">
        <f t="shared" si="107"/>
        <v/>
      </c>
      <c r="R37">
        <f t="shared" si="107"/>
        <v>1</v>
      </c>
      <c r="S37" t="str">
        <f t="shared" si="107"/>
        <v/>
      </c>
      <c r="T37">
        <f t="shared" si="107"/>
        <v>1</v>
      </c>
      <c r="U37">
        <f t="shared" si="107"/>
        <v>1</v>
      </c>
      <c r="V37">
        <f t="shared" si="107"/>
        <v>1</v>
      </c>
      <c r="W37" t="str">
        <f t="shared" si="107"/>
        <v/>
      </c>
      <c r="X37" t="str">
        <f t="shared" si="107"/>
        <v/>
      </c>
      <c r="Y37" t="str">
        <f t="shared" si="107"/>
        <v/>
      </c>
      <c r="Z37">
        <f t="shared" si="107"/>
        <v>1</v>
      </c>
      <c r="AA37" t="str">
        <f t="shared" si="107"/>
        <v/>
      </c>
      <c r="AB37">
        <f t="shared" si="107"/>
        <v>1</v>
      </c>
      <c r="AC37" t="str">
        <f t="shared" si="107"/>
        <v/>
      </c>
      <c r="AD37" t="str">
        <f t="shared" si="107"/>
        <v/>
      </c>
      <c r="AE37" t="str">
        <f t="shared" si="107"/>
        <v/>
      </c>
      <c r="AF37">
        <f t="shared" si="107"/>
        <v>1</v>
      </c>
      <c r="AG37">
        <f t="shared" si="107"/>
        <v>1</v>
      </c>
      <c r="AH37" t="str">
        <f t="shared" si="107"/>
        <v/>
      </c>
      <c r="AI37">
        <f t="shared" ref="AI37:BB37" si="108">IF(AI3&gt;AI14,1,"")</f>
        <v>1</v>
      </c>
      <c r="AJ37" t="str">
        <f t="shared" si="108"/>
        <v/>
      </c>
      <c r="AK37">
        <f t="shared" si="108"/>
        <v>1</v>
      </c>
      <c r="AL37">
        <f t="shared" si="108"/>
        <v>1</v>
      </c>
      <c r="AM37" t="str">
        <f t="shared" si="108"/>
        <v/>
      </c>
      <c r="AN37">
        <f t="shared" si="108"/>
        <v>1</v>
      </c>
      <c r="AO37" t="str">
        <f t="shared" si="108"/>
        <v/>
      </c>
      <c r="AP37" t="str">
        <f t="shared" si="108"/>
        <v/>
      </c>
      <c r="AQ37">
        <f t="shared" si="108"/>
        <v>1</v>
      </c>
      <c r="AR37" t="str">
        <f t="shared" si="108"/>
        <v/>
      </c>
      <c r="AS37" t="str">
        <f t="shared" si="108"/>
        <v/>
      </c>
      <c r="AT37">
        <f t="shared" si="108"/>
        <v>1</v>
      </c>
      <c r="AU37">
        <f t="shared" si="108"/>
        <v>1</v>
      </c>
      <c r="AV37">
        <f t="shared" si="108"/>
        <v>1</v>
      </c>
      <c r="AW37">
        <f t="shared" si="108"/>
        <v>1</v>
      </c>
      <c r="AX37">
        <f t="shared" si="108"/>
        <v>1</v>
      </c>
      <c r="AY37">
        <f t="shared" si="108"/>
        <v>1</v>
      </c>
      <c r="AZ37" t="str">
        <f t="shared" si="108"/>
        <v/>
      </c>
      <c r="BA37">
        <f t="shared" si="108"/>
        <v>1</v>
      </c>
      <c r="BB37" t="str">
        <f t="shared" si="108"/>
        <v/>
      </c>
      <c r="BD37" s="3">
        <f t="shared" si="106"/>
        <v>0.42307692307692307</v>
      </c>
    </row>
    <row r="38" spans="1:125" x14ac:dyDescent="0.2">
      <c r="C38" t="str">
        <f t="shared" ref="C38:AH38" si="109">IF(C4&gt;C15,1,"")</f>
        <v/>
      </c>
      <c r="D38" t="str">
        <f t="shared" si="109"/>
        <v/>
      </c>
      <c r="E38">
        <f t="shared" si="109"/>
        <v>1</v>
      </c>
      <c r="F38" t="str">
        <f t="shared" si="109"/>
        <v/>
      </c>
      <c r="G38" t="str">
        <f t="shared" si="109"/>
        <v/>
      </c>
      <c r="H38" t="str">
        <f t="shared" si="109"/>
        <v/>
      </c>
      <c r="I38" t="str">
        <f t="shared" si="109"/>
        <v/>
      </c>
      <c r="J38">
        <f t="shared" si="109"/>
        <v>1</v>
      </c>
      <c r="K38" t="str">
        <f t="shared" si="109"/>
        <v/>
      </c>
      <c r="L38" t="str">
        <f t="shared" si="109"/>
        <v/>
      </c>
      <c r="M38" t="str">
        <f t="shared" si="109"/>
        <v/>
      </c>
      <c r="N38">
        <f t="shared" si="109"/>
        <v>1</v>
      </c>
      <c r="O38" t="str">
        <f t="shared" si="109"/>
        <v/>
      </c>
      <c r="P38">
        <f t="shared" si="109"/>
        <v>1</v>
      </c>
      <c r="Q38" t="str">
        <f t="shared" si="109"/>
        <v/>
      </c>
      <c r="R38" t="str">
        <f t="shared" si="109"/>
        <v/>
      </c>
      <c r="S38" t="str">
        <f t="shared" si="109"/>
        <v/>
      </c>
      <c r="T38">
        <f t="shared" si="109"/>
        <v>1</v>
      </c>
      <c r="U38" t="str">
        <f t="shared" si="109"/>
        <v/>
      </c>
      <c r="V38">
        <f t="shared" si="109"/>
        <v>1</v>
      </c>
      <c r="W38" t="str">
        <f t="shared" si="109"/>
        <v/>
      </c>
      <c r="X38" t="str">
        <f t="shared" si="109"/>
        <v/>
      </c>
      <c r="Y38" t="str">
        <f t="shared" si="109"/>
        <v/>
      </c>
      <c r="Z38" t="str">
        <f t="shared" si="109"/>
        <v/>
      </c>
      <c r="AA38" t="str">
        <f t="shared" si="109"/>
        <v/>
      </c>
      <c r="AB38" t="str">
        <f t="shared" si="109"/>
        <v/>
      </c>
      <c r="AC38">
        <f t="shared" si="109"/>
        <v>1</v>
      </c>
      <c r="AD38">
        <f t="shared" si="109"/>
        <v>1</v>
      </c>
      <c r="AE38" t="str">
        <f t="shared" si="109"/>
        <v/>
      </c>
      <c r="AF38" t="str">
        <f t="shared" si="109"/>
        <v/>
      </c>
      <c r="AG38" t="str">
        <f t="shared" si="109"/>
        <v/>
      </c>
      <c r="AH38" t="str">
        <f t="shared" si="109"/>
        <v/>
      </c>
      <c r="AI38">
        <f t="shared" ref="AI38:BB38" si="110">IF(AI4&gt;AI15,1,"")</f>
        <v>1</v>
      </c>
      <c r="AJ38" t="str">
        <f t="shared" si="110"/>
        <v/>
      </c>
      <c r="AK38" t="str">
        <f t="shared" si="110"/>
        <v/>
      </c>
      <c r="AL38">
        <f t="shared" si="110"/>
        <v>1</v>
      </c>
      <c r="AM38" t="str">
        <f t="shared" si="110"/>
        <v/>
      </c>
      <c r="AN38" t="str">
        <f t="shared" si="110"/>
        <v/>
      </c>
      <c r="AO38">
        <f t="shared" si="110"/>
        <v>1</v>
      </c>
      <c r="AP38">
        <f t="shared" si="110"/>
        <v>1</v>
      </c>
      <c r="AQ38" t="str">
        <f t="shared" si="110"/>
        <v/>
      </c>
      <c r="AR38" t="str">
        <f t="shared" si="110"/>
        <v/>
      </c>
      <c r="AS38" t="str">
        <f t="shared" si="110"/>
        <v/>
      </c>
      <c r="AT38">
        <f t="shared" si="110"/>
        <v>1</v>
      </c>
      <c r="AU38" t="str">
        <f t="shared" si="110"/>
        <v/>
      </c>
      <c r="AV38" t="str">
        <f t="shared" si="110"/>
        <v/>
      </c>
      <c r="AW38" t="str">
        <f t="shared" si="110"/>
        <v/>
      </c>
      <c r="AX38" t="str">
        <f t="shared" si="110"/>
        <v/>
      </c>
      <c r="AY38">
        <f t="shared" si="110"/>
        <v>1</v>
      </c>
      <c r="AZ38" t="str">
        <f t="shared" si="110"/>
        <v/>
      </c>
      <c r="BA38" t="str">
        <f t="shared" si="110"/>
        <v/>
      </c>
      <c r="BB38" t="str">
        <f t="shared" si="110"/>
        <v/>
      </c>
      <c r="BD38" s="3">
        <f t="shared" si="106"/>
        <v>0.26923076923076922</v>
      </c>
    </row>
    <row r="39" spans="1:125" x14ac:dyDescent="0.2">
      <c r="C39" t="str">
        <f t="shared" ref="C39:AH39" si="111">IF(C5&gt;C16,1,"")</f>
        <v/>
      </c>
      <c r="D39" t="str">
        <f t="shared" si="111"/>
        <v/>
      </c>
      <c r="E39" t="str">
        <f t="shared" si="111"/>
        <v/>
      </c>
      <c r="F39" t="str">
        <f t="shared" si="111"/>
        <v/>
      </c>
      <c r="G39">
        <f t="shared" si="111"/>
        <v>1</v>
      </c>
      <c r="H39" t="str">
        <f t="shared" si="111"/>
        <v/>
      </c>
      <c r="I39" t="str">
        <f t="shared" si="111"/>
        <v/>
      </c>
      <c r="J39" t="str">
        <f t="shared" si="111"/>
        <v/>
      </c>
      <c r="K39" t="str">
        <f t="shared" si="111"/>
        <v/>
      </c>
      <c r="L39" t="str">
        <f t="shared" si="111"/>
        <v/>
      </c>
      <c r="M39" t="str">
        <f t="shared" si="111"/>
        <v/>
      </c>
      <c r="N39" t="str">
        <f t="shared" si="111"/>
        <v/>
      </c>
      <c r="O39">
        <f t="shared" si="111"/>
        <v>1</v>
      </c>
      <c r="P39">
        <f t="shared" si="111"/>
        <v>1</v>
      </c>
      <c r="Q39" t="str">
        <f t="shared" si="111"/>
        <v/>
      </c>
      <c r="R39" t="str">
        <f t="shared" si="111"/>
        <v/>
      </c>
      <c r="S39" t="str">
        <f t="shared" si="111"/>
        <v/>
      </c>
      <c r="T39" t="str">
        <f t="shared" si="111"/>
        <v/>
      </c>
      <c r="U39" t="str">
        <f t="shared" si="111"/>
        <v/>
      </c>
      <c r="V39" t="str">
        <f t="shared" si="111"/>
        <v/>
      </c>
      <c r="W39" t="str">
        <f t="shared" si="111"/>
        <v/>
      </c>
      <c r="X39" t="str">
        <f t="shared" si="111"/>
        <v/>
      </c>
      <c r="Y39" t="str">
        <f t="shared" si="111"/>
        <v/>
      </c>
      <c r="Z39" t="str">
        <f t="shared" si="111"/>
        <v/>
      </c>
      <c r="AA39" t="str">
        <f t="shared" si="111"/>
        <v/>
      </c>
      <c r="AB39" t="str">
        <f t="shared" si="111"/>
        <v/>
      </c>
      <c r="AC39" t="str">
        <f t="shared" si="111"/>
        <v/>
      </c>
      <c r="AD39" t="str">
        <f t="shared" si="111"/>
        <v/>
      </c>
      <c r="AE39" t="str">
        <f t="shared" si="111"/>
        <v/>
      </c>
      <c r="AF39" t="str">
        <f t="shared" si="111"/>
        <v/>
      </c>
      <c r="AG39" t="str">
        <f t="shared" si="111"/>
        <v/>
      </c>
      <c r="AH39" t="str">
        <f t="shared" si="111"/>
        <v/>
      </c>
      <c r="AI39">
        <f t="shared" ref="AI39:BB39" si="112">IF(AI5&gt;AI16,1,"")</f>
        <v>1</v>
      </c>
      <c r="AJ39" t="str">
        <f t="shared" si="112"/>
        <v/>
      </c>
      <c r="AK39" t="str">
        <f t="shared" si="112"/>
        <v/>
      </c>
      <c r="AL39" t="str">
        <f t="shared" si="112"/>
        <v/>
      </c>
      <c r="AM39" t="str">
        <f t="shared" si="112"/>
        <v/>
      </c>
      <c r="AN39">
        <f t="shared" si="112"/>
        <v>1</v>
      </c>
      <c r="AO39" t="str">
        <f t="shared" si="112"/>
        <v/>
      </c>
      <c r="AP39" t="str">
        <f t="shared" si="112"/>
        <v/>
      </c>
      <c r="AQ39" t="str">
        <f t="shared" si="112"/>
        <v/>
      </c>
      <c r="AR39" t="str">
        <f t="shared" si="112"/>
        <v/>
      </c>
      <c r="AS39" t="str">
        <f t="shared" si="112"/>
        <v/>
      </c>
      <c r="AT39">
        <f t="shared" si="112"/>
        <v>1</v>
      </c>
      <c r="AU39">
        <f t="shared" si="112"/>
        <v>1</v>
      </c>
      <c r="AV39">
        <f t="shared" si="112"/>
        <v>1</v>
      </c>
      <c r="AW39" t="str">
        <f t="shared" si="112"/>
        <v/>
      </c>
      <c r="AX39" t="str">
        <f t="shared" si="112"/>
        <v/>
      </c>
      <c r="AY39" t="str">
        <f t="shared" si="112"/>
        <v/>
      </c>
      <c r="AZ39" t="str">
        <f t="shared" si="112"/>
        <v/>
      </c>
      <c r="BA39" t="str">
        <f t="shared" si="112"/>
        <v/>
      </c>
      <c r="BB39" t="str">
        <f t="shared" si="112"/>
        <v/>
      </c>
      <c r="BD39" s="3">
        <f t="shared" si="106"/>
        <v>0.15384615384615385</v>
      </c>
    </row>
    <row r="40" spans="1:125" x14ac:dyDescent="0.2">
      <c r="C40" t="str">
        <f t="shared" ref="C40:AH40" si="113">IF(C6&gt;C17,1,"")</f>
        <v/>
      </c>
      <c r="D40" t="str">
        <f t="shared" si="113"/>
        <v/>
      </c>
      <c r="E40" t="str">
        <f t="shared" si="113"/>
        <v/>
      </c>
      <c r="F40">
        <f t="shared" si="113"/>
        <v>1</v>
      </c>
      <c r="G40">
        <f t="shared" si="113"/>
        <v>1</v>
      </c>
      <c r="H40">
        <f t="shared" si="113"/>
        <v>1</v>
      </c>
      <c r="I40" t="str">
        <f t="shared" si="113"/>
        <v/>
      </c>
      <c r="J40" t="str">
        <f t="shared" si="113"/>
        <v/>
      </c>
      <c r="K40" t="str">
        <f t="shared" si="113"/>
        <v/>
      </c>
      <c r="L40" t="str">
        <f t="shared" si="113"/>
        <v/>
      </c>
      <c r="M40" t="str">
        <f t="shared" si="113"/>
        <v/>
      </c>
      <c r="N40" t="str">
        <f t="shared" si="113"/>
        <v/>
      </c>
      <c r="O40">
        <f t="shared" si="113"/>
        <v>1</v>
      </c>
      <c r="P40" t="str">
        <f t="shared" si="113"/>
        <v/>
      </c>
      <c r="Q40" t="str">
        <f t="shared" si="113"/>
        <v/>
      </c>
      <c r="R40" t="str">
        <f t="shared" si="113"/>
        <v/>
      </c>
      <c r="S40">
        <f t="shared" si="113"/>
        <v>1</v>
      </c>
      <c r="T40">
        <f t="shared" si="113"/>
        <v>1</v>
      </c>
      <c r="U40">
        <f t="shared" si="113"/>
        <v>1</v>
      </c>
      <c r="V40" t="str">
        <f t="shared" si="113"/>
        <v/>
      </c>
      <c r="W40">
        <f t="shared" si="113"/>
        <v>1</v>
      </c>
      <c r="X40" t="str">
        <f t="shared" si="113"/>
        <v/>
      </c>
      <c r="Y40" t="str">
        <f t="shared" si="113"/>
        <v/>
      </c>
      <c r="Z40" t="str">
        <f t="shared" si="113"/>
        <v/>
      </c>
      <c r="AA40">
        <f t="shared" si="113"/>
        <v>1</v>
      </c>
      <c r="AB40">
        <f t="shared" si="113"/>
        <v>1</v>
      </c>
      <c r="AC40" t="str">
        <f t="shared" si="113"/>
        <v/>
      </c>
      <c r="AD40">
        <f t="shared" si="113"/>
        <v>1</v>
      </c>
      <c r="AE40" t="str">
        <f t="shared" si="113"/>
        <v/>
      </c>
      <c r="AF40" t="str">
        <f t="shared" si="113"/>
        <v/>
      </c>
      <c r="AG40" t="str">
        <f t="shared" si="113"/>
        <v/>
      </c>
      <c r="AH40">
        <f t="shared" si="113"/>
        <v>1</v>
      </c>
      <c r="AI40" t="str">
        <f t="shared" ref="AI40:BB40" si="114">IF(AI6&gt;AI17,1,"")</f>
        <v/>
      </c>
      <c r="AJ40" t="str">
        <f t="shared" si="114"/>
        <v/>
      </c>
      <c r="AK40" t="str">
        <f t="shared" si="114"/>
        <v/>
      </c>
      <c r="AL40" t="str">
        <f t="shared" si="114"/>
        <v/>
      </c>
      <c r="AM40" t="str">
        <f t="shared" si="114"/>
        <v/>
      </c>
      <c r="AN40" t="str">
        <f t="shared" si="114"/>
        <v/>
      </c>
      <c r="AO40" t="str">
        <f t="shared" si="114"/>
        <v/>
      </c>
      <c r="AP40">
        <f t="shared" si="114"/>
        <v>1</v>
      </c>
      <c r="AQ40" t="str">
        <f t="shared" si="114"/>
        <v/>
      </c>
      <c r="AR40">
        <f t="shared" si="114"/>
        <v>1</v>
      </c>
      <c r="AS40" t="str">
        <f t="shared" si="114"/>
        <v/>
      </c>
      <c r="AT40" t="str">
        <f t="shared" si="114"/>
        <v/>
      </c>
      <c r="AU40" t="str">
        <f t="shared" si="114"/>
        <v/>
      </c>
      <c r="AV40">
        <f t="shared" si="114"/>
        <v>1</v>
      </c>
      <c r="AW40" t="str">
        <f t="shared" si="114"/>
        <v/>
      </c>
      <c r="AX40" t="str">
        <f t="shared" si="114"/>
        <v/>
      </c>
      <c r="AY40" t="str">
        <f t="shared" si="114"/>
        <v/>
      </c>
      <c r="AZ40" t="str">
        <f t="shared" si="114"/>
        <v/>
      </c>
      <c r="BA40">
        <f t="shared" si="114"/>
        <v>1</v>
      </c>
      <c r="BB40" t="str">
        <f t="shared" si="114"/>
        <v/>
      </c>
      <c r="BD40" s="3">
        <f t="shared" si="106"/>
        <v>0.30769230769230771</v>
      </c>
    </row>
    <row r="41" spans="1:125" x14ac:dyDescent="0.2">
      <c r="C41" t="str">
        <f t="shared" ref="C41:AH41" si="115">IF(C7&gt;C18,1,"")</f>
        <v/>
      </c>
      <c r="D41">
        <f t="shared" si="115"/>
        <v>1</v>
      </c>
      <c r="E41">
        <f t="shared" si="115"/>
        <v>1</v>
      </c>
      <c r="F41">
        <f t="shared" si="115"/>
        <v>1</v>
      </c>
      <c r="G41" t="str">
        <f t="shared" si="115"/>
        <v/>
      </c>
      <c r="H41">
        <f t="shared" si="115"/>
        <v>1</v>
      </c>
      <c r="I41">
        <f t="shared" si="115"/>
        <v>1</v>
      </c>
      <c r="J41">
        <f t="shared" si="115"/>
        <v>1</v>
      </c>
      <c r="K41">
        <f t="shared" si="115"/>
        <v>1</v>
      </c>
      <c r="L41" t="str">
        <f t="shared" si="115"/>
        <v/>
      </c>
      <c r="M41" t="str">
        <f t="shared" si="115"/>
        <v/>
      </c>
      <c r="N41" t="str">
        <f t="shared" si="115"/>
        <v/>
      </c>
      <c r="O41">
        <f t="shared" si="115"/>
        <v>1</v>
      </c>
      <c r="P41" t="str">
        <f t="shared" si="115"/>
        <v/>
      </c>
      <c r="Q41">
        <f t="shared" si="115"/>
        <v>1</v>
      </c>
      <c r="R41" t="str">
        <f t="shared" si="115"/>
        <v/>
      </c>
      <c r="S41" t="str">
        <f t="shared" si="115"/>
        <v/>
      </c>
      <c r="T41" t="str">
        <f t="shared" si="115"/>
        <v/>
      </c>
      <c r="U41" t="str">
        <f t="shared" si="115"/>
        <v/>
      </c>
      <c r="V41">
        <f t="shared" si="115"/>
        <v>1</v>
      </c>
      <c r="W41">
        <f t="shared" si="115"/>
        <v>1</v>
      </c>
      <c r="X41" t="str">
        <f t="shared" si="115"/>
        <v/>
      </c>
      <c r="Y41" t="str">
        <f t="shared" si="115"/>
        <v/>
      </c>
      <c r="Z41" t="str">
        <f t="shared" si="115"/>
        <v/>
      </c>
      <c r="AA41" t="str">
        <f t="shared" si="115"/>
        <v/>
      </c>
      <c r="AB41" t="str">
        <f t="shared" si="115"/>
        <v/>
      </c>
      <c r="AC41">
        <f t="shared" si="115"/>
        <v>1</v>
      </c>
      <c r="AD41" t="str">
        <f t="shared" si="115"/>
        <v/>
      </c>
      <c r="AE41">
        <f t="shared" si="115"/>
        <v>1</v>
      </c>
      <c r="AF41">
        <f t="shared" si="115"/>
        <v>1</v>
      </c>
      <c r="AG41">
        <f t="shared" si="115"/>
        <v>1</v>
      </c>
      <c r="AH41" t="str">
        <f t="shared" si="115"/>
        <v/>
      </c>
      <c r="AI41">
        <f t="shared" ref="AI41:BB41" si="116">IF(AI7&gt;AI18,1,"")</f>
        <v>1</v>
      </c>
      <c r="AJ41" t="str">
        <f t="shared" si="116"/>
        <v/>
      </c>
      <c r="AK41" t="str">
        <f t="shared" si="116"/>
        <v/>
      </c>
      <c r="AL41" t="str">
        <f t="shared" si="116"/>
        <v/>
      </c>
      <c r="AM41" t="str">
        <f t="shared" si="116"/>
        <v/>
      </c>
      <c r="AN41">
        <f t="shared" si="116"/>
        <v>1</v>
      </c>
      <c r="AO41">
        <f t="shared" si="116"/>
        <v>1</v>
      </c>
      <c r="AP41" t="str">
        <f t="shared" si="116"/>
        <v/>
      </c>
      <c r="AQ41" t="str">
        <f t="shared" si="116"/>
        <v/>
      </c>
      <c r="AR41" t="str">
        <f t="shared" si="116"/>
        <v/>
      </c>
      <c r="AS41">
        <f t="shared" si="116"/>
        <v>1</v>
      </c>
      <c r="AT41">
        <f t="shared" si="116"/>
        <v>1</v>
      </c>
      <c r="AU41" t="str">
        <f t="shared" si="116"/>
        <v/>
      </c>
      <c r="AV41" t="str">
        <f t="shared" si="116"/>
        <v/>
      </c>
      <c r="AW41" t="str">
        <f t="shared" si="116"/>
        <v/>
      </c>
      <c r="AX41" t="str">
        <f t="shared" si="116"/>
        <v/>
      </c>
      <c r="AY41" t="str">
        <f t="shared" si="116"/>
        <v/>
      </c>
      <c r="AZ41" t="str">
        <f t="shared" si="116"/>
        <v/>
      </c>
      <c r="BA41" t="str">
        <f t="shared" si="116"/>
        <v/>
      </c>
      <c r="BB41" t="str">
        <f t="shared" si="116"/>
        <v/>
      </c>
      <c r="BD41" s="3">
        <f t="shared" si="106"/>
        <v>0.38461538461538464</v>
      </c>
    </row>
    <row r="42" spans="1:125" x14ac:dyDescent="0.2">
      <c r="C42">
        <f t="shared" ref="C42:AH42" si="117">IF(C8&gt;C19,1,"")</f>
        <v>1</v>
      </c>
      <c r="D42" t="str">
        <f t="shared" si="117"/>
        <v/>
      </c>
      <c r="E42" t="str">
        <f t="shared" si="117"/>
        <v/>
      </c>
      <c r="F42" t="str">
        <f t="shared" si="117"/>
        <v/>
      </c>
      <c r="G42" t="str">
        <f t="shared" si="117"/>
        <v/>
      </c>
      <c r="H42" t="str">
        <f t="shared" si="117"/>
        <v/>
      </c>
      <c r="I42">
        <f t="shared" si="117"/>
        <v>1</v>
      </c>
      <c r="J42" t="str">
        <f t="shared" si="117"/>
        <v/>
      </c>
      <c r="K42" t="str">
        <f t="shared" si="117"/>
        <v/>
      </c>
      <c r="L42" t="str">
        <f t="shared" si="117"/>
        <v/>
      </c>
      <c r="M42" t="str">
        <f t="shared" si="117"/>
        <v/>
      </c>
      <c r="N42" t="str">
        <f t="shared" si="117"/>
        <v/>
      </c>
      <c r="O42" t="str">
        <f t="shared" si="117"/>
        <v/>
      </c>
      <c r="P42" t="str">
        <f t="shared" si="117"/>
        <v/>
      </c>
      <c r="Q42" t="str">
        <f t="shared" si="117"/>
        <v/>
      </c>
      <c r="R42" t="str">
        <f t="shared" si="117"/>
        <v/>
      </c>
      <c r="S42" t="str">
        <f t="shared" si="117"/>
        <v/>
      </c>
      <c r="T42" t="str">
        <f t="shared" si="117"/>
        <v/>
      </c>
      <c r="U42" t="str">
        <f t="shared" si="117"/>
        <v/>
      </c>
      <c r="V42" t="str">
        <f t="shared" si="117"/>
        <v/>
      </c>
      <c r="W42">
        <f t="shared" si="117"/>
        <v>1</v>
      </c>
      <c r="X42" t="str">
        <f t="shared" si="117"/>
        <v/>
      </c>
      <c r="Y42" t="str">
        <f t="shared" si="117"/>
        <v/>
      </c>
      <c r="Z42" t="str">
        <f t="shared" si="117"/>
        <v/>
      </c>
      <c r="AA42" t="str">
        <f t="shared" si="117"/>
        <v/>
      </c>
      <c r="AB42" t="str">
        <f t="shared" si="117"/>
        <v/>
      </c>
      <c r="AC42" t="str">
        <f t="shared" si="117"/>
        <v/>
      </c>
      <c r="AD42">
        <f t="shared" si="117"/>
        <v>1</v>
      </c>
      <c r="AE42" t="str">
        <f t="shared" si="117"/>
        <v/>
      </c>
      <c r="AF42" t="str">
        <f t="shared" si="117"/>
        <v/>
      </c>
      <c r="AG42" t="str">
        <f t="shared" si="117"/>
        <v/>
      </c>
      <c r="AH42" t="str">
        <f t="shared" si="117"/>
        <v/>
      </c>
      <c r="AI42" t="str">
        <f t="shared" ref="AI42:BB42" si="118">IF(AI8&gt;AI19,1,"")</f>
        <v/>
      </c>
      <c r="AJ42" t="str">
        <f t="shared" si="118"/>
        <v/>
      </c>
      <c r="AK42" t="str">
        <f t="shared" si="118"/>
        <v/>
      </c>
      <c r="AL42" t="str">
        <f t="shared" si="118"/>
        <v/>
      </c>
      <c r="AM42" t="str">
        <f t="shared" si="118"/>
        <v/>
      </c>
      <c r="AN42" t="str">
        <f t="shared" si="118"/>
        <v/>
      </c>
      <c r="AO42" t="str">
        <f t="shared" si="118"/>
        <v/>
      </c>
      <c r="AP42" t="str">
        <f t="shared" si="118"/>
        <v/>
      </c>
      <c r="AQ42" t="str">
        <f t="shared" si="118"/>
        <v/>
      </c>
      <c r="AR42" t="str">
        <f t="shared" si="118"/>
        <v/>
      </c>
      <c r="AS42">
        <f t="shared" si="118"/>
        <v>1</v>
      </c>
      <c r="AT42" t="str">
        <f t="shared" si="118"/>
        <v/>
      </c>
      <c r="AU42" t="str">
        <f t="shared" si="118"/>
        <v/>
      </c>
      <c r="AV42" t="str">
        <f t="shared" si="118"/>
        <v/>
      </c>
      <c r="AW42" t="str">
        <f t="shared" si="118"/>
        <v/>
      </c>
      <c r="AX42" t="str">
        <f t="shared" si="118"/>
        <v/>
      </c>
      <c r="AY42" t="str">
        <f t="shared" si="118"/>
        <v/>
      </c>
      <c r="AZ42">
        <f t="shared" si="118"/>
        <v>1</v>
      </c>
      <c r="BA42" t="str">
        <f t="shared" si="118"/>
        <v/>
      </c>
      <c r="BB42" t="str">
        <f t="shared" si="118"/>
        <v/>
      </c>
      <c r="BD42" s="3">
        <f t="shared" si="106"/>
        <v>0.11538461538461539</v>
      </c>
    </row>
    <row r="43" spans="1:125" x14ac:dyDescent="0.2">
      <c r="C43" t="str">
        <f t="shared" ref="C43:AH43" si="119">IF(C9&gt;C20,1,"")</f>
        <v/>
      </c>
      <c r="D43" t="str">
        <f t="shared" si="119"/>
        <v/>
      </c>
      <c r="E43" t="str">
        <f t="shared" si="119"/>
        <v/>
      </c>
      <c r="F43" t="str">
        <f t="shared" si="119"/>
        <v/>
      </c>
      <c r="G43" t="str">
        <f t="shared" si="119"/>
        <v/>
      </c>
      <c r="H43">
        <f t="shared" si="119"/>
        <v>1</v>
      </c>
      <c r="I43" t="str">
        <f t="shared" si="119"/>
        <v/>
      </c>
      <c r="J43" t="str">
        <f t="shared" si="119"/>
        <v/>
      </c>
      <c r="K43" t="str">
        <f t="shared" si="119"/>
        <v/>
      </c>
      <c r="L43" t="str">
        <f t="shared" si="119"/>
        <v/>
      </c>
      <c r="M43" t="str">
        <f t="shared" si="119"/>
        <v/>
      </c>
      <c r="N43" t="str">
        <f t="shared" si="119"/>
        <v/>
      </c>
      <c r="O43" t="str">
        <f t="shared" si="119"/>
        <v/>
      </c>
      <c r="P43" t="str">
        <f t="shared" si="119"/>
        <v/>
      </c>
      <c r="Q43" t="str">
        <f t="shared" si="119"/>
        <v/>
      </c>
      <c r="R43" t="str">
        <f t="shared" si="119"/>
        <v/>
      </c>
      <c r="S43" t="str">
        <f t="shared" si="119"/>
        <v/>
      </c>
      <c r="T43" t="str">
        <f t="shared" si="119"/>
        <v/>
      </c>
      <c r="U43" t="str">
        <f t="shared" si="119"/>
        <v/>
      </c>
      <c r="V43" t="str">
        <f t="shared" si="119"/>
        <v/>
      </c>
      <c r="W43" t="str">
        <f t="shared" si="119"/>
        <v/>
      </c>
      <c r="X43" t="str">
        <f t="shared" si="119"/>
        <v/>
      </c>
      <c r="Y43" t="str">
        <f t="shared" si="119"/>
        <v/>
      </c>
      <c r="Z43" t="str">
        <f t="shared" si="119"/>
        <v/>
      </c>
      <c r="AA43" t="str">
        <f t="shared" si="119"/>
        <v/>
      </c>
      <c r="AB43" t="str">
        <f t="shared" si="119"/>
        <v/>
      </c>
      <c r="AC43" t="str">
        <f t="shared" si="119"/>
        <v/>
      </c>
      <c r="AD43" t="str">
        <f t="shared" si="119"/>
        <v/>
      </c>
      <c r="AE43" t="str">
        <f t="shared" si="119"/>
        <v/>
      </c>
      <c r="AF43" t="str">
        <f t="shared" si="119"/>
        <v/>
      </c>
      <c r="AG43" t="str">
        <f t="shared" si="119"/>
        <v/>
      </c>
      <c r="AH43" t="str">
        <f t="shared" si="119"/>
        <v/>
      </c>
      <c r="AI43" t="str">
        <f t="shared" ref="AI43:BB43" si="120">IF(AI9&gt;AI20,1,"")</f>
        <v/>
      </c>
      <c r="AJ43" t="str">
        <f t="shared" si="120"/>
        <v/>
      </c>
      <c r="AK43" t="str">
        <f t="shared" si="120"/>
        <v/>
      </c>
      <c r="AL43" t="str">
        <f t="shared" si="120"/>
        <v/>
      </c>
      <c r="AM43" t="str">
        <f t="shared" si="120"/>
        <v/>
      </c>
      <c r="AN43">
        <f t="shared" si="120"/>
        <v>1</v>
      </c>
      <c r="AO43" t="str">
        <f t="shared" si="120"/>
        <v/>
      </c>
      <c r="AP43" t="str">
        <f t="shared" si="120"/>
        <v/>
      </c>
      <c r="AQ43" t="str">
        <f t="shared" si="120"/>
        <v/>
      </c>
      <c r="AR43" t="str">
        <f t="shared" si="120"/>
        <v/>
      </c>
      <c r="AS43" t="str">
        <f t="shared" si="120"/>
        <v/>
      </c>
      <c r="AT43" t="str">
        <f t="shared" si="120"/>
        <v/>
      </c>
      <c r="AU43" t="str">
        <f t="shared" si="120"/>
        <v/>
      </c>
      <c r="AV43" t="str">
        <f t="shared" si="120"/>
        <v/>
      </c>
      <c r="AW43" t="str">
        <f t="shared" si="120"/>
        <v/>
      </c>
      <c r="AX43" t="str">
        <f t="shared" si="120"/>
        <v/>
      </c>
      <c r="AY43" t="str">
        <f t="shared" si="120"/>
        <v/>
      </c>
      <c r="AZ43" t="str">
        <f t="shared" si="120"/>
        <v/>
      </c>
      <c r="BA43" t="str">
        <f t="shared" si="120"/>
        <v/>
      </c>
      <c r="BB43" t="str">
        <f t="shared" si="120"/>
        <v/>
      </c>
      <c r="BD43" s="3">
        <f t="shared" si="106"/>
        <v>3.8461538461538464E-2</v>
      </c>
    </row>
    <row r="44" spans="1:125" x14ac:dyDescent="0.2">
      <c r="C44" t="str">
        <f t="shared" ref="C44:AH44" si="121">IF(C10&gt;C21,1,"")</f>
        <v/>
      </c>
      <c r="D44" t="str">
        <f t="shared" si="121"/>
        <v/>
      </c>
      <c r="E44" t="str">
        <f t="shared" si="121"/>
        <v/>
      </c>
      <c r="F44" t="str">
        <f t="shared" si="121"/>
        <v/>
      </c>
      <c r="G44" t="str">
        <f t="shared" si="121"/>
        <v/>
      </c>
      <c r="H44" t="str">
        <f t="shared" si="121"/>
        <v/>
      </c>
      <c r="I44" t="str">
        <f t="shared" si="121"/>
        <v/>
      </c>
      <c r="J44" t="str">
        <f t="shared" si="121"/>
        <v/>
      </c>
      <c r="K44" t="str">
        <f t="shared" si="121"/>
        <v/>
      </c>
      <c r="L44" t="str">
        <f t="shared" si="121"/>
        <v/>
      </c>
      <c r="M44" t="str">
        <f t="shared" si="121"/>
        <v/>
      </c>
      <c r="N44" t="str">
        <f t="shared" si="121"/>
        <v/>
      </c>
      <c r="O44" t="str">
        <f t="shared" si="121"/>
        <v/>
      </c>
      <c r="P44" t="str">
        <f t="shared" si="121"/>
        <v/>
      </c>
      <c r="Q44" t="str">
        <f t="shared" si="121"/>
        <v/>
      </c>
      <c r="R44" t="str">
        <f t="shared" si="121"/>
        <v/>
      </c>
      <c r="S44" t="str">
        <f t="shared" si="121"/>
        <v/>
      </c>
      <c r="T44" t="str">
        <f t="shared" si="121"/>
        <v/>
      </c>
      <c r="U44" t="str">
        <f t="shared" si="121"/>
        <v/>
      </c>
      <c r="V44" t="str">
        <f t="shared" si="121"/>
        <v/>
      </c>
      <c r="W44" t="str">
        <f t="shared" si="121"/>
        <v/>
      </c>
      <c r="X44" t="str">
        <f t="shared" si="121"/>
        <v/>
      </c>
      <c r="Y44" t="str">
        <f t="shared" si="121"/>
        <v/>
      </c>
      <c r="Z44" t="str">
        <f t="shared" si="121"/>
        <v/>
      </c>
      <c r="AA44" t="str">
        <f t="shared" si="121"/>
        <v/>
      </c>
      <c r="AB44" t="str">
        <f t="shared" si="121"/>
        <v/>
      </c>
      <c r="AC44" t="str">
        <f t="shared" si="121"/>
        <v/>
      </c>
      <c r="AD44" t="str">
        <f t="shared" si="121"/>
        <v/>
      </c>
      <c r="AE44" t="str">
        <f t="shared" si="121"/>
        <v/>
      </c>
      <c r="AF44" t="str">
        <f t="shared" si="121"/>
        <v/>
      </c>
      <c r="AG44" t="str">
        <f t="shared" si="121"/>
        <v/>
      </c>
      <c r="AH44" t="str">
        <f t="shared" si="121"/>
        <v/>
      </c>
      <c r="AI44" t="str">
        <f t="shared" ref="AI44:BB44" si="122">IF(AI10&gt;AI21,1,"")</f>
        <v/>
      </c>
      <c r="AJ44" t="str">
        <f t="shared" si="122"/>
        <v/>
      </c>
      <c r="AK44" t="str">
        <f t="shared" si="122"/>
        <v/>
      </c>
      <c r="AL44" t="str">
        <f t="shared" si="122"/>
        <v/>
      </c>
      <c r="AM44" t="str">
        <f t="shared" si="122"/>
        <v/>
      </c>
      <c r="AN44" t="str">
        <f t="shared" si="122"/>
        <v/>
      </c>
      <c r="AO44" t="str">
        <f t="shared" si="122"/>
        <v/>
      </c>
      <c r="AP44" t="str">
        <f t="shared" si="122"/>
        <v/>
      </c>
      <c r="AQ44" t="str">
        <f t="shared" si="122"/>
        <v/>
      </c>
      <c r="AR44" t="str">
        <f t="shared" si="122"/>
        <v/>
      </c>
      <c r="AS44" t="str">
        <f t="shared" si="122"/>
        <v/>
      </c>
      <c r="AT44" t="str">
        <f t="shared" si="122"/>
        <v/>
      </c>
      <c r="AU44" t="str">
        <f t="shared" si="122"/>
        <v/>
      </c>
      <c r="AV44" t="str">
        <f t="shared" si="122"/>
        <v/>
      </c>
      <c r="AW44" t="str">
        <f t="shared" si="122"/>
        <v/>
      </c>
      <c r="AX44" t="str">
        <f t="shared" si="122"/>
        <v/>
      </c>
      <c r="AY44" t="str">
        <f t="shared" si="122"/>
        <v/>
      </c>
      <c r="AZ44" t="str">
        <f t="shared" si="122"/>
        <v/>
      </c>
      <c r="BA44" t="str">
        <f t="shared" si="122"/>
        <v/>
      </c>
      <c r="BB44" t="str">
        <f t="shared" si="122"/>
        <v/>
      </c>
      <c r="BD44" s="3">
        <f t="shared" si="106"/>
        <v>0</v>
      </c>
    </row>
    <row r="45" spans="1:125" x14ac:dyDescent="0.2">
      <c r="C45">
        <f t="shared" ref="C45:AH45" si="123">IF(C11&gt;C22,1,"")</f>
        <v>1</v>
      </c>
      <c r="D45">
        <f t="shared" si="123"/>
        <v>1</v>
      </c>
      <c r="E45">
        <f t="shared" si="123"/>
        <v>1</v>
      </c>
      <c r="F45" t="str">
        <f t="shared" si="123"/>
        <v/>
      </c>
      <c r="G45" t="str">
        <f t="shared" si="123"/>
        <v/>
      </c>
      <c r="H45" t="str">
        <f t="shared" si="123"/>
        <v/>
      </c>
      <c r="I45" t="str">
        <f t="shared" si="123"/>
        <v/>
      </c>
      <c r="J45" t="str">
        <f t="shared" si="123"/>
        <v/>
      </c>
      <c r="K45" t="str">
        <f t="shared" si="123"/>
        <v/>
      </c>
      <c r="L45" t="str">
        <f t="shared" si="123"/>
        <v/>
      </c>
      <c r="M45" t="str">
        <f t="shared" si="123"/>
        <v/>
      </c>
      <c r="N45">
        <f t="shared" si="123"/>
        <v>1</v>
      </c>
      <c r="O45">
        <f t="shared" si="123"/>
        <v>1</v>
      </c>
      <c r="P45" t="str">
        <f t="shared" si="123"/>
        <v/>
      </c>
      <c r="Q45" t="str">
        <f t="shared" si="123"/>
        <v/>
      </c>
      <c r="R45" t="str">
        <f t="shared" si="123"/>
        <v/>
      </c>
      <c r="S45" t="str">
        <f t="shared" si="123"/>
        <v/>
      </c>
      <c r="T45" t="str">
        <f t="shared" si="123"/>
        <v/>
      </c>
      <c r="U45" t="str">
        <f t="shared" si="123"/>
        <v/>
      </c>
      <c r="V45">
        <f t="shared" si="123"/>
        <v>1</v>
      </c>
      <c r="W45" t="str">
        <f t="shared" si="123"/>
        <v/>
      </c>
      <c r="X45" t="str">
        <f t="shared" si="123"/>
        <v/>
      </c>
      <c r="Y45">
        <f t="shared" si="123"/>
        <v>1</v>
      </c>
      <c r="Z45" t="str">
        <f t="shared" si="123"/>
        <v/>
      </c>
      <c r="AA45" t="str">
        <f t="shared" si="123"/>
        <v/>
      </c>
      <c r="AB45">
        <f t="shared" si="123"/>
        <v>1</v>
      </c>
      <c r="AC45" t="str">
        <f t="shared" si="123"/>
        <v/>
      </c>
      <c r="AD45" t="str">
        <f t="shared" si="123"/>
        <v/>
      </c>
      <c r="AE45" t="str">
        <f t="shared" si="123"/>
        <v/>
      </c>
      <c r="AF45">
        <f t="shared" si="123"/>
        <v>1</v>
      </c>
      <c r="AG45">
        <f t="shared" si="123"/>
        <v>1</v>
      </c>
      <c r="AH45">
        <f t="shared" si="123"/>
        <v>1</v>
      </c>
      <c r="AI45" t="str">
        <f t="shared" ref="AI45:BB45" si="124">IF(AI11&gt;AI22,1,"")</f>
        <v/>
      </c>
      <c r="AJ45" t="str">
        <f t="shared" si="124"/>
        <v/>
      </c>
      <c r="AK45" t="str">
        <f t="shared" si="124"/>
        <v/>
      </c>
      <c r="AL45" t="str">
        <f t="shared" si="124"/>
        <v/>
      </c>
      <c r="AM45" t="str">
        <f t="shared" si="124"/>
        <v/>
      </c>
      <c r="AN45" t="str">
        <f t="shared" si="124"/>
        <v/>
      </c>
      <c r="AO45" t="str">
        <f t="shared" si="124"/>
        <v/>
      </c>
      <c r="AP45" t="str">
        <f t="shared" si="124"/>
        <v/>
      </c>
      <c r="AQ45" t="str">
        <f t="shared" si="124"/>
        <v/>
      </c>
      <c r="AR45" t="str">
        <f t="shared" si="124"/>
        <v/>
      </c>
      <c r="AS45">
        <f t="shared" si="124"/>
        <v>1</v>
      </c>
      <c r="AT45">
        <f t="shared" si="124"/>
        <v>1</v>
      </c>
      <c r="AU45" t="str">
        <f t="shared" si="124"/>
        <v/>
      </c>
      <c r="AV45" t="str">
        <f t="shared" si="124"/>
        <v/>
      </c>
      <c r="AW45">
        <f t="shared" si="124"/>
        <v>1</v>
      </c>
      <c r="AX45" t="str">
        <f t="shared" si="124"/>
        <v/>
      </c>
      <c r="AY45" t="str">
        <f t="shared" si="124"/>
        <v/>
      </c>
      <c r="AZ45" t="str">
        <f t="shared" si="124"/>
        <v/>
      </c>
      <c r="BA45" t="str">
        <f t="shared" si="124"/>
        <v/>
      </c>
      <c r="BB45" t="str">
        <f t="shared" si="124"/>
        <v/>
      </c>
      <c r="BD45" s="3">
        <f t="shared" si="106"/>
        <v>0.26923076923076922</v>
      </c>
    </row>
    <row r="47" spans="1:125" x14ac:dyDescent="0.2">
      <c r="BD47" t="s">
        <v>170</v>
      </c>
      <c r="BE47" t="s">
        <v>171</v>
      </c>
    </row>
    <row r="48" spans="1:125" x14ac:dyDescent="0.2">
      <c r="A48" t="s">
        <v>181</v>
      </c>
      <c r="B48" t="s">
        <v>188</v>
      </c>
      <c r="D48">
        <f t="shared" ref="D48:AI48" si="125">C24+D13-C13</f>
        <v>46</v>
      </c>
      <c r="E48">
        <f t="shared" si="125"/>
        <v>46</v>
      </c>
      <c r="F48">
        <f t="shared" si="125"/>
        <v>46</v>
      </c>
      <c r="G48">
        <f t="shared" si="125"/>
        <v>0</v>
      </c>
      <c r="H48">
        <f t="shared" si="125"/>
        <v>0</v>
      </c>
      <c r="I48">
        <f t="shared" si="125"/>
        <v>92</v>
      </c>
      <c r="J48">
        <f t="shared" si="125"/>
        <v>0</v>
      </c>
      <c r="K48">
        <f t="shared" si="125"/>
        <v>46</v>
      </c>
      <c r="L48">
        <f t="shared" si="125"/>
        <v>0</v>
      </c>
      <c r="M48">
        <f t="shared" si="125"/>
        <v>0</v>
      </c>
      <c r="N48">
        <f t="shared" si="125"/>
        <v>-4</v>
      </c>
      <c r="O48">
        <f t="shared" si="125"/>
        <v>0</v>
      </c>
      <c r="P48">
        <f t="shared" si="125"/>
        <v>46</v>
      </c>
      <c r="Q48">
        <f t="shared" si="125"/>
        <v>0</v>
      </c>
      <c r="R48">
        <f t="shared" si="125"/>
        <v>46</v>
      </c>
      <c r="S48">
        <f t="shared" si="125"/>
        <v>46</v>
      </c>
      <c r="T48">
        <f t="shared" si="125"/>
        <v>0</v>
      </c>
      <c r="U48">
        <f t="shared" si="125"/>
        <v>46</v>
      </c>
      <c r="V48">
        <f t="shared" si="125"/>
        <v>0</v>
      </c>
      <c r="W48">
        <f t="shared" si="125"/>
        <v>46</v>
      </c>
      <c r="X48">
        <f t="shared" si="125"/>
        <v>46</v>
      </c>
      <c r="Y48">
        <f t="shared" si="125"/>
        <v>0</v>
      </c>
      <c r="Z48">
        <f t="shared" si="125"/>
        <v>0</v>
      </c>
      <c r="AA48">
        <f t="shared" si="125"/>
        <v>46</v>
      </c>
      <c r="AB48">
        <f t="shared" si="125"/>
        <v>50</v>
      </c>
      <c r="AC48">
        <f t="shared" si="125"/>
        <v>0</v>
      </c>
      <c r="AD48">
        <f t="shared" si="125"/>
        <v>0</v>
      </c>
      <c r="AE48">
        <f t="shared" si="125"/>
        <v>78</v>
      </c>
      <c r="AF48">
        <f t="shared" si="125"/>
        <v>78</v>
      </c>
      <c r="AG48">
        <f t="shared" si="125"/>
        <v>0</v>
      </c>
      <c r="AH48">
        <f t="shared" si="125"/>
        <v>0</v>
      </c>
      <c r="AI48">
        <f t="shared" si="125"/>
        <v>0</v>
      </c>
      <c r="AJ48">
        <f t="shared" ref="AJ48:BB48" si="126">AI24+AJ13-AI13</f>
        <v>0</v>
      </c>
      <c r="AK48">
        <f t="shared" si="126"/>
        <v>78</v>
      </c>
      <c r="AL48">
        <f t="shared" si="126"/>
        <v>0</v>
      </c>
      <c r="AM48">
        <f t="shared" si="126"/>
        <v>78</v>
      </c>
      <c r="AN48">
        <f t="shared" si="126"/>
        <v>0</v>
      </c>
      <c r="AO48">
        <f t="shared" si="126"/>
        <v>0</v>
      </c>
      <c r="AP48">
        <f t="shared" si="126"/>
        <v>78</v>
      </c>
      <c r="AQ48">
        <f t="shared" si="126"/>
        <v>0</v>
      </c>
      <c r="AR48">
        <f t="shared" si="126"/>
        <v>-1</v>
      </c>
      <c r="AS48">
        <f t="shared" si="126"/>
        <v>78</v>
      </c>
      <c r="AT48">
        <f t="shared" si="126"/>
        <v>0</v>
      </c>
      <c r="AU48">
        <f t="shared" si="126"/>
        <v>0</v>
      </c>
      <c r="AV48">
        <f t="shared" si="126"/>
        <v>0</v>
      </c>
      <c r="AW48">
        <f t="shared" si="126"/>
        <v>0</v>
      </c>
      <c r="AX48">
        <f t="shared" si="126"/>
        <v>78</v>
      </c>
      <c r="AY48">
        <f t="shared" si="126"/>
        <v>0</v>
      </c>
      <c r="AZ48">
        <f t="shared" si="126"/>
        <v>0</v>
      </c>
      <c r="BA48">
        <f t="shared" si="126"/>
        <v>78</v>
      </c>
      <c r="BB48">
        <f t="shared" si="126"/>
        <v>0</v>
      </c>
      <c r="BD48">
        <f t="shared" ref="BD48:BD57" si="127">COUNTIF(D48:BB48,"=0")</f>
        <v>28</v>
      </c>
      <c r="BE48" s="1">
        <f t="shared" ref="BE48:BE57" si="128">(52-BD48)/52</f>
        <v>0.46153846153846156</v>
      </c>
      <c r="BF48">
        <f>AVERAGE(D48:BB48)</f>
        <v>24.843137254901961</v>
      </c>
    </row>
    <row r="49" spans="1:58" x14ac:dyDescent="0.2">
      <c r="A49" t="s">
        <v>172</v>
      </c>
      <c r="B49" t="s">
        <v>188</v>
      </c>
      <c r="D49">
        <f t="shared" ref="D49:AI49" si="129">C25+D14-C14</f>
        <v>26</v>
      </c>
      <c r="E49">
        <f t="shared" si="129"/>
        <v>0</v>
      </c>
      <c r="F49">
        <f t="shared" si="129"/>
        <v>26</v>
      </c>
      <c r="G49">
        <f t="shared" si="129"/>
        <v>66</v>
      </c>
      <c r="H49">
        <f t="shared" si="129"/>
        <v>0</v>
      </c>
      <c r="I49">
        <f t="shared" si="129"/>
        <v>0</v>
      </c>
      <c r="J49">
        <f t="shared" si="129"/>
        <v>0</v>
      </c>
      <c r="K49">
        <f t="shared" si="129"/>
        <v>0</v>
      </c>
      <c r="L49">
        <f t="shared" si="129"/>
        <v>0</v>
      </c>
      <c r="M49">
        <f t="shared" si="129"/>
        <v>0</v>
      </c>
      <c r="N49">
        <f t="shared" si="129"/>
        <v>0</v>
      </c>
      <c r="O49">
        <f t="shared" si="129"/>
        <v>0</v>
      </c>
      <c r="P49">
        <f t="shared" si="129"/>
        <v>26</v>
      </c>
      <c r="Q49">
        <f t="shared" si="129"/>
        <v>26</v>
      </c>
      <c r="R49">
        <f t="shared" si="129"/>
        <v>0</v>
      </c>
      <c r="S49">
        <f t="shared" si="129"/>
        <v>26</v>
      </c>
      <c r="T49">
        <f t="shared" si="129"/>
        <v>0</v>
      </c>
      <c r="U49">
        <f t="shared" si="129"/>
        <v>26</v>
      </c>
      <c r="V49">
        <f t="shared" si="129"/>
        <v>0</v>
      </c>
      <c r="W49">
        <f t="shared" si="129"/>
        <v>42</v>
      </c>
      <c r="X49">
        <f t="shared" si="129"/>
        <v>0</v>
      </c>
      <c r="Y49">
        <f t="shared" si="129"/>
        <v>0</v>
      </c>
      <c r="Z49">
        <f t="shared" si="129"/>
        <v>0</v>
      </c>
      <c r="AA49">
        <f t="shared" si="129"/>
        <v>18</v>
      </c>
      <c r="AB49">
        <f t="shared" si="129"/>
        <v>0</v>
      </c>
      <c r="AC49">
        <f t="shared" si="129"/>
        <v>18</v>
      </c>
      <c r="AD49">
        <f t="shared" si="129"/>
        <v>0</v>
      </c>
      <c r="AE49">
        <f t="shared" si="129"/>
        <v>0</v>
      </c>
      <c r="AF49">
        <f t="shared" si="129"/>
        <v>0</v>
      </c>
      <c r="AG49">
        <f t="shared" si="129"/>
        <v>16</v>
      </c>
      <c r="AH49">
        <f t="shared" si="129"/>
        <v>16</v>
      </c>
      <c r="AI49">
        <f t="shared" si="129"/>
        <v>16</v>
      </c>
      <c r="AJ49">
        <f t="shared" ref="AJ49:BB49" si="130">AI25+AJ14-AI14</f>
        <v>16</v>
      </c>
      <c r="AK49">
        <f t="shared" si="130"/>
        <v>0</v>
      </c>
      <c r="AL49">
        <f t="shared" si="130"/>
        <v>16</v>
      </c>
      <c r="AM49">
        <f t="shared" si="130"/>
        <v>16</v>
      </c>
      <c r="AN49">
        <f t="shared" si="130"/>
        <v>0</v>
      </c>
      <c r="AO49">
        <f t="shared" si="130"/>
        <v>16</v>
      </c>
      <c r="AP49">
        <f t="shared" si="130"/>
        <v>16</v>
      </c>
      <c r="AQ49">
        <f t="shared" si="130"/>
        <v>0</v>
      </c>
      <c r="AR49">
        <f t="shared" si="130"/>
        <v>95</v>
      </c>
      <c r="AS49">
        <f t="shared" si="130"/>
        <v>16</v>
      </c>
      <c r="AT49">
        <f t="shared" si="130"/>
        <v>0</v>
      </c>
      <c r="AU49">
        <f t="shared" si="130"/>
        <v>0</v>
      </c>
      <c r="AV49">
        <f t="shared" si="130"/>
        <v>16</v>
      </c>
      <c r="AW49">
        <f t="shared" si="130"/>
        <v>16</v>
      </c>
      <c r="AX49">
        <f t="shared" si="130"/>
        <v>16</v>
      </c>
      <c r="AY49">
        <f t="shared" si="130"/>
        <v>16</v>
      </c>
      <c r="AZ49">
        <f t="shared" si="130"/>
        <v>16</v>
      </c>
      <c r="BA49">
        <f t="shared" si="130"/>
        <v>0</v>
      </c>
      <c r="BB49">
        <f t="shared" si="130"/>
        <v>108</v>
      </c>
      <c r="BD49">
        <f t="shared" si="127"/>
        <v>25</v>
      </c>
      <c r="BE49" s="1">
        <f t="shared" si="128"/>
        <v>0.51923076923076927</v>
      </c>
      <c r="BF49">
        <f t="shared" ref="BF49:BF57" si="131">AVERAGE(D49:BB49)</f>
        <v>14.254901960784315</v>
      </c>
    </row>
    <row r="50" spans="1:58" x14ac:dyDescent="0.2">
      <c r="A50" t="s">
        <v>173</v>
      </c>
      <c r="B50" t="s">
        <v>189</v>
      </c>
      <c r="D50">
        <f t="shared" ref="D50:AI50" si="132">C26+D15-C15</f>
        <v>0</v>
      </c>
      <c r="E50">
        <f t="shared" si="132"/>
        <v>0</v>
      </c>
      <c r="F50">
        <f t="shared" si="132"/>
        <v>45</v>
      </c>
      <c r="G50">
        <f t="shared" si="132"/>
        <v>0</v>
      </c>
      <c r="H50">
        <f t="shared" si="132"/>
        <v>0</v>
      </c>
      <c r="I50">
        <f t="shared" si="132"/>
        <v>0</v>
      </c>
      <c r="J50">
        <f t="shared" si="132"/>
        <v>0</v>
      </c>
      <c r="K50">
        <f t="shared" si="132"/>
        <v>45</v>
      </c>
      <c r="L50">
        <f t="shared" si="132"/>
        <v>0</v>
      </c>
      <c r="M50">
        <f t="shared" si="132"/>
        <v>0</v>
      </c>
      <c r="N50">
        <f t="shared" si="132"/>
        <v>0</v>
      </c>
      <c r="O50">
        <f t="shared" si="132"/>
        <v>45</v>
      </c>
      <c r="P50">
        <f t="shared" si="132"/>
        <v>0</v>
      </c>
      <c r="Q50">
        <f t="shared" si="132"/>
        <v>45</v>
      </c>
      <c r="R50">
        <f t="shared" si="132"/>
        <v>0</v>
      </c>
      <c r="S50">
        <f t="shared" si="132"/>
        <v>0</v>
      </c>
      <c r="T50">
        <f t="shared" si="132"/>
        <v>0</v>
      </c>
      <c r="U50">
        <f t="shared" si="132"/>
        <v>18</v>
      </c>
      <c r="V50">
        <f t="shared" si="132"/>
        <v>0</v>
      </c>
      <c r="W50">
        <f t="shared" si="132"/>
        <v>18</v>
      </c>
      <c r="X50">
        <f t="shared" si="132"/>
        <v>18</v>
      </c>
      <c r="Y50">
        <f t="shared" si="132"/>
        <v>0</v>
      </c>
      <c r="Z50">
        <f t="shared" si="132"/>
        <v>0</v>
      </c>
      <c r="AA50">
        <f t="shared" si="132"/>
        <v>0</v>
      </c>
      <c r="AB50">
        <f t="shared" si="132"/>
        <v>0</v>
      </c>
      <c r="AC50">
        <f t="shared" si="132"/>
        <v>0</v>
      </c>
      <c r="AD50">
        <f t="shared" si="132"/>
        <v>0</v>
      </c>
      <c r="AE50">
        <f t="shared" si="132"/>
        <v>52</v>
      </c>
      <c r="AF50">
        <f t="shared" si="132"/>
        <v>0</v>
      </c>
      <c r="AG50">
        <f t="shared" si="132"/>
        <v>0</v>
      </c>
      <c r="AH50">
        <f t="shared" si="132"/>
        <v>0</v>
      </c>
      <c r="AI50">
        <f t="shared" si="132"/>
        <v>0</v>
      </c>
      <c r="AJ50">
        <f t="shared" ref="AJ50:BB50" si="133">AI26+AJ15-AI15</f>
        <v>37</v>
      </c>
      <c r="AK50">
        <f t="shared" si="133"/>
        <v>0</v>
      </c>
      <c r="AL50">
        <f t="shared" si="133"/>
        <v>0</v>
      </c>
      <c r="AM50">
        <f t="shared" si="133"/>
        <v>37</v>
      </c>
      <c r="AN50">
        <f t="shared" si="133"/>
        <v>0</v>
      </c>
      <c r="AO50">
        <f t="shared" si="133"/>
        <v>0</v>
      </c>
      <c r="AP50">
        <f t="shared" si="133"/>
        <v>0</v>
      </c>
      <c r="AQ50">
        <f t="shared" si="133"/>
        <v>37</v>
      </c>
      <c r="AR50">
        <f t="shared" si="133"/>
        <v>0</v>
      </c>
      <c r="AS50">
        <f t="shared" si="133"/>
        <v>0</v>
      </c>
      <c r="AT50">
        <f t="shared" si="133"/>
        <v>0</v>
      </c>
      <c r="AU50">
        <f t="shared" si="133"/>
        <v>37</v>
      </c>
      <c r="AV50">
        <f t="shared" si="133"/>
        <v>1</v>
      </c>
      <c r="AW50">
        <f t="shared" si="133"/>
        <v>0</v>
      </c>
      <c r="AX50">
        <f t="shared" si="133"/>
        <v>0</v>
      </c>
      <c r="AY50">
        <f t="shared" si="133"/>
        <v>0</v>
      </c>
      <c r="AZ50">
        <f t="shared" si="133"/>
        <v>37</v>
      </c>
      <c r="BA50">
        <f t="shared" si="133"/>
        <v>0</v>
      </c>
      <c r="BB50">
        <f t="shared" si="133"/>
        <v>0</v>
      </c>
      <c r="BD50">
        <f t="shared" si="127"/>
        <v>37</v>
      </c>
      <c r="BE50" s="1">
        <f t="shared" si="128"/>
        <v>0.28846153846153844</v>
      </c>
      <c r="BF50">
        <f t="shared" si="131"/>
        <v>9.2549019607843146</v>
      </c>
    </row>
    <row r="51" spans="1:58" x14ac:dyDescent="0.2">
      <c r="A51" t="s">
        <v>174</v>
      </c>
      <c r="B51" t="s">
        <v>190</v>
      </c>
      <c r="D51">
        <f t="shared" ref="D51:AI51" si="134">C27+D16-C16</f>
        <v>0</v>
      </c>
      <c r="E51">
        <f t="shared" si="134"/>
        <v>0</v>
      </c>
      <c r="F51">
        <f t="shared" si="134"/>
        <v>0</v>
      </c>
      <c r="G51">
        <f t="shared" si="134"/>
        <v>0</v>
      </c>
      <c r="H51">
        <f t="shared" si="134"/>
        <v>45</v>
      </c>
      <c r="I51">
        <f t="shared" si="134"/>
        <v>0</v>
      </c>
      <c r="J51">
        <f t="shared" si="134"/>
        <v>0</v>
      </c>
      <c r="K51">
        <f t="shared" si="134"/>
        <v>0</v>
      </c>
      <c r="L51">
        <f t="shared" si="134"/>
        <v>0</v>
      </c>
      <c r="M51">
        <f t="shared" si="134"/>
        <v>0</v>
      </c>
      <c r="N51">
        <f t="shared" si="134"/>
        <v>0</v>
      </c>
      <c r="O51">
        <f t="shared" si="134"/>
        <v>0</v>
      </c>
      <c r="P51">
        <f t="shared" si="134"/>
        <v>0</v>
      </c>
      <c r="Q51">
        <f t="shared" si="134"/>
        <v>45</v>
      </c>
      <c r="R51">
        <f t="shared" si="134"/>
        <v>0</v>
      </c>
      <c r="S51">
        <f t="shared" si="134"/>
        <v>0</v>
      </c>
      <c r="T51">
        <f t="shared" si="134"/>
        <v>45</v>
      </c>
      <c r="U51">
        <f t="shared" si="134"/>
        <v>0</v>
      </c>
      <c r="V51">
        <f t="shared" si="134"/>
        <v>0</v>
      </c>
      <c r="W51">
        <f t="shared" si="134"/>
        <v>45</v>
      </c>
      <c r="X51">
        <f t="shared" si="134"/>
        <v>0</v>
      </c>
      <c r="Y51">
        <f t="shared" si="134"/>
        <v>0</v>
      </c>
      <c r="Z51">
        <f t="shared" si="134"/>
        <v>0</v>
      </c>
      <c r="AA51">
        <f t="shared" si="134"/>
        <v>0</v>
      </c>
      <c r="AB51">
        <f t="shared" si="134"/>
        <v>0</v>
      </c>
      <c r="AC51">
        <f t="shared" si="134"/>
        <v>0</v>
      </c>
      <c r="AD51">
        <f t="shared" si="134"/>
        <v>45</v>
      </c>
      <c r="AE51">
        <f t="shared" si="134"/>
        <v>0</v>
      </c>
      <c r="AF51">
        <f t="shared" si="134"/>
        <v>0</v>
      </c>
      <c r="AG51">
        <f t="shared" si="134"/>
        <v>0</v>
      </c>
      <c r="AH51">
        <f t="shared" si="134"/>
        <v>0</v>
      </c>
      <c r="AI51">
        <f t="shared" si="134"/>
        <v>0</v>
      </c>
      <c r="AJ51">
        <f t="shared" ref="AJ51:BB51" si="135">AI27+AJ16-AI16</f>
        <v>45</v>
      </c>
      <c r="AK51">
        <f t="shared" si="135"/>
        <v>0</v>
      </c>
      <c r="AL51">
        <f t="shared" si="135"/>
        <v>0</v>
      </c>
      <c r="AM51">
        <f t="shared" si="135"/>
        <v>0</v>
      </c>
      <c r="AN51">
        <f t="shared" si="135"/>
        <v>0</v>
      </c>
      <c r="AO51">
        <f t="shared" si="135"/>
        <v>45</v>
      </c>
      <c r="AP51">
        <f t="shared" si="135"/>
        <v>0</v>
      </c>
      <c r="AQ51">
        <f t="shared" si="135"/>
        <v>0</v>
      </c>
      <c r="AR51">
        <f t="shared" si="135"/>
        <v>0</v>
      </c>
      <c r="AS51">
        <f t="shared" si="135"/>
        <v>0</v>
      </c>
      <c r="AT51">
        <f t="shared" si="135"/>
        <v>0</v>
      </c>
      <c r="AU51">
        <f t="shared" si="135"/>
        <v>0</v>
      </c>
      <c r="AV51">
        <f t="shared" si="135"/>
        <v>0</v>
      </c>
      <c r="AW51">
        <f t="shared" si="135"/>
        <v>45</v>
      </c>
      <c r="AX51">
        <f t="shared" si="135"/>
        <v>90</v>
      </c>
      <c r="AY51">
        <f t="shared" si="135"/>
        <v>0</v>
      </c>
      <c r="AZ51">
        <f t="shared" si="135"/>
        <v>0</v>
      </c>
      <c r="BA51">
        <f t="shared" si="135"/>
        <v>0</v>
      </c>
      <c r="BB51">
        <f t="shared" si="135"/>
        <v>0</v>
      </c>
      <c r="BD51">
        <f t="shared" si="127"/>
        <v>42</v>
      </c>
      <c r="BE51" s="1">
        <f t="shared" si="128"/>
        <v>0.19230769230769232</v>
      </c>
      <c r="BF51">
        <f t="shared" si="131"/>
        <v>8.8235294117647065</v>
      </c>
    </row>
    <row r="52" spans="1:58" x14ac:dyDescent="0.2">
      <c r="A52" t="s">
        <v>175</v>
      </c>
      <c r="B52" t="s">
        <v>189</v>
      </c>
      <c r="D52">
        <f t="shared" ref="D52:AI52" si="136">C28+D17-C17</f>
        <v>11</v>
      </c>
      <c r="E52">
        <f t="shared" si="136"/>
        <v>0</v>
      </c>
      <c r="F52">
        <f t="shared" si="136"/>
        <v>0</v>
      </c>
      <c r="G52">
        <f t="shared" si="136"/>
        <v>11</v>
      </c>
      <c r="H52">
        <f t="shared" si="136"/>
        <v>0</v>
      </c>
      <c r="I52">
        <f t="shared" si="136"/>
        <v>22</v>
      </c>
      <c r="J52">
        <f t="shared" si="136"/>
        <v>0</v>
      </c>
      <c r="K52">
        <f t="shared" si="136"/>
        <v>11</v>
      </c>
      <c r="L52">
        <f t="shared" si="136"/>
        <v>0</v>
      </c>
      <c r="M52">
        <f t="shared" si="136"/>
        <v>0</v>
      </c>
      <c r="N52">
        <f t="shared" si="136"/>
        <v>0</v>
      </c>
      <c r="O52">
        <f t="shared" si="136"/>
        <v>0</v>
      </c>
      <c r="P52">
        <f t="shared" si="136"/>
        <v>11</v>
      </c>
      <c r="Q52">
        <f t="shared" si="136"/>
        <v>0</v>
      </c>
      <c r="R52">
        <f t="shared" si="136"/>
        <v>11</v>
      </c>
      <c r="S52">
        <f t="shared" si="136"/>
        <v>0</v>
      </c>
      <c r="T52">
        <f t="shared" si="136"/>
        <v>11</v>
      </c>
      <c r="U52">
        <f t="shared" si="136"/>
        <v>9</v>
      </c>
      <c r="V52">
        <f t="shared" si="136"/>
        <v>9</v>
      </c>
      <c r="W52">
        <f t="shared" si="136"/>
        <v>0</v>
      </c>
      <c r="X52">
        <f t="shared" si="136"/>
        <v>9</v>
      </c>
      <c r="Y52">
        <f t="shared" si="136"/>
        <v>9</v>
      </c>
      <c r="Z52">
        <f t="shared" si="136"/>
        <v>0</v>
      </c>
      <c r="AA52">
        <f t="shared" si="136"/>
        <v>0</v>
      </c>
      <c r="AB52">
        <f t="shared" si="136"/>
        <v>8</v>
      </c>
      <c r="AC52">
        <f t="shared" si="136"/>
        <v>0</v>
      </c>
      <c r="AD52">
        <f t="shared" si="136"/>
        <v>8</v>
      </c>
      <c r="AE52">
        <f t="shared" si="136"/>
        <v>17</v>
      </c>
      <c r="AF52">
        <f t="shared" si="136"/>
        <v>0</v>
      </c>
      <c r="AG52">
        <f t="shared" si="136"/>
        <v>0</v>
      </c>
      <c r="AH52">
        <f t="shared" si="136"/>
        <v>0</v>
      </c>
      <c r="AI52">
        <f t="shared" si="136"/>
        <v>17</v>
      </c>
      <c r="AJ52">
        <f t="shared" ref="AJ52:BB52" si="137">AI28+AJ17-AI17</f>
        <v>0</v>
      </c>
      <c r="AK52">
        <f t="shared" si="137"/>
        <v>0</v>
      </c>
      <c r="AL52">
        <f t="shared" si="137"/>
        <v>17</v>
      </c>
      <c r="AM52">
        <f t="shared" si="137"/>
        <v>0</v>
      </c>
      <c r="AN52">
        <f t="shared" si="137"/>
        <v>0</v>
      </c>
      <c r="AO52">
        <f t="shared" si="137"/>
        <v>0</v>
      </c>
      <c r="AP52">
        <f t="shared" si="137"/>
        <v>0</v>
      </c>
      <c r="AQ52">
        <f t="shared" si="137"/>
        <v>14</v>
      </c>
      <c r="AR52">
        <f t="shared" si="137"/>
        <v>0</v>
      </c>
      <c r="AS52">
        <f t="shared" si="137"/>
        <v>14</v>
      </c>
      <c r="AT52">
        <f t="shared" si="137"/>
        <v>0</v>
      </c>
      <c r="AU52">
        <f t="shared" si="137"/>
        <v>0</v>
      </c>
      <c r="AV52">
        <f t="shared" si="137"/>
        <v>0</v>
      </c>
      <c r="AW52">
        <f t="shared" si="137"/>
        <v>14</v>
      </c>
      <c r="AX52">
        <f t="shared" si="137"/>
        <v>0</v>
      </c>
      <c r="AY52">
        <f t="shared" si="137"/>
        <v>14</v>
      </c>
      <c r="AZ52">
        <f t="shared" si="137"/>
        <v>0</v>
      </c>
      <c r="BA52">
        <f t="shared" si="137"/>
        <v>0</v>
      </c>
      <c r="BB52">
        <f t="shared" si="137"/>
        <v>14</v>
      </c>
      <c r="BD52">
        <f t="shared" si="127"/>
        <v>30</v>
      </c>
      <c r="BE52" s="1">
        <f t="shared" si="128"/>
        <v>0.42307692307692307</v>
      </c>
      <c r="BF52">
        <f t="shared" si="131"/>
        <v>5.117647058823529</v>
      </c>
    </row>
    <row r="53" spans="1:58" x14ac:dyDescent="0.2">
      <c r="A53" t="s">
        <v>176</v>
      </c>
      <c r="B53" t="s">
        <v>189</v>
      </c>
      <c r="D53">
        <f t="shared" ref="D53:AI53" si="138">C29+D18-C18</f>
        <v>0</v>
      </c>
      <c r="E53">
        <f t="shared" si="138"/>
        <v>12</v>
      </c>
      <c r="F53">
        <f t="shared" si="138"/>
        <v>0</v>
      </c>
      <c r="G53">
        <f t="shared" si="138"/>
        <v>12</v>
      </c>
      <c r="H53">
        <f t="shared" si="138"/>
        <v>0</v>
      </c>
      <c r="I53">
        <f t="shared" si="138"/>
        <v>12</v>
      </c>
      <c r="J53">
        <f t="shared" si="138"/>
        <v>12</v>
      </c>
      <c r="K53">
        <f t="shared" si="138"/>
        <v>0</v>
      </c>
      <c r="L53">
        <f t="shared" si="138"/>
        <v>12</v>
      </c>
      <c r="M53">
        <f t="shared" si="138"/>
        <v>-2</v>
      </c>
      <c r="N53">
        <f t="shared" si="138"/>
        <v>0</v>
      </c>
      <c r="O53">
        <f t="shared" si="138"/>
        <v>0</v>
      </c>
      <c r="P53">
        <f t="shared" si="138"/>
        <v>12</v>
      </c>
      <c r="Q53">
        <f t="shared" si="138"/>
        <v>0</v>
      </c>
      <c r="R53">
        <f t="shared" si="138"/>
        <v>12</v>
      </c>
      <c r="S53">
        <f t="shared" si="138"/>
        <v>0</v>
      </c>
      <c r="T53">
        <f t="shared" si="138"/>
        <v>12</v>
      </c>
      <c r="U53">
        <f t="shared" si="138"/>
        <v>0</v>
      </c>
      <c r="V53">
        <f t="shared" si="138"/>
        <v>0</v>
      </c>
      <c r="W53">
        <f t="shared" si="138"/>
        <v>5</v>
      </c>
      <c r="X53">
        <f t="shared" si="138"/>
        <v>17</v>
      </c>
      <c r="Y53">
        <f t="shared" si="138"/>
        <v>2</v>
      </c>
      <c r="Z53">
        <f t="shared" si="138"/>
        <v>12</v>
      </c>
      <c r="AA53">
        <f t="shared" si="138"/>
        <v>0</v>
      </c>
      <c r="AB53">
        <f t="shared" si="138"/>
        <v>0</v>
      </c>
      <c r="AC53">
        <f t="shared" si="138"/>
        <v>0</v>
      </c>
      <c r="AD53">
        <f t="shared" si="138"/>
        <v>24</v>
      </c>
      <c r="AE53">
        <f t="shared" si="138"/>
        <v>-3</v>
      </c>
      <c r="AF53">
        <f t="shared" si="138"/>
        <v>1</v>
      </c>
      <c r="AG53">
        <f t="shared" si="138"/>
        <v>12</v>
      </c>
      <c r="AH53">
        <f t="shared" si="138"/>
        <v>12</v>
      </c>
      <c r="AI53">
        <f t="shared" si="138"/>
        <v>0</v>
      </c>
      <c r="AJ53">
        <f t="shared" ref="AJ53:BB53" si="139">AI29+AJ18-AI18</f>
        <v>24</v>
      </c>
      <c r="AK53">
        <f t="shared" si="139"/>
        <v>0</v>
      </c>
      <c r="AL53">
        <f t="shared" si="139"/>
        <v>0</v>
      </c>
      <c r="AM53">
        <f t="shared" si="139"/>
        <v>0</v>
      </c>
      <c r="AN53">
        <f t="shared" si="139"/>
        <v>0</v>
      </c>
      <c r="AO53">
        <f t="shared" si="139"/>
        <v>0</v>
      </c>
      <c r="AP53">
        <f t="shared" si="139"/>
        <v>12</v>
      </c>
      <c r="AQ53">
        <f t="shared" si="139"/>
        <v>0</v>
      </c>
      <c r="AR53">
        <f t="shared" si="139"/>
        <v>0</v>
      </c>
      <c r="AS53">
        <f t="shared" si="139"/>
        <v>0</v>
      </c>
      <c r="AT53">
        <f t="shared" si="139"/>
        <v>0</v>
      </c>
      <c r="AU53">
        <f t="shared" si="139"/>
        <v>27</v>
      </c>
      <c r="AV53">
        <f t="shared" si="139"/>
        <v>0</v>
      </c>
      <c r="AW53">
        <f t="shared" si="139"/>
        <v>0</v>
      </c>
      <c r="AX53">
        <f t="shared" si="139"/>
        <v>0</v>
      </c>
      <c r="AY53">
        <f t="shared" si="139"/>
        <v>0</v>
      </c>
      <c r="AZ53">
        <f t="shared" si="139"/>
        <v>0</v>
      </c>
      <c r="BA53">
        <f t="shared" si="139"/>
        <v>0</v>
      </c>
      <c r="BB53">
        <f t="shared" si="139"/>
        <v>0</v>
      </c>
      <c r="BD53">
        <f t="shared" si="127"/>
        <v>30</v>
      </c>
      <c r="BE53" s="1">
        <f t="shared" si="128"/>
        <v>0.42307692307692307</v>
      </c>
      <c r="BF53">
        <f t="shared" si="131"/>
        <v>4.6862745098039218</v>
      </c>
    </row>
    <row r="54" spans="1:58" x14ac:dyDescent="0.2">
      <c r="A54" t="s">
        <v>177</v>
      </c>
      <c r="B54" t="s">
        <v>190</v>
      </c>
      <c r="D54">
        <f t="shared" ref="D54:AI54" si="140">C30+D19-C19</f>
        <v>12</v>
      </c>
      <c r="E54">
        <f t="shared" si="140"/>
        <v>0</v>
      </c>
      <c r="F54">
        <f t="shared" si="140"/>
        <v>0</v>
      </c>
      <c r="G54">
        <f t="shared" si="140"/>
        <v>0</v>
      </c>
      <c r="H54">
        <f t="shared" si="140"/>
        <v>12</v>
      </c>
      <c r="I54">
        <f t="shared" si="140"/>
        <v>0</v>
      </c>
      <c r="J54">
        <f t="shared" si="140"/>
        <v>12</v>
      </c>
      <c r="K54">
        <f t="shared" si="140"/>
        <v>0</v>
      </c>
      <c r="L54">
        <f t="shared" si="140"/>
        <v>0</v>
      </c>
      <c r="M54">
        <f t="shared" si="140"/>
        <v>0</v>
      </c>
      <c r="N54">
        <f t="shared" si="140"/>
        <v>0</v>
      </c>
      <c r="O54">
        <f t="shared" si="140"/>
        <v>12</v>
      </c>
      <c r="P54">
        <f t="shared" si="140"/>
        <v>0</v>
      </c>
      <c r="Q54">
        <f t="shared" si="140"/>
        <v>0</v>
      </c>
      <c r="R54">
        <f t="shared" si="140"/>
        <v>0</v>
      </c>
      <c r="S54">
        <f t="shared" si="140"/>
        <v>12</v>
      </c>
      <c r="T54">
        <f t="shared" si="140"/>
        <v>0</v>
      </c>
      <c r="U54">
        <f t="shared" si="140"/>
        <v>0</v>
      </c>
      <c r="V54">
        <f t="shared" si="140"/>
        <v>0</v>
      </c>
      <c r="W54">
        <f t="shared" si="140"/>
        <v>0</v>
      </c>
      <c r="X54">
        <f t="shared" si="140"/>
        <v>12</v>
      </c>
      <c r="Y54">
        <f t="shared" si="140"/>
        <v>0</v>
      </c>
      <c r="Z54">
        <f t="shared" si="140"/>
        <v>0</v>
      </c>
      <c r="AA54">
        <f t="shared" si="140"/>
        <v>0</v>
      </c>
      <c r="AB54">
        <f t="shared" si="140"/>
        <v>12</v>
      </c>
      <c r="AC54">
        <f t="shared" si="140"/>
        <v>0</v>
      </c>
      <c r="AD54">
        <f t="shared" si="140"/>
        <v>0</v>
      </c>
      <c r="AE54">
        <f t="shared" si="140"/>
        <v>12</v>
      </c>
      <c r="AF54">
        <f t="shared" si="140"/>
        <v>0</v>
      </c>
      <c r="AG54">
        <f t="shared" si="140"/>
        <v>0</v>
      </c>
      <c r="AH54">
        <f t="shared" si="140"/>
        <v>0</v>
      </c>
      <c r="AI54">
        <f t="shared" si="140"/>
        <v>12</v>
      </c>
      <c r="AJ54">
        <f t="shared" ref="AJ54:BB54" si="141">AI30+AJ19-AI19</f>
        <v>0</v>
      </c>
      <c r="AK54">
        <f t="shared" si="141"/>
        <v>0</v>
      </c>
      <c r="AL54">
        <f t="shared" si="141"/>
        <v>12</v>
      </c>
      <c r="AM54">
        <f t="shared" si="141"/>
        <v>0</v>
      </c>
      <c r="AN54">
        <f t="shared" si="141"/>
        <v>0</v>
      </c>
      <c r="AO54">
        <f t="shared" si="141"/>
        <v>0</v>
      </c>
      <c r="AP54">
        <f t="shared" si="141"/>
        <v>12</v>
      </c>
      <c r="AQ54">
        <f t="shared" si="141"/>
        <v>0</v>
      </c>
      <c r="AR54">
        <f t="shared" si="141"/>
        <v>0</v>
      </c>
      <c r="AS54">
        <f t="shared" si="141"/>
        <v>0</v>
      </c>
      <c r="AT54">
        <f t="shared" si="141"/>
        <v>12</v>
      </c>
      <c r="AU54">
        <f t="shared" si="141"/>
        <v>0</v>
      </c>
      <c r="AV54">
        <f t="shared" si="141"/>
        <v>0</v>
      </c>
      <c r="AW54">
        <f t="shared" si="141"/>
        <v>12</v>
      </c>
      <c r="AX54">
        <f t="shared" si="141"/>
        <v>0</v>
      </c>
      <c r="AY54">
        <f t="shared" si="141"/>
        <v>0</v>
      </c>
      <c r="AZ54">
        <f t="shared" si="141"/>
        <v>0</v>
      </c>
      <c r="BA54">
        <f t="shared" si="141"/>
        <v>12</v>
      </c>
      <c r="BB54">
        <f t="shared" si="141"/>
        <v>0</v>
      </c>
      <c r="BD54">
        <f t="shared" si="127"/>
        <v>37</v>
      </c>
      <c r="BE54" s="1">
        <f t="shared" si="128"/>
        <v>0.28846153846153844</v>
      </c>
      <c r="BF54">
        <f t="shared" si="131"/>
        <v>3.2941176470588234</v>
      </c>
    </row>
    <row r="55" spans="1:58" x14ac:dyDescent="0.2">
      <c r="A55" t="s">
        <v>178</v>
      </c>
      <c r="B55" t="s">
        <v>188</v>
      </c>
      <c r="D55">
        <f t="shared" ref="D55:AI55" si="142">C31+D20-C20</f>
        <v>0</v>
      </c>
      <c r="E55">
        <f t="shared" si="142"/>
        <v>0</v>
      </c>
      <c r="F55">
        <f t="shared" si="142"/>
        <v>8</v>
      </c>
      <c r="G55">
        <f t="shared" si="142"/>
        <v>0</v>
      </c>
      <c r="H55">
        <f t="shared" si="142"/>
        <v>0</v>
      </c>
      <c r="I55">
        <f t="shared" si="142"/>
        <v>8</v>
      </c>
      <c r="J55">
        <f t="shared" si="142"/>
        <v>0</v>
      </c>
      <c r="K55">
        <f t="shared" si="142"/>
        <v>4</v>
      </c>
      <c r="L55">
        <f t="shared" si="142"/>
        <v>0</v>
      </c>
      <c r="M55">
        <f t="shared" si="142"/>
        <v>0</v>
      </c>
      <c r="N55">
        <f t="shared" si="142"/>
        <v>0</v>
      </c>
      <c r="O55">
        <f t="shared" si="142"/>
        <v>0</v>
      </c>
      <c r="P55">
        <f t="shared" si="142"/>
        <v>0</v>
      </c>
      <c r="Q55">
        <f t="shared" si="142"/>
        <v>0</v>
      </c>
      <c r="R55">
        <f t="shared" si="142"/>
        <v>4</v>
      </c>
      <c r="S55">
        <f t="shared" si="142"/>
        <v>0</v>
      </c>
      <c r="T55">
        <f t="shared" si="142"/>
        <v>4</v>
      </c>
      <c r="U55">
        <f t="shared" si="142"/>
        <v>4</v>
      </c>
      <c r="V55">
        <f t="shared" si="142"/>
        <v>0</v>
      </c>
      <c r="W55">
        <f t="shared" si="142"/>
        <v>4</v>
      </c>
      <c r="X55">
        <f t="shared" si="142"/>
        <v>0</v>
      </c>
      <c r="Y55">
        <f t="shared" si="142"/>
        <v>4</v>
      </c>
      <c r="Z55">
        <f t="shared" si="142"/>
        <v>0</v>
      </c>
      <c r="AA55">
        <f t="shared" si="142"/>
        <v>0</v>
      </c>
      <c r="AB55">
        <f t="shared" si="142"/>
        <v>8</v>
      </c>
      <c r="AC55">
        <f t="shared" si="142"/>
        <v>0</v>
      </c>
      <c r="AD55">
        <f t="shared" si="142"/>
        <v>0</v>
      </c>
      <c r="AE55">
        <f t="shared" si="142"/>
        <v>3</v>
      </c>
      <c r="AF55">
        <f t="shared" si="142"/>
        <v>0</v>
      </c>
      <c r="AG55">
        <f t="shared" si="142"/>
        <v>0</v>
      </c>
      <c r="AH55">
        <f t="shared" si="142"/>
        <v>3</v>
      </c>
      <c r="AI55">
        <f t="shared" si="142"/>
        <v>3</v>
      </c>
      <c r="AJ55">
        <f t="shared" ref="AJ55:BB55" si="143">AI31+AJ20-AI20</f>
        <v>0</v>
      </c>
      <c r="AK55">
        <f t="shared" si="143"/>
        <v>6</v>
      </c>
      <c r="AL55">
        <f t="shared" si="143"/>
        <v>0</v>
      </c>
      <c r="AM55">
        <f t="shared" si="143"/>
        <v>0</v>
      </c>
      <c r="AN55">
        <f t="shared" si="143"/>
        <v>0</v>
      </c>
      <c r="AO55">
        <f t="shared" si="143"/>
        <v>14</v>
      </c>
      <c r="AP55">
        <f t="shared" si="143"/>
        <v>7</v>
      </c>
      <c r="AQ55">
        <f t="shared" si="143"/>
        <v>0</v>
      </c>
      <c r="AR55">
        <f t="shared" si="143"/>
        <v>7</v>
      </c>
      <c r="AS55">
        <f t="shared" si="143"/>
        <v>0</v>
      </c>
      <c r="AT55">
        <f t="shared" si="143"/>
        <v>0</v>
      </c>
      <c r="AU55">
        <f t="shared" si="143"/>
        <v>0</v>
      </c>
      <c r="AV55">
        <f t="shared" si="143"/>
        <v>0</v>
      </c>
      <c r="AW55">
        <f t="shared" si="143"/>
        <v>0</v>
      </c>
      <c r="AX55">
        <f t="shared" si="143"/>
        <v>0</v>
      </c>
      <c r="AY55">
        <f t="shared" si="143"/>
        <v>0</v>
      </c>
      <c r="AZ55">
        <f t="shared" si="143"/>
        <v>0</v>
      </c>
      <c r="BA55">
        <f t="shared" si="143"/>
        <v>0</v>
      </c>
      <c r="BB55">
        <f t="shared" si="143"/>
        <v>0</v>
      </c>
      <c r="BD55">
        <f t="shared" si="127"/>
        <v>35</v>
      </c>
      <c r="BE55" s="1">
        <f t="shared" si="128"/>
        <v>0.32692307692307693</v>
      </c>
      <c r="BF55">
        <f t="shared" si="131"/>
        <v>1.7843137254901962</v>
      </c>
    </row>
    <row r="56" spans="1:58" x14ac:dyDescent="0.2">
      <c r="A56" t="s">
        <v>179</v>
      </c>
      <c r="B56" t="s">
        <v>188</v>
      </c>
      <c r="D56">
        <f t="shared" ref="D56:AI56" si="144">C32+D21-C21</f>
        <v>0</v>
      </c>
      <c r="E56">
        <f t="shared" si="144"/>
        <v>0</v>
      </c>
      <c r="F56">
        <f t="shared" si="144"/>
        <v>0</v>
      </c>
      <c r="G56">
        <f t="shared" si="144"/>
        <v>0</v>
      </c>
      <c r="H56">
        <f t="shared" si="144"/>
        <v>0</v>
      </c>
      <c r="I56">
        <f t="shared" si="144"/>
        <v>0</v>
      </c>
      <c r="J56">
        <f t="shared" si="144"/>
        <v>0</v>
      </c>
      <c r="K56">
        <f t="shared" si="144"/>
        <v>0</v>
      </c>
      <c r="L56">
        <f t="shared" si="144"/>
        <v>0</v>
      </c>
      <c r="M56">
        <f t="shared" si="144"/>
        <v>0</v>
      </c>
      <c r="N56">
        <f t="shared" si="144"/>
        <v>0</v>
      </c>
      <c r="O56">
        <f t="shared" si="144"/>
        <v>0</v>
      </c>
      <c r="P56">
        <f t="shared" si="144"/>
        <v>16</v>
      </c>
      <c r="Q56">
        <f t="shared" si="144"/>
        <v>0</v>
      </c>
      <c r="R56">
        <f t="shared" si="144"/>
        <v>0</v>
      </c>
      <c r="S56">
        <f t="shared" si="144"/>
        <v>0</v>
      </c>
      <c r="T56">
        <f t="shared" si="144"/>
        <v>0</v>
      </c>
      <c r="U56">
        <f t="shared" si="144"/>
        <v>16</v>
      </c>
      <c r="V56">
        <f t="shared" si="144"/>
        <v>0</v>
      </c>
      <c r="W56">
        <f t="shared" si="144"/>
        <v>0</v>
      </c>
      <c r="X56">
        <f t="shared" si="144"/>
        <v>0</v>
      </c>
      <c r="Y56">
        <f t="shared" si="144"/>
        <v>16</v>
      </c>
      <c r="Z56">
        <f t="shared" si="144"/>
        <v>0</v>
      </c>
      <c r="AA56">
        <f t="shared" si="144"/>
        <v>0</v>
      </c>
      <c r="AB56">
        <f t="shared" si="144"/>
        <v>-2</v>
      </c>
      <c r="AC56">
        <f t="shared" si="144"/>
        <v>1</v>
      </c>
      <c r="AD56">
        <f t="shared" si="144"/>
        <v>0</v>
      </c>
      <c r="AE56">
        <f t="shared" si="144"/>
        <v>0</v>
      </c>
      <c r="AF56">
        <f t="shared" si="144"/>
        <v>0</v>
      </c>
      <c r="AG56">
        <f t="shared" si="144"/>
        <v>0</v>
      </c>
      <c r="AH56">
        <f t="shared" si="144"/>
        <v>0</v>
      </c>
      <c r="AI56">
        <f t="shared" si="144"/>
        <v>0</v>
      </c>
      <c r="AJ56">
        <f t="shared" ref="AJ56:BB56" si="145">AI32+AJ21-AI21</f>
        <v>0</v>
      </c>
      <c r="AK56">
        <f t="shared" si="145"/>
        <v>0</v>
      </c>
      <c r="AL56">
        <f t="shared" si="145"/>
        <v>0</v>
      </c>
      <c r="AM56">
        <f t="shared" si="145"/>
        <v>0</v>
      </c>
      <c r="AN56">
        <f t="shared" si="145"/>
        <v>0</v>
      </c>
      <c r="AO56">
        <f t="shared" si="145"/>
        <v>0</v>
      </c>
      <c r="AP56">
        <f t="shared" si="145"/>
        <v>8</v>
      </c>
      <c r="AQ56">
        <f t="shared" si="145"/>
        <v>0</v>
      </c>
      <c r="AR56">
        <f t="shared" si="145"/>
        <v>0</v>
      </c>
      <c r="AS56">
        <f t="shared" si="145"/>
        <v>0</v>
      </c>
      <c r="AT56">
        <f t="shared" si="145"/>
        <v>0</v>
      </c>
      <c r="AU56">
        <f t="shared" si="145"/>
        <v>10</v>
      </c>
      <c r="AV56">
        <f t="shared" si="145"/>
        <v>0</v>
      </c>
      <c r="AW56">
        <f t="shared" si="145"/>
        <v>0</v>
      </c>
      <c r="AX56">
        <f t="shared" si="145"/>
        <v>0</v>
      </c>
      <c r="AY56">
        <f t="shared" si="145"/>
        <v>0</v>
      </c>
      <c r="AZ56">
        <f t="shared" si="145"/>
        <v>0</v>
      </c>
      <c r="BA56">
        <f t="shared" si="145"/>
        <v>0</v>
      </c>
      <c r="BB56">
        <f t="shared" si="145"/>
        <v>0</v>
      </c>
      <c r="BD56">
        <f t="shared" si="127"/>
        <v>44</v>
      </c>
      <c r="BE56" s="1">
        <f t="shared" si="128"/>
        <v>0.15384615384615385</v>
      </c>
      <c r="BF56">
        <f t="shared" si="131"/>
        <v>1.2745098039215685</v>
      </c>
    </row>
    <row r="57" spans="1:58" x14ac:dyDescent="0.2">
      <c r="A57" t="s">
        <v>180</v>
      </c>
      <c r="B57" t="s">
        <v>189</v>
      </c>
      <c r="D57">
        <f t="shared" ref="D57:AI57" si="146">C33+D22-C22</f>
        <v>5</v>
      </c>
      <c r="E57">
        <f t="shared" si="146"/>
        <v>0</v>
      </c>
      <c r="F57">
        <f t="shared" si="146"/>
        <v>11</v>
      </c>
      <c r="G57">
        <f t="shared" si="146"/>
        <v>0</v>
      </c>
      <c r="H57">
        <f t="shared" si="146"/>
        <v>0</v>
      </c>
      <c r="I57">
        <f t="shared" si="146"/>
        <v>10</v>
      </c>
      <c r="J57">
        <f t="shared" si="146"/>
        <v>0</v>
      </c>
      <c r="K57">
        <f t="shared" si="146"/>
        <v>0</v>
      </c>
      <c r="L57">
        <f t="shared" si="146"/>
        <v>0</v>
      </c>
      <c r="M57">
        <f t="shared" si="146"/>
        <v>0</v>
      </c>
      <c r="N57">
        <f t="shared" si="146"/>
        <v>0</v>
      </c>
      <c r="O57">
        <f t="shared" si="146"/>
        <v>0</v>
      </c>
      <c r="P57">
        <f t="shared" si="146"/>
        <v>5</v>
      </c>
      <c r="Q57">
        <f t="shared" si="146"/>
        <v>0</v>
      </c>
      <c r="R57">
        <f t="shared" si="146"/>
        <v>0</v>
      </c>
      <c r="S57">
        <f t="shared" si="146"/>
        <v>5</v>
      </c>
      <c r="T57">
        <f t="shared" si="146"/>
        <v>0</v>
      </c>
      <c r="U57">
        <f t="shared" si="146"/>
        <v>0</v>
      </c>
      <c r="V57">
        <f t="shared" si="146"/>
        <v>0</v>
      </c>
      <c r="W57">
        <f t="shared" si="146"/>
        <v>5</v>
      </c>
      <c r="X57">
        <f t="shared" si="146"/>
        <v>0</v>
      </c>
      <c r="Y57">
        <f t="shared" si="146"/>
        <v>0</v>
      </c>
      <c r="Z57">
        <f t="shared" si="146"/>
        <v>5</v>
      </c>
      <c r="AA57">
        <f t="shared" si="146"/>
        <v>0</v>
      </c>
      <c r="AB57">
        <f t="shared" si="146"/>
        <v>0</v>
      </c>
      <c r="AC57">
        <f t="shared" si="146"/>
        <v>5</v>
      </c>
      <c r="AD57">
        <f t="shared" si="146"/>
        <v>0</v>
      </c>
      <c r="AE57">
        <f t="shared" si="146"/>
        <v>5</v>
      </c>
      <c r="AF57">
        <f t="shared" si="146"/>
        <v>0</v>
      </c>
      <c r="AG57">
        <f t="shared" si="146"/>
        <v>0</v>
      </c>
      <c r="AH57">
        <f t="shared" si="146"/>
        <v>5</v>
      </c>
      <c r="AI57">
        <f t="shared" si="146"/>
        <v>10</v>
      </c>
      <c r="AJ57">
        <f t="shared" ref="AJ57:BB57" si="147">AI33+AJ22-AI22</f>
        <v>0</v>
      </c>
      <c r="AK57">
        <f t="shared" si="147"/>
        <v>0</v>
      </c>
      <c r="AL57">
        <f t="shared" si="147"/>
        <v>0</v>
      </c>
      <c r="AM57">
        <f t="shared" si="147"/>
        <v>0</v>
      </c>
      <c r="AN57">
        <f t="shared" si="147"/>
        <v>0</v>
      </c>
      <c r="AO57">
        <f t="shared" si="147"/>
        <v>0</v>
      </c>
      <c r="AP57">
        <f t="shared" si="147"/>
        <v>0</v>
      </c>
      <c r="AQ57">
        <f t="shared" si="147"/>
        <v>0</v>
      </c>
      <c r="AR57">
        <f t="shared" si="147"/>
        <v>0</v>
      </c>
      <c r="AS57">
        <f t="shared" si="147"/>
        <v>0</v>
      </c>
      <c r="AT57">
        <f t="shared" si="147"/>
        <v>0</v>
      </c>
      <c r="AU57">
        <f t="shared" si="147"/>
        <v>5</v>
      </c>
      <c r="AV57">
        <f t="shared" si="147"/>
        <v>0</v>
      </c>
      <c r="AW57">
        <f t="shared" si="147"/>
        <v>-2</v>
      </c>
      <c r="AX57">
        <f t="shared" si="147"/>
        <v>7</v>
      </c>
      <c r="AY57">
        <f t="shared" si="147"/>
        <v>0</v>
      </c>
      <c r="AZ57">
        <f t="shared" si="147"/>
        <v>0</v>
      </c>
      <c r="BA57">
        <f t="shared" si="147"/>
        <v>0</v>
      </c>
      <c r="BB57">
        <f t="shared" si="147"/>
        <v>0</v>
      </c>
      <c r="BD57">
        <f t="shared" si="127"/>
        <v>37</v>
      </c>
      <c r="BE57" s="1">
        <f t="shared" si="128"/>
        <v>0.28846153846153844</v>
      </c>
      <c r="BF57">
        <f t="shared" si="131"/>
        <v>1.588235294117647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7"/>
  <sheetViews>
    <sheetView zoomScale="140" zoomScaleNormal="140" workbookViewId="0">
      <selection activeCell="D28" sqref="D28"/>
    </sheetView>
  </sheetViews>
  <sheetFormatPr baseColWidth="10" defaultColWidth="10.83203125" defaultRowHeight="16" x14ac:dyDescent="0.2"/>
  <cols>
    <col min="1" max="1" width="8.1640625" customWidth="1"/>
    <col min="2" max="2" width="7" customWidth="1"/>
    <col min="3" max="3" width="4.33203125" customWidth="1"/>
    <col min="4" max="4" width="7.33203125" customWidth="1"/>
    <col min="5" max="10" width="6.83203125" customWidth="1"/>
    <col min="11" max="11" width="7.33203125" bestFit="1" customWidth="1"/>
    <col min="12" max="22" width="6.83203125" customWidth="1"/>
  </cols>
  <sheetData>
    <row r="1" spans="1:23" x14ac:dyDescent="0.2">
      <c r="A1" t="s">
        <v>0</v>
      </c>
      <c r="B1" t="s">
        <v>187</v>
      </c>
      <c r="E1" t="s">
        <v>160</v>
      </c>
      <c r="F1" t="s">
        <v>159</v>
      </c>
      <c r="I1" t="s">
        <v>157</v>
      </c>
      <c r="J1" t="s">
        <v>162</v>
      </c>
      <c r="K1" t="s">
        <v>163</v>
      </c>
      <c r="M1" t="s">
        <v>164</v>
      </c>
      <c r="N1" t="s">
        <v>165</v>
      </c>
      <c r="O1" t="s">
        <v>166</v>
      </c>
      <c r="R1" t="s">
        <v>167</v>
      </c>
      <c r="S1" t="s">
        <v>168</v>
      </c>
    </row>
    <row r="2" spans="1:23" x14ac:dyDescent="0.2">
      <c r="A2" t="s">
        <v>181</v>
      </c>
      <c r="B2" t="s">
        <v>188</v>
      </c>
      <c r="E2">
        <v>136</v>
      </c>
      <c r="F2" s="3">
        <v>33.924606987790106</v>
      </c>
      <c r="G2" s="4"/>
      <c r="I2">
        <v>214</v>
      </c>
      <c r="J2">
        <v>0</v>
      </c>
      <c r="K2" s="2">
        <v>0</v>
      </c>
      <c r="M2" s="4">
        <v>37.819000052643162</v>
      </c>
      <c r="N2" s="4">
        <v>12.221153846153847</v>
      </c>
      <c r="O2" s="4">
        <v>50.040153898797008</v>
      </c>
      <c r="Q2" s="3">
        <v>90.402153793510678</v>
      </c>
      <c r="R2" s="4">
        <v>150</v>
      </c>
      <c r="S2" s="4">
        <v>119</v>
      </c>
      <c r="U2" s="4">
        <v>-49</v>
      </c>
      <c r="V2" t="s">
        <v>181</v>
      </c>
      <c r="W2" s="3">
        <v>90.402153793510678</v>
      </c>
    </row>
    <row r="3" spans="1:23" x14ac:dyDescent="0.2">
      <c r="A3" t="s">
        <v>172</v>
      </c>
      <c r="B3" t="s">
        <v>188</v>
      </c>
      <c r="E3">
        <v>68</v>
      </c>
      <c r="F3" s="3">
        <v>22.089527148698586</v>
      </c>
      <c r="G3" s="4"/>
      <c r="I3">
        <v>152</v>
      </c>
      <c r="J3">
        <v>1</v>
      </c>
      <c r="K3" s="2">
        <v>1.9230769230769232E-2</v>
      </c>
      <c r="M3" s="4">
        <v>80.839481065032416</v>
      </c>
      <c r="N3" s="4">
        <v>7.5</v>
      </c>
      <c r="O3" s="4">
        <v>88.339481065032416</v>
      </c>
      <c r="Q3" s="3">
        <v>-14.224096449647803</v>
      </c>
      <c r="R3" s="4">
        <v>405</v>
      </c>
      <c r="S3" s="4">
        <v>157</v>
      </c>
      <c r="U3" s="4">
        <v>-157</v>
      </c>
      <c r="V3" t="s">
        <v>172</v>
      </c>
      <c r="W3" s="3">
        <v>-14.224096449647803</v>
      </c>
    </row>
    <row r="4" spans="1:23" x14ac:dyDescent="0.2">
      <c r="A4" t="s">
        <v>173</v>
      </c>
      <c r="B4" t="s">
        <v>206</v>
      </c>
      <c r="E4">
        <v>85</v>
      </c>
      <c r="F4" s="3">
        <v>20.414446427128343</v>
      </c>
      <c r="G4" s="4"/>
      <c r="I4">
        <v>139</v>
      </c>
      <c r="J4">
        <v>0</v>
      </c>
      <c r="K4" s="2">
        <v>0</v>
      </c>
      <c r="M4" s="4">
        <v>28.168871998439364</v>
      </c>
      <c r="N4" s="4">
        <v>4.9519230769230766</v>
      </c>
      <c r="O4" s="4">
        <v>33.120795075362437</v>
      </c>
      <c r="Q4" s="3">
        <v>53.148435693868336</v>
      </c>
      <c r="R4" s="4">
        <v>117</v>
      </c>
      <c r="S4" s="4">
        <v>74</v>
      </c>
      <c r="U4" s="4">
        <v>-20</v>
      </c>
      <c r="V4" t="s">
        <v>173</v>
      </c>
      <c r="W4" s="3">
        <v>53.148435693868336</v>
      </c>
    </row>
    <row r="5" spans="1:23" x14ac:dyDescent="0.2">
      <c r="A5" t="s">
        <v>174</v>
      </c>
      <c r="B5" t="s">
        <v>190</v>
      </c>
      <c r="E5">
        <v>107.5</v>
      </c>
      <c r="F5" s="3">
        <v>27.20007846453062</v>
      </c>
      <c r="G5" s="4"/>
      <c r="I5">
        <v>193</v>
      </c>
      <c r="J5">
        <v>0</v>
      </c>
      <c r="K5" s="2">
        <v>0</v>
      </c>
      <c r="M5" s="4">
        <v>15.803453189386163</v>
      </c>
      <c r="N5" s="4">
        <v>3.7980769230769229</v>
      </c>
      <c r="O5" s="4">
        <v>19.601530112463085</v>
      </c>
      <c r="Q5" s="3">
        <v>91.533085272152306</v>
      </c>
      <c r="R5" s="4">
        <v>57</v>
      </c>
      <c r="S5" s="4">
        <v>45</v>
      </c>
      <c r="U5" s="4">
        <v>25</v>
      </c>
      <c r="V5" t="s">
        <v>174</v>
      </c>
      <c r="W5" s="3">
        <v>91.533085272152306</v>
      </c>
    </row>
    <row r="6" spans="1:23" x14ac:dyDescent="0.2">
      <c r="A6" t="s">
        <v>175</v>
      </c>
      <c r="B6" t="s">
        <v>206</v>
      </c>
      <c r="E6">
        <v>33</v>
      </c>
      <c r="F6" s="3">
        <v>5.6910132644255311</v>
      </c>
      <c r="G6" s="4"/>
      <c r="I6">
        <v>44</v>
      </c>
      <c r="J6">
        <v>0</v>
      </c>
      <c r="K6" s="2">
        <v>0</v>
      </c>
      <c r="M6" s="4">
        <v>11.364454234253666</v>
      </c>
      <c r="N6" s="4">
        <v>2.5384615384615383</v>
      </c>
      <c r="O6" s="4">
        <v>13.902915772715204</v>
      </c>
      <c r="Q6" s="3">
        <v>18.443238073438643</v>
      </c>
      <c r="R6" s="4">
        <v>33</v>
      </c>
      <c r="S6" s="4">
        <v>24</v>
      </c>
      <c r="U6" s="4">
        <v>-3</v>
      </c>
      <c r="V6" t="s">
        <v>175</v>
      </c>
      <c r="W6" s="3">
        <v>18.443238073438643</v>
      </c>
    </row>
    <row r="7" spans="1:23" x14ac:dyDescent="0.2">
      <c r="A7" t="s">
        <v>176</v>
      </c>
      <c r="B7" t="s">
        <v>206</v>
      </c>
      <c r="E7" s="3">
        <v>48</v>
      </c>
      <c r="F7" s="4">
        <v>5.5097609806005776</v>
      </c>
      <c r="I7">
        <v>66</v>
      </c>
      <c r="J7">
        <v>0</v>
      </c>
      <c r="K7" s="2">
        <v>0</v>
      </c>
      <c r="M7" s="4">
        <v>18.839642170721337</v>
      </c>
      <c r="N7" s="4">
        <v>2.2307692307692308</v>
      </c>
      <c r="O7">
        <v>21.070411401490567</v>
      </c>
      <c r="Q7" s="3">
        <f>D7-M7</f>
        <v>-18.839642170721337</v>
      </c>
      <c r="R7" s="4">
        <v>31.429588598509429</v>
      </c>
      <c r="S7" s="4">
        <v>57</v>
      </c>
      <c r="T7">
        <v>33</v>
      </c>
      <c r="U7" s="4">
        <v>2</v>
      </c>
      <c r="V7" t="s">
        <v>176</v>
      </c>
      <c r="W7" s="3">
        <v>29.198819367740199</v>
      </c>
    </row>
    <row r="8" spans="1:23" x14ac:dyDescent="0.2">
      <c r="A8" t="s">
        <v>177</v>
      </c>
      <c r="B8" t="s">
        <v>190</v>
      </c>
      <c r="E8">
        <v>29</v>
      </c>
      <c r="F8" s="3">
        <v>3.7366151272711257</v>
      </c>
      <c r="G8" s="4"/>
      <c r="I8">
        <v>35</v>
      </c>
      <c r="J8">
        <v>0</v>
      </c>
      <c r="K8" s="2">
        <v>0</v>
      </c>
      <c r="M8" s="4">
        <v>7.2272644986334713</v>
      </c>
      <c r="N8" s="4">
        <v>1.5961538461538463</v>
      </c>
      <c r="O8" s="4">
        <v>8.8234183447873171</v>
      </c>
      <c r="Q8" s="3">
        <v>19.368889347520376</v>
      </c>
      <c r="R8" s="4">
        <v>21</v>
      </c>
      <c r="S8" s="4">
        <v>17</v>
      </c>
      <c r="U8" s="4">
        <v>5</v>
      </c>
      <c r="V8" t="s">
        <v>177</v>
      </c>
      <c r="W8" s="3">
        <v>19.368889347520376</v>
      </c>
    </row>
    <row r="9" spans="1:23" x14ac:dyDescent="0.2">
      <c r="A9" t="s">
        <v>178</v>
      </c>
      <c r="B9" t="s">
        <v>188</v>
      </c>
      <c r="E9">
        <v>21</v>
      </c>
      <c r="F9" s="3">
        <v>5.6454776412530769</v>
      </c>
      <c r="G9" s="4"/>
      <c r="I9">
        <v>36</v>
      </c>
      <c r="J9">
        <v>0</v>
      </c>
      <c r="K9" s="2">
        <v>0</v>
      </c>
      <c r="M9" s="4">
        <v>5.0075869575629879</v>
      </c>
      <c r="N9" s="4">
        <v>0.92307692307692313</v>
      </c>
      <c r="O9" s="4">
        <v>5.9306638806399112</v>
      </c>
      <c r="Q9" s="3">
        <v>16.242413042437011</v>
      </c>
      <c r="R9" s="4">
        <v>15</v>
      </c>
      <c r="S9" s="4">
        <v>12</v>
      </c>
      <c r="U9" s="4">
        <v>1</v>
      </c>
      <c r="V9" t="s">
        <v>178</v>
      </c>
      <c r="W9" s="3">
        <v>16.242413042437011</v>
      </c>
    </row>
    <row r="10" spans="1:23" x14ac:dyDescent="0.2">
      <c r="A10" t="s">
        <v>179</v>
      </c>
      <c r="B10" t="s">
        <v>188</v>
      </c>
      <c r="E10">
        <v>45.5</v>
      </c>
      <c r="F10" s="3">
        <v>10.185219083692086</v>
      </c>
      <c r="G10" s="4"/>
      <c r="I10">
        <v>68</v>
      </c>
      <c r="J10">
        <v>0</v>
      </c>
      <c r="K10" s="2">
        <v>0</v>
      </c>
      <c r="M10" s="4">
        <v>5.9916371718974792</v>
      </c>
      <c r="N10" s="4">
        <v>0.92307692307692313</v>
      </c>
      <c r="O10" s="4">
        <v>6.9147140949744026</v>
      </c>
      <c r="Q10" s="3">
        <v>39.87374744348714</v>
      </c>
      <c r="R10" s="4">
        <v>18</v>
      </c>
      <c r="S10" s="4">
        <v>12</v>
      </c>
      <c r="U10" s="4">
        <v>19</v>
      </c>
      <c r="V10" t="s">
        <v>179</v>
      </c>
      <c r="W10" s="3">
        <v>39.87374744348714</v>
      </c>
    </row>
    <row r="11" spans="1:23" x14ac:dyDescent="0.2">
      <c r="A11" t="s">
        <v>180</v>
      </c>
      <c r="B11" t="s">
        <v>206</v>
      </c>
      <c r="E11">
        <v>21</v>
      </c>
      <c r="F11" s="3">
        <v>3.1591161869985513</v>
      </c>
      <c r="G11" s="4"/>
      <c r="I11">
        <v>30</v>
      </c>
      <c r="J11">
        <v>0</v>
      </c>
      <c r="K11" s="2">
        <v>0</v>
      </c>
      <c r="M11" s="4">
        <v>7.5060808266823917</v>
      </c>
      <c r="N11" s="4">
        <v>0.75961538461538458</v>
      </c>
      <c r="O11" s="4">
        <v>8.2656962112977759</v>
      </c>
      <c r="Q11" s="3">
        <v>13.215073019471454</v>
      </c>
      <c r="R11" s="4">
        <v>30</v>
      </c>
      <c r="S11" s="4">
        <v>14</v>
      </c>
      <c r="U11" s="4">
        <v>2</v>
      </c>
      <c r="V11" t="s">
        <v>180</v>
      </c>
      <c r="W11" s="3">
        <v>13.215073019471454</v>
      </c>
    </row>
    <row r="14" spans="1:23" x14ac:dyDescent="0.2">
      <c r="B14" t="s">
        <v>186</v>
      </c>
      <c r="D14" t="s">
        <v>182</v>
      </c>
      <c r="E14" t="s">
        <v>159</v>
      </c>
      <c r="F14" t="s">
        <v>169</v>
      </c>
      <c r="G14" t="s">
        <v>160</v>
      </c>
      <c r="H14" t="s">
        <v>158</v>
      </c>
      <c r="I14" t="s">
        <v>157</v>
      </c>
      <c r="J14" t="s">
        <v>162</v>
      </c>
      <c r="K14" t="s">
        <v>163</v>
      </c>
      <c r="M14" t="s">
        <v>158</v>
      </c>
      <c r="N14" t="s">
        <v>168</v>
      </c>
      <c r="O14" t="s">
        <v>183</v>
      </c>
      <c r="P14" t="s">
        <v>184</v>
      </c>
      <c r="R14" t="s">
        <v>161</v>
      </c>
      <c r="S14" t="s">
        <v>166</v>
      </c>
      <c r="T14" t="s">
        <v>185</v>
      </c>
      <c r="U14" t="s">
        <v>184</v>
      </c>
    </row>
    <row r="15" spans="1:23" x14ac:dyDescent="0.2">
      <c r="A15" t="s">
        <v>181</v>
      </c>
      <c r="B15">
        <v>1</v>
      </c>
      <c r="D15" s="3">
        <v>24.442307692307693</v>
      </c>
      <c r="E15" s="3">
        <v>9.3858747887731742</v>
      </c>
      <c r="F15" s="3">
        <v>0.38400117153123919</v>
      </c>
      <c r="G15">
        <v>25</v>
      </c>
      <c r="H15">
        <v>3</v>
      </c>
      <c r="I15">
        <v>50</v>
      </c>
      <c r="J15">
        <v>0</v>
      </c>
      <c r="K15" s="2">
        <v>0</v>
      </c>
      <c r="M15">
        <v>70</v>
      </c>
      <c r="N15" s="5">
        <v>119</v>
      </c>
      <c r="O15" s="5">
        <f t="shared" ref="O15:O24" si="0">M15-N15</f>
        <v>-49</v>
      </c>
      <c r="P15">
        <v>9</v>
      </c>
      <c r="R15" s="4">
        <v>140.44230769230768</v>
      </c>
      <c r="S15" s="4">
        <v>50.040153898797008</v>
      </c>
      <c r="T15" s="4">
        <f>R15-S15</f>
        <v>90.402153793510678</v>
      </c>
      <c r="U15" s="5">
        <v>2</v>
      </c>
    </row>
    <row r="16" spans="1:23" x14ac:dyDescent="0.2">
      <c r="A16" s="6" t="s">
        <v>172</v>
      </c>
      <c r="B16" s="6">
        <v>2</v>
      </c>
      <c r="C16" s="6"/>
      <c r="D16" s="7">
        <v>15</v>
      </c>
      <c r="E16" s="7">
        <v>20.062646981930591</v>
      </c>
      <c r="F16" s="7">
        <v>1.3375097987953728</v>
      </c>
      <c r="G16" s="6">
        <v>12</v>
      </c>
      <c r="H16" s="6">
        <v>0</v>
      </c>
      <c r="I16" s="6">
        <v>135</v>
      </c>
      <c r="J16" s="6">
        <v>1</v>
      </c>
      <c r="K16" s="8">
        <v>1.9230769230769232E-2</v>
      </c>
      <c r="L16" s="6"/>
      <c r="M16" s="6">
        <v>0</v>
      </c>
      <c r="N16" s="9">
        <v>157</v>
      </c>
      <c r="O16" s="9">
        <f t="shared" si="0"/>
        <v>-157</v>
      </c>
      <c r="P16" s="6">
        <v>10</v>
      </c>
      <c r="Q16" s="6"/>
      <c r="R16" s="10">
        <v>74.115384615384613</v>
      </c>
      <c r="S16" s="10">
        <v>88.339481065032416</v>
      </c>
      <c r="T16" s="10">
        <f t="shared" ref="T16:T24" si="1">R16-S16</f>
        <v>-14.224096449647803</v>
      </c>
      <c r="U16" s="9">
        <v>10</v>
      </c>
    </row>
    <row r="17" spans="1:21" x14ac:dyDescent="0.2">
      <c r="A17" s="6" t="s">
        <v>173</v>
      </c>
      <c r="B17" s="6">
        <v>3</v>
      </c>
      <c r="C17" s="6"/>
      <c r="D17" s="7">
        <v>9.9038461538461533</v>
      </c>
      <c r="E17" s="7">
        <v>6.9909173999922443</v>
      </c>
      <c r="F17" s="7">
        <v>0.7058790384458189</v>
      </c>
      <c r="G17" s="6">
        <v>9</v>
      </c>
      <c r="H17" s="6">
        <v>0</v>
      </c>
      <c r="I17" s="6">
        <v>39</v>
      </c>
      <c r="J17" s="6">
        <v>1</v>
      </c>
      <c r="K17" s="8">
        <v>1.9230769230769232E-2</v>
      </c>
      <c r="L17" s="6"/>
      <c r="M17" s="6">
        <v>54</v>
      </c>
      <c r="N17" s="9">
        <v>74</v>
      </c>
      <c r="O17" s="9">
        <f t="shared" si="0"/>
        <v>-20</v>
      </c>
      <c r="P17" s="6">
        <v>8</v>
      </c>
      <c r="Q17" s="6"/>
      <c r="R17" s="10">
        <v>86.269230769230774</v>
      </c>
      <c r="S17" s="10">
        <v>33.120795075362437</v>
      </c>
      <c r="T17" s="10">
        <f t="shared" si="1"/>
        <v>53.148435693868336</v>
      </c>
      <c r="U17" s="9">
        <v>3</v>
      </c>
    </row>
    <row r="18" spans="1:21" x14ac:dyDescent="0.2">
      <c r="A18" s="6" t="s">
        <v>174</v>
      </c>
      <c r="B18" s="6">
        <v>4</v>
      </c>
      <c r="C18" s="6"/>
      <c r="D18" s="7">
        <v>7.5961538461538458</v>
      </c>
      <c r="E18" s="7">
        <v>3.9220823569990162</v>
      </c>
      <c r="F18" s="7">
        <v>0.51632476598468069</v>
      </c>
      <c r="G18" s="6">
        <v>6.5</v>
      </c>
      <c r="H18" s="6">
        <v>1</v>
      </c>
      <c r="I18" s="6">
        <v>19</v>
      </c>
      <c r="J18" s="6">
        <v>0</v>
      </c>
      <c r="K18" s="8">
        <v>0</v>
      </c>
      <c r="L18" s="6"/>
      <c r="M18" s="6">
        <v>70</v>
      </c>
      <c r="N18" s="9">
        <v>45</v>
      </c>
      <c r="O18" s="9">
        <f t="shared" si="0"/>
        <v>25</v>
      </c>
      <c r="P18" s="6">
        <v>1</v>
      </c>
      <c r="Q18" s="6"/>
      <c r="R18" s="10">
        <v>111.13461538461539</v>
      </c>
      <c r="S18" s="10">
        <v>19.601530112463085</v>
      </c>
      <c r="T18" s="10">
        <f t="shared" si="1"/>
        <v>91.533085272152306</v>
      </c>
      <c r="U18" s="9">
        <v>1</v>
      </c>
    </row>
    <row r="19" spans="1:21" x14ac:dyDescent="0.2">
      <c r="A19" s="6" t="s">
        <v>175</v>
      </c>
      <c r="B19" s="6">
        <v>5</v>
      </c>
      <c r="C19" s="6"/>
      <c r="D19" s="7">
        <v>5.0769230769230766</v>
      </c>
      <c r="E19" s="7">
        <v>2.820416836430693</v>
      </c>
      <c r="F19" s="7">
        <v>0.55553664959998506</v>
      </c>
      <c r="G19" s="6">
        <v>5.5</v>
      </c>
      <c r="H19" s="6">
        <v>0</v>
      </c>
      <c r="I19" s="6">
        <v>11</v>
      </c>
      <c r="J19" s="6">
        <v>2</v>
      </c>
      <c r="K19" s="8">
        <v>3.8461538461538464E-2</v>
      </c>
      <c r="L19" s="6"/>
      <c r="M19" s="6">
        <v>21</v>
      </c>
      <c r="N19" s="9">
        <v>24</v>
      </c>
      <c r="O19" s="9">
        <f t="shared" si="0"/>
        <v>-3</v>
      </c>
      <c r="P19" s="6">
        <v>7</v>
      </c>
      <c r="Q19" s="6"/>
      <c r="R19" s="10">
        <v>32.346153846153847</v>
      </c>
      <c r="S19" s="10">
        <v>13.902915772715204</v>
      </c>
      <c r="T19" s="10">
        <f t="shared" si="1"/>
        <v>18.443238073438643</v>
      </c>
      <c r="U19" s="9">
        <v>7</v>
      </c>
    </row>
    <row r="20" spans="1:21" x14ac:dyDescent="0.2">
      <c r="A20" s="6" t="s">
        <v>176</v>
      </c>
      <c r="B20" s="6">
        <v>6</v>
      </c>
      <c r="C20" s="6"/>
      <c r="D20" s="7">
        <v>4.4615384615384617</v>
      </c>
      <c r="E20" s="7">
        <v>4.6756001542490004</v>
      </c>
      <c r="F20" s="7">
        <v>1.0479793449178794</v>
      </c>
      <c r="G20" s="6">
        <v>3</v>
      </c>
      <c r="H20" s="6">
        <v>0</v>
      </c>
      <c r="I20" s="6">
        <v>19</v>
      </c>
      <c r="J20" s="6">
        <v>7</v>
      </c>
      <c r="K20" s="8">
        <v>0.13461538461538461</v>
      </c>
      <c r="L20" s="6"/>
      <c r="M20" s="6">
        <v>37</v>
      </c>
      <c r="N20" s="9">
        <v>33</v>
      </c>
      <c r="O20" s="9">
        <f t="shared" si="0"/>
        <v>4</v>
      </c>
      <c r="P20" s="6">
        <v>4</v>
      </c>
      <c r="Q20" s="6"/>
      <c r="R20" s="10">
        <v>52.269230769230766</v>
      </c>
      <c r="S20" s="10">
        <v>21.070411401490567</v>
      </c>
      <c r="T20" s="10">
        <f t="shared" si="1"/>
        <v>31.198819367740199</v>
      </c>
      <c r="U20" s="9">
        <v>5</v>
      </c>
    </row>
    <row r="21" spans="1:21" x14ac:dyDescent="0.2">
      <c r="A21" s="6" t="s">
        <v>177</v>
      </c>
      <c r="B21" s="6">
        <v>7</v>
      </c>
      <c r="C21" s="6"/>
      <c r="D21" s="7">
        <v>3.1923076923076925</v>
      </c>
      <c r="E21" s="7">
        <v>1.7936539716834312</v>
      </c>
      <c r="F21" s="7">
        <v>0.56186750920203865</v>
      </c>
      <c r="G21" s="6">
        <v>3</v>
      </c>
      <c r="H21" s="6">
        <v>0</v>
      </c>
      <c r="I21" s="6">
        <v>7</v>
      </c>
      <c r="J21" s="6">
        <v>2</v>
      </c>
      <c r="K21" s="8">
        <v>3.8461538461538464E-2</v>
      </c>
      <c r="L21" s="6"/>
      <c r="M21" s="6">
        <v>22</v>
      </c>
      <c r="N21" s="9">
        <v>17</v>
      </c>
      <c r="O21" s="9">
        <f t="shared" si="0"/>
        <v>5</v>
      </c>
      <c r="P21" s="6">
        <v>3</v>
      </c>
      <c r="Q21" s="6"/>
      <c r="R21" s="10">
        <v>28.192307692307693</v>
      </c>
      <c r="S21" s="10">
        <v>8.8234183447873171</v>
      </c>
      <c r="T21" s="10">
        <f t="shared" si="1"/>
        <v>19.368889347520376</v>
      </c>
      <c r="U21" s="9">
        <v>6</v>
      </c>
    </row>
    <row r="22" spans="1:21" x14ac:dyDescent="0.2">
      <c r="A22" s="6" t="s">
        <v>178</v>
      </c>
      <c r="B22" s="6">
        <v>8</v>
      </c>
      <c r="C22" s="6"/>
      <c r="D22" s="7">
        <v>1.8461538461538463</v>
      </c>
      <c r="E22" s="7">
        <v>1.2427770198089878</v>
      </c>
      <c r="F22" s="7">
        <v>0.67317088572986838</v>
      </c>
      <c r="G22" s="6">
        <v>2</v>
      </c>
      <c r="H22" s="6">
        <v>0</v>
      </c>
      <c r="I22" s="6">
        <v>5</v>
      </c>
      <c r="J22" s="6">
        <v>6</v>
      </c>
      <c r="K22" s="8">
        <v>0.11538461538461539</v>
      </c>
      <c r="L22" s="6"/>
      <c r="M22" s="6">
        <v>13</v>
      </c>
      <c r="N22" s="9">
        <v>12</v>
      </c>
      <c r="O22" s="9">
        <f t="shared" si="0"/>
        <v>1</v>
      </c>
      <c r="P22" s="6">
        <v>6</v>
      </c>
      <c r="Q22" s="6"/>
      <c r="R22" s="10">
        <v>22.173076923076923</v>
      </c>
      <c r="S22" s="10">
        <v>5.9306638806399112</v>
      </c>
      <c r="T22" s="10">
        <f t="shared" si="1"/>
        <v>16.242413042437011</v>
      </c>
      <c r="U22" s="9">
        <v>8</v>
      </c>
    </row>
    <row r="23" spans="1:21" x14ac:dyDescent="0.2">
      <c r="A23" s="6" t="s">
        <v>179</v>
      </c>
      <c r="B23" s="6">
        <v>9</v>
      </c>
      <c r="C23" s="6"/>
      <c r="D23" s="7">
        <v>1.8461538461538463</v>
      </c>
      <c r="E23" s="7">
        <v>1.4869974403582462</v>
      </c>
      <c r="F23" s="7">
        <v>0.80545694686071667</v>
      </c>
      <c r="G23" s="6">
        <v>2</v>
      </c>
      <c r="H23" s="6">
        <v>0</v>
      </c>
      <c r="I23" s="6">
        <v>6</v>
      </c>
      <c r="J23" s="6">
        <v>9</v>
      </c>
      <c r="K23" s="8">
        <v>0.17307692307692307</v>
      </c>
      <c r="L23" s="6"/>
      <c r="M23" s="6">
        <v>31</v>
      </c>
      <c r="N23" s="9">
        <v>12</v>
      </c>
      <c r="O23" s="9">
        <f t="shared" si="0"/>
        <v>19</v>
      </c>
      <c r="P23" s="6">
        <v>2</v>
      </c>
      <c r="Q23" s="6"/>
      <c r="R23" s="10">
        <v>46.78846153846154</v>
      </c>
      <c r="S23" s="10">
        <v>6.9147140949744026</v>
      </c>
      <c r="T23" s="10">
        <f t="shared" si="1"/>
        <v>39.87374744348714</v>
      </c>
      <c r="U23" s="9">
        <v>4</v>
      </c>
    </row>
    <row r="24" spans="1:21" x14ac:dyDescent="0.2">
      <c r="A24" s="6" t="s">
        <v>180</v>
      </c>
      <c r="B24" s="6">
        <v>10</v>
      </c>
      <c r="C24" s="6"/>
      <c r="D24" s="7">
        <v>1.5192307692307692</v>
      </c>
      <c r="E24" s="7">
        <v>1.8628502788435877</v>
      </c>
      <c r="F24" s="7">
        <v>1.2261799303780578</v>
      </c>
      <c r="G24" s="6">
        <v>1</v>
      </c>
      <c r="H24" s="6">
        <v>0</v>
      </c>
      <c r="I24" s="6">
        <v>10</v>
      </c>
      <c r="J24" s="6">
        <v>17</v>
      </c>
      <c r="K24" s="8">
        <v>0.32692307692307693</v>
      </c>
      <c r="L24" s="6"/>
      <c r="M24" s="6">
        <v>16</v>
      </c>
      <c r="N24" s="9">
        <v>14</v>
      </c>
      <c r="O24" s="9">
        <f t="shared" si="0"/>
        <v>2</v>
      </c>
      <c r="P24" s="6">
        <v>5</v>
      </c>
      <c r="Q24" s="6"/>
      <c r="R24" s="10">
        <v>21.48076923076923</v>
      </c>
      <c r="S24" s="10">
        <v>8.2656962112977759</v>
      </c>
      <c r="T24" s="10">
        <f t="shared" si="1"/>
        <v>13.215073019471454</v>
      </c>
      <c r="U24" s="9">
        <v>9</v>
      </c>
    </row>
    <row r="27" spans="1:21" x14ac:dyDescent="0.2">
      <c r="D27" t="s">
        <v>170</v>
      </c>
      <c r="E27" t="s">
        <v>171</v>
      </c>
    </row>
    <row r="28" spans="1:21" x14ac:dyDescent="0.2">
      <c r="A28" t="s">
        <v>181</v>
      </c>
      <c r="B28" t="s">
        <v>188</v>
      </c>
      <c r="D28">
        <v>28</v>
      </c>
      <c r="E28" s="1">
        <v>0.46153846153846156</v>
      </c>
      <c r="F28">
        <v>24.843137254901961</v>
      </c>
    </row>
    <row r="29" spans="1:21" x14ac:dyDescent="0.2">
      <c r="A29" t="s">
        <v>172</v>
      </c>
      <c r="B29" t="s">
        <v>188</v>
      </c>
      <c r="D29">
        <v>25</v>
      </c>
      <c r="E29" s="1">
        <v>0.51923076923076927</v>
      </c>
      <c r="F29">
        <v>14.254901960784315</v>
      </c>
    </row>
    <row r="30" spans="1:21" x14ac:dyDescent="0.2">
      <c r="A30" t="s">
        <v>173</v>
      </c>
      <c r="B30" t="s">
        <v>206</v>
      </c>
      <c r="D30">
        <v>37</v>
      </c>
      <c r="E30" s="1">
        <v>0.28846153846153844</v>
      </c>
      <c r="F30">
        <v>9.2549019607843146</v>
      </c>
    </row>
    <row r="31" spans="1:21" x14ac:dyDescent="0.2">
      <c r="A31" t="s">
        <v>174</v>
      </c>
      <c r="B31" t="s">
        <v>190</v>
      </c>
      <c r="D31">
        <v>42</v>
      </c>
      <c r="E31" s="1">
        <v>0.19230769230769232</v>
      </c>
      <c r="F31">
        <v>8.8235294117647065</v>
      </c>
    </row>
    <row r="32" spans="1:21" x14ac:dyDescent="0.2">
      <c r="A32" t="s">
        <v>175</v>
      </c>
      <c r="B32" t="s">
        <v>206</v>
      </c>
      <c r="D32">
        <v>30</v>
      </c>
      <c r="E32" s="1">
        <v>0.42307692307692307</v>
      </c>
      <c r="F32">
        <v>5.117647058823529</v>
      </c>
    </row>
    <row r="33" spans="1:6" x14ac:dyDescent="0.2">
      <c r="A33" t="s">
        <v>176</v>
      </c>
      <c r="B33" t="s">
        <v>206</v>
      </c>
      <c r="D33">
        <v>30</v>
      </c>
      <c r="E33" s="1">
        <v>0.42307692307692307</v>
      </c>
      <c r="F33">
        <v>4.6862745098039218</v>
      </c>
    </row>
    <row r="34" spans="1:6" x14ac:dyDescent="0.2">
      <c r="A34" t="s">
        <v>177</v>
      </c>
      <c r="B34" t="s">
        <v>190</v>
      </c>
      <c r="D34">
        <v>37</v>
      </c>
      <c r="E34" s="1">
        <v>0.28846153846153844</v>
      </c>
      <c r="F34">
        <v>3.2941176470588234</v>
      </c>
    </row>
    <row r="35" spans="1:6" x14ac:dyDescent="0.2">
      <c r="A35" t="s">
        <v>178</v>
      </c>
      <c r="B35" t="s">
        <v>188</v>
      </c>
      <c r="D35">
        <v>35</v>
      </c>
      <c r="E35" s="1">
        <v>0.32692307692307693</v>
      </c>
      <c r="F35">
        <v>1.7843137254901962</v>
      </c>
    </row>
    <row r="36" spans="1:6" x14ac:dyDescent="0.2">
      <c r="A36" t="s">
        <v>179</v>
      </c>
      <c r="B36" t="s">
        <v>188</v>
      </c>
      <c r="D36">
        <v>44</v>
      </c>
      <c r="E36" s="1">
        <v>0.15384615384615385</v>
      </c>
      <c r="F36">
        <v>1.2745098039215685</v>
      </c>
    </row>
    <row r="37" spans="1:6" x14ac:dyDescent="0.2">
      <c r="A37" t="s">
        <v>180</v>
      </c>
      <c r="B37" t="s">
        <v>206</v>
      </c>
      <c r="D37">
        <v>37</v>
      </c>
      <c r="E37" s="1">
        <v>0.28846153846153844</v>
      </c>
      <c r="F37">
        <v>1.588235294117647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250F-3543-6C4C-8F8D-81D5021719B0}">
  <dimension ref="A1:Q12"/>
  <sheetViews>
    <sheetView showGridLines="0" tabSelected="1" zoomScale="230" zoomScaleNormal="230" workbookViewId="0">
      <pane xSplit="2" topLeftCell="H1" activePane="topRight" state="frozen"/>
      <selection pane="topRight" activeCell="Q5" sqref="Q5:Q10"/>
    </sheetView>
  </sheetViews>
  <sheetFormatPr baseColWidth="10" defaultRowHeight="16" x14ac:dyDescent="0.2"/>
  <cols>
    <col min="1" max="1" width="7.5" bestFit="1" customWidth="1"/>
    <col min="2" max="2" width="9.83203125" style="11" bestFit="1" customWidth="1"/>
    <col min="3" max="3" width="7.83203125" bestFit="1" customWidth="1"/>
    <col min="4" max="4" width="8.6640625" bestFit="1" customWidth="1"/>
    <col min="5" max="5" width="10.5" bestFit="1" customWidth="1"/>
    <col min="6" max="6" width="7.83203125" bestFit="1" customWidth="1"/>
    <col min="7" max="7" width="9.5" bestFit="1" customWidth="1"/>
    <col min="8" max="8" width="9.1640625" bestFit="1" customWidth="1"/>
    <col min="9" max="9" width="8.83203125" bestFit="1" customWidth="1"/>
    <col min="11" max="11" width="11" customWidth="1"/>
    <col min="12" max="12" width="11.1640625" bestFit="1" customWidth="1"/>
    <col min="13" max="13" width="9.1640625" bestFit="1" customWidth="1"/>
    <col min="14" max="14" width="13" bestFit="1" customWidth="1"/>
    <col min="15" max="15" width="10" bestFit="1" customWidth="1"/>
    <col min="16" max="16" width="10" customWidth="1"/>
    <col min="17" max="17" width="12.83203125" customWidth="1"/>
  </cols>
  <sheetData>
    <row r="1" spans="1:17" ht="102" x14ac:dyDescent="0.2">
      <c r="A1" s="12" t="s">
        <v>0</v>
      </c>
      <c r="B1" s="12" t="s">
        <v>187</v>
      </c>
      <c r="C1" s="13" t="s">
        <v>191</v>
      </c>
      <c r="D1" s="13" t="s">
        <v>192</v>
      </c>
      <c r="E1" s="13" t="s">
        <v>193</v>
      </c>
      <c r="F1" s="13" t="s">
        <v>194</v>
      </c>
      <c r="G1" s="13" t="s">
        <v>196</v>
      </c>
      <c r="H1" s="13" t="s">
        <v>195</v>
      </c>
      <c r="I1" s="13" t="s">
        <v>197</v>
      </c>
      <c r="J1" s="13" t="s">
        <v>198</v>
      </c>
      <c r="K1" s="13" t="s">
        <v>199</v>
      </c>
      <c r="L1" s="13" t="s">
        <v>200</v>
      </c>
      <c r="M1" s="13" t="s">
        <v>201</v>
      </c>
      <c r="N1" s="13" t="s">
        <v>202</v>
      </c>
      <c r="O1" s="13" t="s">
        <v>203</v>
      </c>
      <c r="P1" s="13" t="s">
        <v>205</v>
      </c>
      <c r="Q1" s="13" t="s">
        <v>204</v>
      </c>
    </row>
    <row r="2" spans="1:17" x14ac:dyDescent="0.2">
      <c r="A2" s="12" t="s">
        <v>181</v>
      </c>
      <c r="B2" s="14" t="s">
        <v>188</v>
      </c>
      <c r="C2" s="15">
        <v>24.442307692307693</v>
      </c>
      <c r="D2" s="15">
        <v>9.3858747887731742</v>
      </c>
      <c r="E2" s="15">
        <v>0.38400117153123919</v>
      </c>
      <c r="F2" s="14">
        <v>25</v>
      </c>
      <c r="G2" s="14">
        <v>3</v>
      </c>
      <c r="H2" s="14">
        <v>50</v>
      </c>
      <c r="I2" s="14">
        <v>0</v>
      </c>
      <c r="J2" s="15">
        <v>140.44230769230768</v>
      </c>
      <c r="K2" s="15">
        <v>50.040153898797008</v>
      </c>
      <c r="L2" s="15">
        <f>J2-K2</f>
        <v>90.402153793510678</v>
      </c>
      <c r="M2" s="14">
        <v>70</v>
      </c>
      <c r="N2" s="14">
        <v>119</v>
      </c>
      <c r="O2" s="14">
        <f>M2-N2</f>
        <v>-49</v>
      </c>
      <c r="P2" s="14">
        <v>9</v>
      </c>
      <c r="Q2" s="14"/>
    </row>
    <row r="3" spans="1:17" x14ac:dyDescent="0.2">
      <c r="A3" s="12" t="s">
        <v>172</v>
      </c>
      <c r="B3" s="14" t="s">
        <v>188</v>
      </c>
      <c r="C3" s="15">
        <v>15</v>
      </c>
      <c r="D3" s="15">
        <v>20.062646981930591</v>
      </c>
      <c r="E3" s="15">
        <v>1.3375097987953728</v>
      </c>
      <c r="F3" s="14">
        <v>12</v>
      </c>
      <c r="G3" s="14">
        <v>0</v>
      </c>
      <c r="H3" s="14">
        <v>135</v>
      </c>
      <c r="I3" s="14">
        <v>1</v>
      </c>
      <c r="J3" s="15">
        <v>74.115384615384613</v>
      </c>
      <c r="K3" s="15">
        <v>88.339481065032416</v>
      </c>
      <c r="L3" s="15">
        <f t="shared" ref="L3:L11" si="0">J3-K3</f>
        <v>-14.224096449647803</v>
      </c>
      <c r="M3" s="14">
        <v>0</v>
      </c>
      <c r="N3" s="14">
        <v>157</v>
      </c>
      <c r="O3" s="14">
        <f t="shared" ref="O3:O11" si="1">M3-N3</f>
        <v>-157</v>
      </c>
      <c r="P3" s="14">
        <v>10</v>
      </c>
      <c r="Q3" s="14"/>
    </row>
    <row r="4" spans="1:17" x14ac:dyDescent="0.2">
      <c r="A4" s="12" t="s">
        <v>173</v>
      </c>
      <c r="B4" s="14" t="s">
        <v>206</v>
      </c>
      <c r="C4" s="15">
        <v>9.9038461538461533</v>
      </c>
      <c r="D4" s="15">
        <v>6.9909173999922443</v>
      </c>
      <c r="E4" s="15">
        <v>0.7058790384458189</v>
      </c>
      <c r="F4" s="14">
        <v>9</v>
      </c>
      <c r="G4" s="14">
        <v>0</v>
      </c>
      <c r="H4" s="14">
        <v>39</v>
      </c>
      <c r="I4" s="14">
        <v>1</v>
      </c>
      <c r="J4" s="15">
        <v>86.269230769230774</v>
      </c>
      <c r="K4" s="15">
        <v>33.120795075362437</v>
      </c>
      <c r="L4" s="15">
        <f t="shared" si="0"/>
        <v>53.148435693868336</v>
      </c>
      <c r="M4" s="14">
        <v>54</v>
      </c>
      <c r="N4" s="14">
        <v>74</v>
      </c>
      <c r="O4" s="14">
        <f t="shared" si="1"/>
        <v>-20</v>
      </c>
      <c r="P4" s="14">
        <v>8</v>
      </c>
      <c r="Q4" s="14"/>
    </row>
    <row r="5" spans="1:17" x14ac:dyDescent="0.2">
      <c r="A5" s="12" t="s">
        <v>174</v>
      </c>
      <c r="B5" s="14" t="s">
        <v>190</v>
      </c>
      <c r="C5" s="15">
        <v>7.5961538461538458</v>
      </c>
      <c r="D5" s="15">
        <v>3.9220823569990162</v>
      </c>
      <c r="E5" s="15">
        <v>0.51632476598468069</v>
      </c>
      <c r="F5" s="14">
        <v>6.5</v>
      </c>
      <c r="G5" s="14">
        <v>1</v>
      </c>
      <c r="H5" s="14">
        <v>19</v>
      </c>
      <c r="I5" s="14">
        <v>0</v>
      </c>
      <c r="J5" s="15">
        <v>111.13461538461539</v>
      </c>
      <c r="K5" s="15">
        <v>19.601530112463085</v>
      </c>
      <c r="L5" s="15">
        <f t="shared" si="0"/>
        <v>91.533085272152306</v>
      </c>
      <c r="M5" s="14">
        <v>70</v>
      </c>
      <c r="N5" s="14">
        <v>45</v>
      </c>
      <c r="O5" s="14">
        <f t="shared" si="1"/>
        <v>25</v>
      </c>
      <c r="P5" s="14">
        <v>1</v>
      </c>
      <c r="Q5" s="14">
        <v>-10</v>
      </c>
    </row>
    <row r="6" spans="1:17" x14ac:dyDescent="0.2">
      <c r="A6" s="12" t="s">
        <v>175</v>
      </c>
      <c r="B6" s="14" t="s">
        <v>206</v>
      </c>
      <c r="C6" s="15">
        <v>5.0769230769230766</v>
      </c>
      <c r="D6" s="15">
        <v>2.820416836430693</v>
      </c>
      <c r="E6" s="15">
        <v>0.55553664959998506</v>
      </c>
      <c r="F6" s="14">
        <v>5.5</v>
      </c>
      <c r="G6" s="14">
        <v>0</v>
      </c>
      <c r="H6" s="14">
        <v>11</v>
      </c>
      <c r="I6" s="14">
        <v>2</v>
      </c>
      <c r="J6" s="15">
        <v>32.346153846153847</v>
      </c>
      <c r="K6" s="15">
        <v>13.902915772715204</v>
      </c>
      <c r="L6" s="15">
        <f t="shared" si="0"/>
        <v>18.443238073438643</v>
      </c>
      <c r="M6" s="14">
        <v>21</v>
      </c>
      <c r="N6" s="14">
        <v>24</v>
      </c>
      <c r="O6" s="14">
        <f t="shared" si="1"/>
        <v>-3</v>
      </c>
      <c r="P6" s="14">
        <v>7</v>
      </c>
      <c r="Q6" s="14"/>
    </row>
    <row r="7" spans="1:17" x14ac:dyDescent="0.2">
      <c r="A7" s="12" t="s">
        <v>176</v>
      </c>
      <c r="B7" s="14" t="s">
        <v>206</v>
      </c>
      <c r="C7" s="15">
        <v>4.4615384615384617</v>
      </c>
      <c r="D7" s="15">
        <v>4.6756001542490004</v>
      </c>
      <c r="E7" s="15">
        <v>1.0479793449178794</v>
      </c>
      <c r="F7" s="14">
        <v>3</v>
      </c>
      <c r="G7" s="14">
        <v>0</v>
      </c>
      <c r="H7" s="14">
        <v>19</v>
      </c>
      <c r="I7" s="14">
        <v>7</v>
      </c>
      <c r="J7" s="15">
        <v>52.269230769230766</v>
      </c>
      <c r="K7" s="15">
        <v>21.070411401490567</v>
      </c>
      <c r="L7" s="15">
        <f t="shared" si="0"/>
        <v>31.198819367740199</v>
      </c>
      <c r="M7" s="14">
        <v>37</v>
      </c>
      <c r="N7" s="14">
        <v>33</v>
      </c>
      <c r="O7" s="14">
        <f t="shared" si="1"/>
        <v>4</v>
      </c>
      <c r="P7" s="14">
        <v>4</v>
      </c>
      <c r="Q7" s="14"/>
    </row>
    <row r="8" spans="1:17" x14ac:dyDescent="0.2">
      <c r="A8" s="12" t="s">
        <v>177</v>
      </c>
      <c r="B8" s="14" t="s">
        <v>190</v>
      </c>
      <c r="C8" s="15">
        <v>3.1923076923076925</v>
      </c>
      <c r="D8" s="15">
        <v>1.7936539716834312</v>
      </c>
      <c r="E8" s="15">
        <v>0.56186750920203865</v>
      </c>
      <c r="F8" s="14">
        <v>3</v>
      </c>
      <c r="G8" s="14">
        <v>0</v>
      </c>
      <c r="H8" s="14">
        <v>7</v>
      </c>
      <c r="I8" s="14">
        <v>2</v>
      </c>
      <c r="J8" s="15">
        <v>28.192307692307693</v>
      </c>
      <c r="K8" s="15">
        <v>8.8234183447873171</v>
      </c>
      <c r="L8" s="15">
        <f t="shared" si="0"/>
        <v>19.368889347520376</v>
      </c>
      <c r="M8" s="14">
        <v>22</v>
      </c>
      <c r="N8" s="14">
        <v>17</v>
      </c>
      <c r="O8" s="14">
        <f t="shared" si="1"/>
        <v>5</v>
      </c>
      <c r="P8" s="14">
        <v>3</v>
      </c>
      <c r="Q8" s="14"/>
    </row>
    <row r="9" spans="1:17" x14ac:dyDescent="0.2">
      <c r="A9" s="12" t="s">
        <v>178</v>
      </c>
      <c r="B9" s="14" t="s">
        <v>188</v>
      </c>
      <c r="C9" s="15">
        <v>1.8461538461538463</v>
      </c>
      <c r="D9" s="15">
        <v>1.2427770198089878</v>
      </c>
      <c r="E9" s="15">
        <v>0.67317088572986838</v>
      </c>
      <c r="F9" s="14">
        <v>2</v>
      </c>
      <c r="G9" s="14">
        <v>0</v>
      </c>
      <c r="H9" s="14">
        <v>5</v>
      </c>
      <c r="I9" s="14">
        <v>6</v>
      </c>
      <c r="J9" s="15">
        <v>22.173076923076923</v>
      </c>
      <c r="K9" s="15">
        <v>5.9306638806399112</v>
      </c>
      <c r="L9" s="15">
        <f t="shared" si="0"/>
        <v>16.242413042437011</v>
      </c>
      <c r="M9" s="14">
        <v>13</v>
      </c>
      <c r="N9" s="14">
        <v>12</v>
      </c>
      <c r="O9" s="14">
        <f t="shared" si="1"/>
        <v>1</v>
      </c>
      <c r="P9" s="14">
        <v>6</v>
      </c>
      <c r="Q9" s="14"/>
    </row>
    <row r="10" spans="1:17" x14ac:dyDescent="0.2">
      <c r="A10" s="12" t="s">
        <v>179</v>
      </c>
      <c r="B10" s="14" t="s">
        <v>188</v>
      </c>
      <c r="C10" s="15">
        <v>1.8461538461538463</v>
      </c>
      <c r="D10" s="15">
        <v>1.4869974403582462</v>
      </c>
      <c r="E10" s="15">
        <v>0.80545694686071667</v>
      </c>
      <c r="F10" s="14">
        <v>2</v>
      </c>
      <c r="G10" s="14">
        <v>0</v>
      </c>
      <c r="H10" s="14">
        <v>6</v>
      </c>
      <c r="I10" s="14">
        <v>9</v>
      </c>
      <c r="J10" s="15">
        <v>46.78846153846154</v>
      </c>
      <c r="K10" s="15">
        <v>6.9147140949744026</v>
      </c>
      <c r="L10" s="15">
        <f t="shared" si="0"/>
        <v>39.87374744348714</v>
      </c>
      <c r="M10" s="14">
        <v>31</v>
      </c>
      <c r="N10" s="14">
        <v>12</v>
      </c>
      <c r="O10" s="14">
        <f t="shared" si="1"/>
        <v>19</v>
      </c>
      <c r="P10" s="14">
        <v>2</v>
      </c>
      <c r="Q10" s="14">
        <v>-9</v>
      </c>
    </row>
    <row r="11" spans="1:17" x14ac:dyDescent="0.2">
      <c r="A11" s="12" t="s">
        <v>180</v>
      </c>
      <c r="B11" s="14" t="s">
        <v>206</v>
      </c>
      <c r="C11" s="15">
        <v>1.5192307692307692</v>
      </c>
      <c r="D11" s="15">
        <v>1.8628502788435877</v>
      </c>
      <c r="E11" s="15">
        <v>1.2261799303780578</v>
      </c>
      <c r="F11" s="14">
        <v>1</v>
      </c>
      <c r="G11" s="14">
        <v>0</v>
      </c>
      <c r="H11" s="14">
        <v>10</v>
      </c>
      <c r="I11" s="14">
        <v>17</v>
      </c>
      <c r="J11" s="15">
        <v>21.48076923076923</v>
      </c>
      <c r="K11" s="15">
        <v>8.2656962112977759</v>
      </c>
      <c r="L11" s="15">
        <f t="shared" si="0"/>
        <v>13.215073019471454</v>
      </c>
      <c r="M11" s="14">
        <v>16</v>
      </c>
      <c r="N11" s="14">
        <v>14</v>
      </c>
      <c r="O11" s="14">
        <f t="shared" si="1"/>
        <v>2</v>
      </c>
      <c r="P11" s="14">
        <v>5</v>
      </c>
      <c r="Q11" s="14"/>
    </row>
    <row r="12" spans="1:17" x14ac:dyDescent="0.2">
      <c r="C12" s="16">
        <f>SUM(C2:C11)</f>
        <v>74.884615384615387</v>
      </c>
      <c r="D12" s="12"/>
      <c r="E12" s="12"/>
      <c r="F12" s="12"/>
      <c r="G12" s="12"/>
      <c r="H12" s="12"/>
      <c r="I12" s="12"/>
      <c r="J12" s="16">
        <f>SUM(J2:J11)</f>
        <v>615.21153846153857</v>
      </c>
      <c r="K12" s="16">
        <f>SUM(K2:K11)</f>
        <v>256.00977985756015</v>
      </c>
      <c r="L12" s="16"/>
      <c r="M12" s="16"/>
      <c r="N12" s="16"/>
      <c r="O12" s="12"/>
      <c r="P12" s="12"/>
      <c r="Q12" s="1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ScratchAnalysis</vt:lpstr>
      <vt:lpstr>ScratchAnalysis (summary)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2020-03-08T16:19:58Z</dcterms:created>
  <dcterms:modified xsi:type="dcterms:W3CDTF">2023-02-08T16:21:45Z</dcterms:modified>
</cp:coreProperties>
</file>