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nups\Downloads\"/>
    </mc:Choice>
  </mc:AlternateContent>
  <xr:revisionPtr revIDLastSave="0" documentId="13_ncr:1_{A170A2D6-22D5-4A16-A364-A8B93F83D3B1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Problem01" sheetId="13" r:id="rId1"/>
    <sheet name="Problem02" sheetId="1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6" i="12" l="1"/>
  <c r="F5" i="12"/>
  <c r="F4" i="12"/>
  <c r="E6" i="12"/>
  <c r="E26" i="13"/>
  <c r="C26" i="13"/>
  <c r="C25" i="13"/>
  <c r="B25" i="13"/>
  <c r="C24" i="13"/>
  <c r="E13" i="13"/>
  <c r="E14" i="13"/>
  <c r="E15" i="13"/>
  <c r="E16" i="13"/>
  <c r="E17" i="13"/>
  <c r="E18" i="13"/>
  <c r="E19" i="13"/>
  <c r="E20" i="13"/>
  <c r="E21" i="13"/>
  <c r="E22" i="13"/>
  <c r="E23" i="13"/>
  <c r="E12" i="13"/>
  <c r="D13" i="13"/>
  <c r="D14" i="13"/>
  <c r="D15" i="13"/>
  <c r="D16" i="13"/>
  <c r="D17" i="13"/>
  <c r="D18" i="13"/>
  <c r="D19" i="13"/>
  <c r="D20" i="13"/>
  <c r="D21" i="13"/>
  <c r="D22" i="13"/>
  <c r="D23" i="13"/>
  <c r="D12" i="13"/>
  <c r="B6" i="12"/>
</calcChain>
</file>

<file path=xl/sharedStrings.xml><?xml version="1.0" encoding="utf-8"?>
<sst xmlns="http://schemas.openxmlformats.org/spreadsheetml/2006/main" count="52" uniqueCount="50">
  <si>
    <t>Division A</t>
  </si>
  <si>
    <t>Division B</t>
  </si>
  <si>
    <t>CV</t>
  </si>
  <si>
    <t>Weekly Average</t>
  </si>
  <si>
    <t>Monthly Average</t>
  </si>
  <si>
    <t>Weekly st dev fcst err</t>
  </si>
  <si>
    <t>Monthly st dev fcst err</t>
  </si>
  <si>
    <t>For a single SKU, all methods to calculate periods of supply (and turns) produce the same result</t>
  </si>
  <si>
    <r>
      <rPr>
        <b/>
        <sz val="12"/>
        <color theme="1"/>
        <rFont val="Calibri"/>
        <family val="2"/>
        <scheme val="minor"/>
      </rPr>
      <t>Periods of supply</t>
    </r>
    <r>
      <rPr>
        <sz val="12"/>
        <color theme="1"/>
        <rFont val="Calibri"/>
        <family val="2"/>
        <scheme val="minor"/>
      </rPr>
      <t xml:space="preserve"> is a common performance metric regarding how much inventory is on hand</t>
    </r>
  </si>
  <si>
    <r>
      <t xml:space="preserve">The </t>
    </r>
    <r>
      <rPr>
        <i/>
        <sz val="12"/>
        <color theme="1"/>
        <rFont val="Calibri"/>
        <family val="2"/>
        <scheme val="minor"/>
      </rPr>
      <t>period</t>
    </r>
    <r>
      <rPr>
        <sz val="12"/>
        <color theme="1"/>
        <rFont val="Calibri"/>
        <family val="2"/>
        <scheme val="minor"/>
      </rPr>
      <t xml:space="preserve"> in </t>
    </r>
    <r>
      <rPr>
        <b/>
        <sz val="12"/>
        <color theme="1"/>
        <rFont val="Calibri"/>
        <family val="2"/>
        <scheme val="minor"/>
      </rPr>
      <t>periods of supply</t>
    </r>
    <r>
      <rPr>
        <sz val="12"/>
        <color theme="1"/>
        <rFont val="Calibri"/>
        <family val="2"/>
        <scheme val="minor"/>
      </rPr>
      <t xml:space="preserve"> can be any interval but is usually weeks, months, or years</t>
    </r>
  </si>
  <si>
    <r>
      <rPr>
        <b/>
        <sz val="12"/>
        <color theme="1"/>
        <rFont val="Calibri"/>
        <family val="2"/>
        <scheme val="minor"/>
      </rPr>
      <t>Turns</t>
    </r>
    <r>
      <rPr>
        <sz val="12"/>
        <color theme="1"/>
        <rFont val="Calibri"/>
        <family val="2"/>
        <scheme val="minor"/>
      </rPr>
      <t xml:space="preserve"> (or </t>
    </r>
    <r>
      <rPr>
        <b/>
        <sz val="12"/>
        <color theme="1"/>
        <rFont val="Calibri"/>
        <family val="2"/>
        <scheme val="minor"/>
      </rPr>
      <t>inventory turns</t>
    </r>
    <r>
      <rPr>
        <sz val="12"/>
        <color theme="1"/>
        <rFont val="Calibri"/>
        <family val="2"/>
        <scheme val="minor"/>
      </rPr>
      <t xml:space="preserve">) is the inverse of </t>
    </r>
    <r>
      <rPr>
        <b/>
        <sz val="12"/>
        <color theme="1"/>
        <rFont val="Calibri"/>
        <family val="2"/>
        <scheme val="minor"/>
      </rPr>
      <t>periods of supply</t>
    </r>
    <r>
      <rPr>
        <sz val="12"/>
        <color theme="1"/>
        <rFont val="Calibri"/>
        <family val="2"/>
        <scheme val="minor"/>
      </rPr>
      <t>, with the interval (almost always) in years</t>
    </r>
  </si>
  <si>
    <t>For example, 3 months of supply is 4 turns, 26 weeks of supply is 2 turns, 2 years of supply is 1/2 turn (because turns is in yearly terms)</t>
  </si>
  <si>
    <t>For an aggregation of SKUs, there are different methods but we will take the most common approach and use total dollars</t>
  </si>
  <si>
    <t>As part of the company's monthly S&amp;OP process, the following monthly sales and average inventory levels (in dollars) are reported</t>
  </si>
  <si>
    <t>Average Inventory ($)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</si>
  <si>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</si>
  <si>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</si>
  <si>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</si>
  <si>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</si>
  <si>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</si>
  <si>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</si>
  <si>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</si>
  <si>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</si>
  <si>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</si>
  <si>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</si>
  <si>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</si>
  <si>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</si>
  <si>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</si>
  <si>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Monthly 
Sales ($)</t>
  </si>
  <si>
    <t>Months 
of Supply</t>
  </si>
  <si>
    <t>Inventory Turns</t>
  </si>
  <si>
    <t>The final step of your project is to present your work to the company's executive leadership.</t>
  </si>
  <si>
    <t>The CFO cuts you off and says "That makes no sense.  We report out end-of year numbers to Wall Street and our end-of year inventory on hand</t>
  </si>
  <si>
    <t>was $235M.  We exceeded 6 turns, just as we have done every year I have been CFO.  Your numbers are wrong, and this meeting is over."</t>
  </si>
  <si>
    <t>Questions for your team to consider?</t>
  </si>
  <si>
    <t>1.  Is the CFO's perspective correct?</t>
  </si>
  <si>
    <t>2.  How do you reconcile your numbers with the CFO's numbers?</t>
  </si>
  <si>
    <t>3.  Can you change the way you frame your reduction to reconcile with the CFO's perspective, or does the CFO's persective need to change?</t>
  </si>
  <si>
    <t xml:space="preserve">Your project has identified $100M actional inventory reductions that the planning organization believes can be realized this calendar year. </t>
  </si>
  <si>
    <t>You begin by saying "By reducing $100M in inventory, we will reduce our months of supply from approximately 4 to 3 months of supply."</t>
  </si>
  <si>
    <t>A business unit uses coefficient of variation to measure forecast accuracy. Two divisions report their metrics below:</t>
  </si>
  <si>
    <t>1.  Division B says it is the superior division at forecasting because its CV is lower. Is this true?</t>
  </si>
  <si>
    <t>2.  How do you want to judge forecasting performance between different company divisions?</t>
  </si>
  <si>
    <t>235 is the last day of the year - 31st december</t>
  </si>
  <si>
    <t>need to look at trend and see the avg invenotyr. Last day of FY change to low</t>
  </si>
  <si>
    <t xml:space="preserve">yes. Look at FY basis. </t>
  </si>
  <si>
    <t>look at annual average of the year and see what is the inventory</t>
  </si>
  <si>
    <t xml:space="preserve"> = SD / mean</t>
  </si>
  <si>
    <t>lower is better at the same unit. A is better at weekly level</t>
  </si>
  <si>
    <t>Point estimate vs average data over the time is 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</si>
</sst>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7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wrapText="1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righ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/>
    <xf numFmtId="0" fontId="5" fillId="0" borderId="0" xfId="0" applyFont="1"/>
    <xf numFmtId="0" fontId="0" fillId="0" borderId="0" xfId="0" quotePrefix="1"/>
  </cellXfs>
  <cellStyles count="379">
    <cellStyle name="Followed Hyperlink" xfId="68" builtinId="9" hidden="1"/>
    <cellStyle name="Followed Hyperlink" xfId="72" builtinId="9" hidden="1"/>
    <cellStyle name="Followed Hyperlink" xfId="76" builtinId="9" hidden="1"/>
    <cellStyle name="Followed Hyperlink" xfId="80" builtinId="9" hidden="1"/>
    <cellStyle name="Followed Hyperlink" xfId="84" builtinId="9" hidden="1"/>
    <cellStyle name="Followed Hyperlink" xfId="88" builtinId="9" hidden="1"/>
    <cellStyle name="Followed Hyperlink" xfId="92" builtinId="9" hidden="1"/>
    <cellStyle name="Followed Hyperlink" xfId="96" builtinId="9" hidden="1"/>
    <cellStyle name="Followed Hyperlink" xfId="100" builtinId="9" hidden="1"/>
    <cellStyle name="Followed Hyperlink" xfId="104" builtinId="9" hidden="1"/>
    <cellStyle name="Followed Hyperlink" xfId="108" builtinId="9" hidden="1"/>
    <cellStyle name="Followed Hyperlink" xfId="112" builtinId="9" hidden="1"/>
    <cellStyle name="Followed Hyperlink" xfId="116" builtinId="9" hidden="1"/>
    <cellStyle name="Followed Hyperlink" xfId="120" builtinId="9" hidden="1"/>
    <cellStyle name="Followed Hyperlink" xfId="124" builtinId="9" hidden="1"/>
    <cellStyle name="Followed Hyperlink" xfId="128" builtinId="9" hidden="1"/>
    <cellStyle name="Followed Hyperlink" xfId="132" builtinId="9" hidden="1"/>
    <cellStyle name="Followed Hyperlink" xfId="136" builtinId="9" hidden="1"/>
    <cellStyle name="Followed Hyperlink" xfId="140" builtinId="9" hidden="1"/>
    <cellStyle name="Followed Hyperlink" xfId="144" builtinId="9" hidden="1"/>
    <cellStyle name="Followed Hyperlink" xfId="148" builtinId="9" hidden="1"/>
    <cellStyle name="Followed Hyperlink" xfId="152" builtinId="9" hidden="1"/>
    <cellStyle name="Followed Hyperlink" xfId="156" builtinId="9" hidden="1"/>
    <cellStyle name="Followed Hyperlink" xfId="160" builtinId="9" hidden="1"/>
    <cellStyle name="Followed Hyperlink" xfId="164" builtinId="9" hidden="1"/>
    <cellStyle name="Followed Hyperlink" xfId="168" builtinId="9" hidden="1"/>
    <cellStyle name="Followed Hyperlink" xfId="172" builtinId="9" hidden="1"/>
    <cellStyle name="Followed Hyperlink" xfId="176" builtinId="9" hidden="1"/>
    <cellStyle name="Followed Hyperlink" xfId="180" builtinId="9" hidden="1"/>
    <cellStyle name="Followed Hyperlink" xfId="184" builtinId="9" hidden="1"/>
    <cellStyle name="Followed Hyperlink" xfId="188" builtinId="9" hidden="1"/>
    <cellStyle name="Followed Hyperlink" xfId="192" builtinId="9" hidden="1"/>
    <cellStyle name="Followed Hyperlink" xfId="196" builtinId="9" hidden="1"/>
    <cellStyle name="Followed Hyperlink" xfId="200" builtinId="9" hidden="1"/>
    <cellStyle name="Followed Hyperlink" xfId="204" builtinId="9" hidden="1"/>
    <cellStyle name="Followed Hyperlink" xfId="208" builtinId="9" hidden="1"/>
    <cellStyle name="Followed Hyperlink" xfId="212" builtinId="9" hidden="1"/>
    <cellStyle name="Followed Hyperlink" xfId="216" builtinId="9" hidden="1"/>
    <cellStyle name="Followed Hyperlink" xfId="220" builtinId="9" hidden="1"/>
    <cellStyle name="Followed Hyperlink" xfId="224" builtinId="9" hidden="1"/>
    <cellStyle name="Followed Hyperlink" xfId="228" builtinId="9" hidden="1"/>
    <cellStyle name="Followed Hyperlink" xfId="232" builtinId="9" hidden="1"/>
    <cellStyle name="Followed Hyperlink" xfId="236" builtinId="9" hidden="1"/>
    <cellStyle name="Followed Hyperlink" xfId="240" builtinId="9" hidden="1"/>
    <cellStyle name="Followed Hyperlink" xfId="244" builtinId="9" hidden="1"/>
    <cellStyle name="Followed Hyperlink" xfId="248" builtinId="9" hidden="1"/>
    <cellStyle name="Followed Hyperlink" xfId="252" builtinId="9" hidden="1"/>
    <cellStyle name="Followed Hyperlink" xfId="256" builtinId="9" hidden="1"/>
    <cellStyle name="Followed Hyperlink" xfId="260" builtinId="9" hidden="1"/>
    <cellStyle name="Followed Hyperlink" xfId="264" builtinId="9" hidden="1"/>
    <cellStyle name="Followed Hyperlink" xfId="268" builtinId="9" hidden="1"/>
    <cellStyle name="Followed Hyperlink" xfId="272" builtinId="9" hidden="1"/>
    <cellStyle name="Followed Hyperlink" xfId="276" builtinId="9" hidden="1"/>
    <cellStyle name="Followed Hyperlink" xfId="280" builtinId="9" hidden="1"/>
    <cellStyle name="Followed Hyperlink" xfId="284" builtinId="9" hidden="1"/>
    <cellStyle name="Followed Hyperlink" xfId="288" builtinId="9" hidden="1"/>
    <cellStyle name="Followed Hyperlink" xfId="292" builtinId="9" hidden="1"/>
    <cellStyle name="Followed Hyperlink" xfId="296" builtinId="9" hidden="1"/>
    <cellStyle name="Followed Hyperlink" xfId="300" builtinId="9" hidden="1"/>
    <cellStyle name="Followed Hyperlink" xfId="304" builtinId="9" hidden="1"/>
    <cellStyle name="Followed Hyperlink" xfId="308" builtinId="9" hidden="1"/>
    <cellStyle name="Followed Hyperlink" xfId="312" builtinId="9" hidden="1"/>
    <cellStyle name="Followed Hyperlink" xfId="316" builtinId="9" hidden="1"/>
    <cellStyle name="Followed Hyperlink" xfId="320" builtinId="9" hidden="1"/>
    <cellStyle name="Followed Hyperlink" xfId="324" builtinId="9" hidden="1"/>
    <cellStyle name="Followed Hyperlink" xfId="328" builtinId="9" hidden="1"/>
    <cellStyle name="Followed Hyperlink" xfId="332" builtinId="9" hidden="1"/>
    <cellStyle name="Followed Hyperlink" xfId="336" builtinId="9" hidden="1"/>
    <cellStyle name="Followed Hyperlink" xfId="340" builtinId="9" hidden="1"/>
    <cellStyle name="Followed Hyperlink" xfId="344" builtinId="9" hidden="1"/>
    <cellStyle name="Followed Hyperlink" xfId="348" builtinId="9" hidden="1"/>
    <cellStyle name="Followed Hyperlink" xfId="352" builtinId="9" hidden="1"/>
    <cellStyle name="Followed Hyperlink" xfId="356" builtinId="9" hidden="1"/>
    <cellStyle name="Followed Hyperlink" xfId="360" builtinId="9" hidden="1"/>
    <cellStyle name="Followed Hyperlink" xfId="364" builtinId="9" hidden="1"/>
    <cellStyle name="Followed Hyperlink" xfId="368" builtinId="9" hidden="1"/>
    <cellStyle name="Followed Hyperlink" xfId="372" builtinId="9" hidden="1"/>
    <cellStyle name="Followed Hyperlink" xfId="376" builtinId="9" hidden="1"/>
    <cellStyle name="Followed Hyperlink" xfId="378" builtinId="9" hidden="1"/>
    <cellStyle name="Followed Hyperlink" xfId="374" builtinId="9" hidden="1"/>
    <cellStyle name="Followed Hyperlink" xfId="370" builtinId="9" hidden="1"/>
    <cellStyle name="Followed Hyperlink" xfId="366" builtinId="9" hidden="1"/>
    <cellStyle name="Followed Hyperlink" xfId="362" builtinId="9" hidden="1"/>
    <cellStyle name="Followed Hyperlink" xfId="358" builtinId="9" hidden="1"/>
    <cellStyle name="Followed Hyperlink" xfId="354" builtinId="9" hidden="1"/>
    <cellStyle name="Followed Hyperlink" xfId="350" builtinId="9" hidden="1"/>
    <cellStyle name="Followed Hyperlink" xfId="346" builtinId="9" hidden="1"/>
    <cellStyle name="Followed Hyperlink" xfId="342" builtinId="9" hidden="1"/>
    <cellStyle name="Followed Hyperlink" xfId="338" builtinId="9" hidden="1"/>
    <cellStyle name="Followed Hyperlink" xfId="334" builtinId="9" hidden="1"/>
    <cellStyle name="Followed Hyperlink" xfId="330" builtinId="9" hidden="1"/>
    <cellStyle name="Followed Hyperlink" xfId="326" builtinId="9" hidden="1"/>
    <cellStyle name="Followed Hyperlink" xfId="322" builtinId="9" hidden="1"/>
    <cellStyle name="Followed Hyperlink" xfId="318" builtinId="9" hidden="1"/>
    <cellStyle name="Followed Hyperlink" xfId="314" builtinId="9" hidden="1"/>
    <cellStyle name="Followed Hyperlink" xfId="310" builtinId="9" hidden="1"/>
    <cellStyle name="Followed Hyperlink" xfId="306" builtinId="9" hidden="1"/>
    <cellStyle name="Followed Hyperlink" xfId="302" builtinId="9" hidden="1"/>
    <cellStyle name="Followed Hyperlink" xfId="298" builtinId="9" hidden="1"/>
    <cellStyle name="Followed Hyperlink" xfId="294" builtinId="9" hidden="1"/>
    <cellStyle name="Followed Hyperlink" xfId="290" builtinId="9" hidden="1"/>
    <cellStyle name="Followed Hyperlink" xfId="286" builtinId="9" hidden="1"/>
    <cellStyle name="Followed Hyperlink" xfId="282" builtinId="9" hidden="1"/>
    <cellStyle name="Followed Hyperlink" xfId="278" builtinId="9" hidden="1"/>
    <cellStyle name="Followed Hyperlink" xfId="274" builtinId="9" hidden="1"/>
    <cellStyle name="Followed Hyperlink" xfId="270" builtinId="9" hidden="1"/>
    <cellStyle name="Followed Hyperlink" xfId="266" builtinId="9" hidden="1"/>
    <cellStyle name="Followed Hyperlink" xfId="262" builtinId="9" hidden="1"/>
    <cellStyle name="Followed Hyperlink" xfId="258" builtinId="9" hidden="1"/>
    <cellStyle name="Followed Hyperlink" xfId="254" builtinId="9" hidden="1"/>
    <cellStyle name="Followed Hyperlink" xfId="250" builtinId="9" hidden="1"/>
    <cellStyle name="Followed Hyperlink" xfId="246" builtinId="9" hidden="1"/>
    <cellStyle name="Followed Hyperlink" xfId="242" builtinId="9" hidden="1"/>
    <cellStyle name="Followed Hyperlink" xfId="238" builtinId="9" hidden="1"/>
    <cellStyle name="Followed Hyperlink" xfId="234" builtinId="9" hidden="1"/>
    <cellStyle name="Followed Hyperlink" xfId="230" builtinId="9" hidden="1"/>
    <cellStyle name="Followed Hyperlink" xfId="226" builtinId="9" hidden="1"/>
    <cellStyle name="Followed Hyperlink" xfId="222" builtinId="9" hidden="1"/>
    <cellStyle name="Followed Hyperlink" xfId="218" builtinId="9" hidden="1"/>
    <cellStyle name="Followed Hyperlink" xfId="214" builtinId="9" hidden="1"/>
    <cellStyle name="Followed Hyperlink" xfId="210" builtinId="9" hidden="1"/>
    <cellStyle name="Followed Hyperlink" xfId="206" builtinId="9" hidden="1"/>
    <cellStyle name="Followed Hyperlink" xfId="202" builtinId="9" hidden="1"/>
    <cellStyle name="Followed Hyperlink" xfId="198" builtinId="9" hidden="1"/>
    <cellStyle name="Followed Hyperlink" xfId="194" builtinId="9" hidden="1"/>
    <cellStyle name="Followed Hyperlink" xfId="190" builtinId="9" hidden="1"/>
    <cellStyle name="Followed Hyperlink" xfId="186" builtinId="9" hidden="1"/>
    <cellStyle name="Followed Hyperlink" xfId="182" builtinId="9" hidden="1"/>
    <cellStyle name="Followed Hyperlink" xfId="178" builtinId="9" hidden="1"/>
    <cellStyle name="Followed Hyperlink" xfId="174" builtinId="9" hidden="1"/>
    <cellStyle name="Followed Hyperlink" xfId="170" builtinId="9" hidden="1"/>
    <cellStyle name="Followed Hyperlink" xfId="166" builtinId="9" hidden="1"/>
    <cellStyle name="Followed Hyperlink" xfId="162" builtinId="9" hidden="1"/>
    <cellStyle name="Followed Hyperlink" xfId="158" builtinId="9" hidden="1"/>
    <cellStyle name="Followed Hyperlink" xfId="154" builtinId="9" hidden="1"/>
    <cellStyle name="Followed Hyperlink" xfId="150" builtinId="9" hidden="1"/>
    <cellStyle name="Followed Hyperlink" xfId="146" builtinId="9" hidden="1"/>
    <cellStyle name="Followed Hyperlink" xfId="142" builtinId="9" hidden="1"/>
    <cellStyle name="Followed Hyperlink" xfId="138" builtinId="9" hidden="1"/>
    <cellStyle name="Followed Hyperlink" xfId="134" builtinId="9" hidden="1"/>
    <cellStyle name="Followed Hyperlink" xfId="130" builtinId="9" hidden="1"/>
    <cellStyle name="Followed Hyperlink" xfId="126" builtinId="9" hidden="1"/>
    <cellStyle name="Followed Hyperlink" xfId="122" builtinId="9" hidden="1"/>
    <cellStyle name="Followed Hyperlink" xfId="118" builtinId="9" hidden="1"/>
    <cellStyle name="Followed Hyperlink" xfId="114" builtinId="9" hidden="1"/>
    <cellStyle name="Followed Hyperlink" xfId="110" builtinId="9" hidden="1"/>
    <cellStyle name="Followed Hyperlink" xfId="106" builtinId="9" hidden="1"/>
    <cellStyle name="Followed Hyperlink" xfId="102" builtinId="9" hidden="1"/>
    <cellStyle name="Followed Hyperlink" xfId="98" builtinId="9" hidden="1"/>
    <cellStyle name="Followed Hyperlink" xfId="94" builtinId="9" hidden="1"/>
    <cellStyle name="Followed Hyperlink" xfId="90" builtinId="9" hidden="1"/>
    <cellStyle name="Followed Hyperlink" xfId="86" builtinId="9" hidden="1"/>
    <cellStyle name="Followed Hyperlink" xfId="82" builtinId="9" hidden="1"/>
    <cellStyle name="Followed Hyperlink" xfId="78" builtinId="9" hidden="1"/>
    <cellStyle name="Followed Hyperlink" xfId="74" builtinId="9" hidden="1"/>
    <cellStyle name="Followed Hyperlink" xfId="70" builtinId="9" hidden="1"/>
    <cellStyle name="Followed Hyperlink" xfId="66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4" builtinId="9" hidden="1"/>
    <cellStyle name="Followed Hyperlink" xfId="62" builtinId="9" hidden="1"/>
    <cellStyle name="Followed Hyperlink" xfId="54" builtinId="9" hidden="1"/>
    <cellStyle name="Followed Hyperlink" xfId="46" builtinId="9" hidden="1"/>
    <cellStyle name="Followed Hyperlink" xfId="38" builtinId="9" hidden="1"/>
    <cellStyle name="Followed Hyperlink" xfId="30" builtinId="9" hidden="1"/>
    <cellStyle name="Followed Hyperlink" xfId="22" builtinId="9" hidden="1"/>
    <cellStyle name="Followed Hyperlink" xfId="10" builtinId="9" hidden="1"/>
    <cellStyle name="Followed Hyperlink" xfId="12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14" builtinId="9" hidden="1"/>
    <cellStyle name="Followed Hyperlink" xfId="6" builtinId="9" hidden="1"/>
    <cellStyle name="Followed Hyperlink" xfId="8" builtinId="9" hidden="1"/>
    <cellStyle name="Followed Hyperlink" xfId="4" builtinId="9" hidden="1"/>
    <cellStyle name="Followed Hyperlink" xfId="2" builtinId="9" hidden="1"/>
    <cellStyle name="Hyperlink" xfId="151" builtinId="8" hidden="1"/>
    <cellStyle name="Hyperlink" xfId="155" builtinId="8" hidden="1"/>
    <cellStyle name="Hyperlink" xfId="157" builtinId="8" hidden="1"/>
    <cellStyle name="Hyperlink" xfId="159" builtinId="8" hidden="1"/>
    <cellStyle name="Hyperlink" xfId="163" builtinId="8" hidden="1"/>
    <cellStyle name="Hyperlink" xfId="165" builtinId="8" hidden="1"/>
    <cellStyle name="Hyperlink" xfId="167" builtinId="8" hidden="1"/>
    <cellStyle name="Hyperlink" xfId="171" builtinId="8" hidden="1"/>
    <cellStyle name="Hyperlink" xfId="173" builtinId="8" hidden="1"/>
    <cellStyle name="Hyperlink" xfId="175" builtinId="8" hidden="1"/>
    <cellStyle name="Hyperlink" xfId="179" builtinId="8" hidden="1"/>
    <cellStyle name="Hyperlink" xfId="181" builtinId="8" hidden="1"/>
    <cellStyle name="Hyperlink" xfId="183" builtinId="8" hidden="1"/>
    <cellStyle name="Hyperlink" xfId="187" builtinId="8" hidden="1"/>
    <cellStyle name="Hyperlink" xfId="189" builtinId="8" hidden="1"/>
    <cellStyle name="Hyperlink" xfId="191" builtinId="8" hidden="1"/>
    <cellStyle name="Hyperlink" xfId="195" builtinId="8" hidden="1"/>
    <cellStyle name="Hyperlink" xfId="197" builtinId="8" hidden="1"/>
    <cellStyle name="Hyperlink" xfId="199" builtinId="8" hidden="1"/>
    <cellStyle name="Hyperlink" xfId="203" builtinId="8" hidden="1"/>
    <cellStyle name="Hyperlink" xfId="205" builtinId="8" hidden="1"/>
    <cellStyle name="Hyperlink" xfId="207" builtinId="8" hidden="1"/>
    <cellStyle name="Hyperlink" xfId="211" builtinId="8" hidden="1"/>
    <cellStyle name="Hyperlink" xfId="213" builtinId="8" hidden="1"/>
    <cellStyle name="Hyperlink" xfId="215" builtinId="8" hidden="1"/>
    <cellStyle name="Hyperlink" xfId="219" builtinId="8" hidden="1"/>
    <cellStyle name="Hyperlink" xfId="221" builtinId="8" hidden="1"/>
    <cellStyle name="Hyperlink" xfId="223" builtinId="8" hidden="1"/>
    <cellStyle name="Hyperlink" xfId="227" builtinId="8" hidden="1"/>
    <cellStyle name="Hyperlink" xfId="229" builtinId="8" hidden="1"/>
    <cellStyle name="Hyperlink" xfId="231" builtinId="8" hidden="1"/>
    <cellStyle name="Hyperlink" xfId="235" builtinId="8" hidden="1"/>
    <cellStyle name="Hyperlink" xfId="237" builtinId="8" hidden="1"/>
    <cellStyle name="Hyperlink" xfId="239" builtinId="8" hidden="1"/>
    <cellStyle name="Hyperlink" xfId="243" builtinId="8" hidden="1"/>
    <cellStyle name="Hyperlink" xfId="245" builtinId="8" hidden="1"/>
    <cellStyle name="Hyperlink" xfId="247" builtinId="8" hidden="1"/>
    <cellStyle name="Hyperlink" xfId="251" builtinId="8" hidden="1"/>
    <cellStyle name="Hyperlink" xfId="253" builtinId="8" hidden="1"/>
    <cellStyle name="Hyperlink" xfId="255" builtinId="8" hidden="1"/>
    <cellStyle name="Hyperlink" xfId="259" builtinId="8" hidden="1"/>
    <cellStyle name="Hyperlink" xfId="261" builtinId="8" hidden="1"/>
    <cellStyle name="Hyperlink" xfId="263" builtinId="8" hidden="1"/>
    <cellStyle name="Hyperlink" xfId="267" builtinId="8" hidden="1"/>
    <cellStyle name="Hyperlink" xfId="269" builtinId="8" hidden="1"/>
    <cellStyle name="Hyperlink" xfId="271" builtinId="8" hidden="1"/>
    <cellStyle name="Hyperlink" xfId="275" builtinId="8" hidden="1"/>
    <cellStyle name="Hyperlink" xfId="277" builtinId="8" hidden="1"/>
    <cellStyle name="Hyperlink" xfId="279" builtinId="8" hidden="1"/>
    <cellStyle name="Hyperlink" xfId="283" builtinId="8" hidden="1"/>
    <cellStyle name="Hyperlink" xfId="285" builtinId="8" hidden="1"/>
    <cellStyle name="Hyperlink" xfId="287" builtinId="8" hidden="1"/>
    <cellStyle name="Hyperlink" xfId="291" builtinId="8" hidden="1"/>
    <cellStyle name="Hyperlink" xfId="293" builtinId="8" hidden="1"/>
    <cellStyle name="Hyperlink" xfId="295" builtinId="8" hidden="1"/>
    <cellStyle name="Hyperlink" xfId="299" builtinId="8" hidden="1"/>
    <cellStyle name="Hyperlink" xfId="301" builtinId="8" hidden="1"/>
    <cellStyle name="Hyperlink" xfId="303" builtinId="8" hidden="1"/>
    <cellStyle name="Hyperlink" xfId="307" builtinId="8" hidden="1"/>
    <cellStyle name="Hyperlink" xfId="309" builtinId="8" hidden="1"/>
    <cellStyle name="Hyperlink" xfId="311" builtinId="8" hidden="1"/>
    <cellStyle name="Hyperlink" xfId="315" builtinId="8" hidden="1"/>
    <cellStyle name="Hyperlink" xfId="317" builtinId="8" hidden="1"/>
    <cellStyle name="Hyperlink" xfId="319" builtinId="8" hidden="1"/>
    <cellStyle name="Hyperlink" xfId="323" builtinId="8" hidden="1"/>
    <cellStyle name="Hyperlink" xfId="325" builtinId="8" hidden="1"/>
    <cellStyle name="Hyperlink" xfId="327" builtinId="8" hidden="1"/>
    <cellStyle name="Hyperlink" xfId="331" builtinId="8" hidden="1"/>
    <cellStyle name="Hyperlink" xfId="333" builtinId="8" hidden="1"/>
    <cellStyle name="Hyperlink" xfId="335" builtinId="8" hidden="1"/>
    <cellStyle name="Hyperlink" xfId="339" builtinId="8" hidden="1"/>
    <cellStyle name="Hyperlink" xfId="341" builtinId="8" hidden="1"/>
    <cellStyle name="Hyperlink" xfId="343" builtinId="8" hidden="1"/>
    <cellStyle name="Hyperlink" xfId="347" builtinId="8" hidden="1"/>
    <cellStyle name="Hyperlink" xfId="349" builtinId="8" hidden="1"/>
    <cellStyle name="Hyperlink" xfId="351" builtinId="8" hidden="1"/>
    <cellStyle name="Hyperlink" xfId="355" builtinId="8" hidden="1"/>
    <cellStyle name="Hyperlink" xfId="357" builtinId="8" hidden="1"/>
    <cellStyle name="Hyperlink" xfId="359" builtinId="8" hidden="1"/>
    <cellStyle name="Hyperlink" xfId="363" builtinId="8" hidden="1"/>
    <cellStyle name="Hyperlink" xfId="365" builtinId="8" hidden="1"/>
    <cellStyle name="Hyperlink" xfId="367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69" builtinId="8" hidden="1"/>
    <cellStyle name="Hyperlink" xfId="361" builtinId="8" hidden="1"/>
    <cellStyle name="Hyperlink" xfId="353" builtinId="8" hidden="1"/>
    <cellStyle name="Hyperlink" xfId="345" builtinId="8" hidden="1"/>
    <cellStyle name="Hyperlink" xfId="337" builtinId="8" hidden="1"/>
    <cellStyle name="Hyperlink" xfId="329" builtinId="8" hidden="1"/>
    <cellStyle name="Hyperlink" xfId="321" builtinId="8" hidden="1"/>
    <cellStyle name="Hyperlink" xfId="313" builtinId="8" hidden="1"/>
    <cellStyle name="Hyperlink" xfId="305" builtinId="8" hidden="1"/>
    <cellStyle name="Hyperlink" xfId="297" builtinId="8" hidden="1"/>
    <cellStyle name="Hyperlink" xfId="289" builtinId="8" hidden="1"/>
    <cellStyle name="Hyperlink" xfId="281" builtinId="8" hidden="1"/>
    <cellStyle name="Hyperlink" xfId="273" builtinId="8" hidden="1"/>
    <cellStyle name="Hyperlink" xfId="265" builtinId="8" hidden="1"/>
    <cellStyle name="Hyperlink" xfId="257" builtinId="8" hidden="1"/>
    <cellStyle name="Hyperlink" xfId="249" builtinId="8" hidden="1"/>
    <cellStyle name="Hyperlink" xfId="241" builtinId="8" hidden="1"/>
    <cellStyle name="Hyperlink" xfId="233" builtinId="8" hidden="1"/>
    <cellStyle name="Hyperlink" xfId="225" builtinId="8" hidden="1"/>
    <cellStyle name="Hyperlink" xfId="217" builtinId="8" hidden="1"/>
    <cellStyle name="Hyperlink" xfId="209" builtinId="8" hidden="1"/>
    <cellStyle name="Hyperlink" xfId="201" builtinId="8" hidden="1"/>
    <cellStyle name="Hyperlink" xfId="193" builtinId="8" hidden="1"/>
    <cellStyle name="Hyperlink" xfId="185" builtinId="8" hidden="1"/>
    <cellStyle name="Hyperlink" xfId="177" builtinId="8" hidden="1"/>
    <cellStyle name="Hyperlink" xfId="169" builtinId="8" hidden="1"/>
    <cellStyle name="Hyperlink" xfId="161" builtinId="8" hidden="1"/>
    <cellStyle name="Hyperlink" xfId="15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37" builtinId="8" hidden="1"/>
    <cellStyle name="Hyperlink" xfId="121" builtinId="8" hidden="1"/>
    <cellStyle name="Hyperlink" xfId="105" builtinId="8" hidden="1"/>
    <cellStyle name="Hyperlink" xfId="89" builtinId="8" hidden="1"/>
    <cellStyle name="Hyperlink" xfId="73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9" builtinId="8" hidden="1"/>
    <cellStyle name="Hyperlink" xfId="61" builtinId="8" hidden="1"/>
    <cellStyle name="Hyperlink" xfId="63" builtinId="8" hidden="1"/>
    <cellStyle name="Hyperlink" xfId="57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3" builtinId="8" hidden="1"/>
    <cellStyle name="Hyperlink" xfId="5" builtinId="8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Problem01!$B$12:$B$23</c:f>
              <c:numCache>
                <c:formatCode>General</c:formatCode>
                <c:ptCount val="12"/>
                <c:pt idx="0">
                  <c:v>100</c:v>
                </c:pt>
                <c:pt idx="1">
                  <c:v>106</c:v>
                </c:pt>
                <c:pt idx="2">
                  <c:v>110</c:v>
                </c:pt>
                <c:pt idx="3">
                  <c:v>103</c:v>
                </c:pt>
                <c:pt idx="4">
                  <c:v>107</c:v>
                </c:pt>
                <c:pt idx="5">
                  <c:v>113</c:v>
                </c:pt>
                <c:pt idx="6">
                  <c:v>106</c:v>
                </c:pt>
                <c:pt idx="7">
                  <c:v>111</c:v>
                </c:pt>
                <c:pt idx="8">
                  <c:v>116</c:v>
                </c:pt>
                <c:pt idx="9">
                  <c:v>108</c:v>
                </c:pt>
                <c:pt idx="10">
                  <c:v>112</c:v>
                </c:pt>
                <c:pt idx="11">
                  <c:v>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E-4E71-AF2E-5080167F541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Problem01!$C$12:$C$23</c:f>
              <c:numCache>
                <c:formatCode>0</c:formatCode>
                <c:ptCount val="12"/>
                <c:pt idx="0">
                  <c:v>410</c:v>
                </c:pt>
                <c:pt idx="1">
                  <c:v>431</c:v>
                </c:pt>
                <c:pt idx="2">
                  <c:v>447</c:v>
                </c:pt>
                <c:pt idx="3">
                  <c:v>416</c:v>
                </c:pt>
                <c:pt idx="4">
                  <c:v>431</c:v>
                </c:pt>
                <c:pt idx="5">
                  <c:v>461</c:v>
                </c:pt>
                <c:pt idx="6">
                  <c:v>430</c:v>
                </c:pt>
                <c:pt idx="7">
                  <c:v>448</c:v>
                </c:pt>
                <c:pt idx="8">
                  <c:v>466</c:v>
                </c:pt>
                <c:pt idx="9">
                  <c:v>439</c:v>
                </c:pt>
                <c:pt idx="10">
                  <c:v>458</c:v>
                </c:pt>
                <c:pt idx="11">
                  <c:v>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E-4E71-AF2E-5080167F5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4242208"/>
        <c:axId val="2004244704"/>
      </c:lineChart>
      <c:catAx>
        <c:axId val="20042422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244704"/>
        <c:crosses val="autoZero"/>
        <c:auto val="1"/>
        <c:lblAlgn val="ctr"/>
        <c:lblOffset val="100"/>
        <c:noMultiLvlLbl val="0"/>
      </c:catAx>
      <c:valAx>
        <c:axId val="200424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4242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45903</xdr:colOff>
      <xdr:row>11</xdr:row>
      <xdr:rowOff>10098</xdr:rowOff>
    </xdr:from>
    <xdr:to>
      <xdr:col>10</xdr:col>
      <xdr:colOff>725276</xdr:colOff>
      <xdr:row>24</xdr:row>
      <xdr:rowOff>127611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13401B-484F-53D2-BA7E-919773FF4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E15A6-1C61-E043-B648-801637AD43DA}">
  <dimension ref="A1:H38"/>
  <sheetViews>
    <sheetView showGridLines="0" topLeftCell="A11" zoomScale="83" zoomScaleNormal="220" zoomScalePageLayoutView="150" workbookViewId="0">
      <selection activeCell="H26" sqref="H26"/>
    </sheetView>
  </sheetViews>
  <sheetFormatPr defaultColWidth="10.796875" defaultRowHeight="15.6" x14ac:dyDescent="0.3"/>
  <cols>
    <col min="2" max="10" width="12.796875" customWidth="1"/>
    <col min="11" max="11" width="10.69921875" customWidth="1"/>
  </cols>
  <sheetData>
    <row r="1" spans="1:5" x14ac:dyDescent="0.3">
      <c r="A1" t="s">
        <v>8</v>
      </c>
    </row>
    <row r="2" spans="1:5" x14ac:dyDescent="0.3">
      <c r="A2" t="s">
        <v>9</v>
      </c>
    </row>
    <row r="3" spans="1:5" x14ac:dyDescent="0.3">
      <c r="A3" t="s">
        <v>10</v>
      </c>
    </row>
    <row r="4" spans="1:5" x14ac:dyDescent="0.3">
      <c r="A4" t="s">
        <v>11</v>
      </c>
    </row>
    <row r="6" spans="1:5" x14ac:dyDescent="0.3">
      <c r="A6" t="s">
        <v>7</v>
      </c>
    </row>
    <row r="7" spans="1:5" x14ac:dyDescent="0.3">
      <c r="A7" t="s">
        <v>12</v>
      </c>
    </row>
    <row r="9" spans="1:5" x14ac:dyDescent="0.3">
      <c r="A9" t="s">
        <v>13</v>
      </c>
    </row>
    <row r="11" spans="1:5" ht="31.2" x14ac:dyDescent="0.3">
      <c r="A11" s="3" t="s">
        <v>15</v>
      </c>
      <c r="B11" s="3" t="s">
        <v>28</v>
      </c>
      <c r="C11" s="3" t="s">
        <v>14</v>
      </c>
      <c r="D11" s="3" t="s">
        <v>29</v>
      </c>
      <c r="E11" s="3" t="s">
        <v>30</v>
      </c>
    </row>
    <row r="12" spans="1:5" x14ac:dyDescent="0.3">
      <c r="A12" s="1" t="s">
        <v>16</v>
      </c>
      <c r="B12" s="2">
        <v>100</v>
      </c>
      <c r="C12" s="6">
        <v>410</v>
      </c>
      <c r="D12" s="4">
        <f>C12/B12</f>
        <v>4.0999999999999996</v>
      </c>
      <c r="E12" s="4">
        <f>12/D12</f>
        <v>2.9268292682926833</v>
      </c>
    </row>
    <row r="13" spans="1:5" x14ac:dyDescent="0.3">
      <c r="A13" s="1" t="s">
        <v>17</v>
      </c>
      <c r="B13" s="2">
        <v>106</v>
      </c>
      <c r="C13" s="6">
        <v>431</v>
      </c>
      <c r="D13" s="4">
        <f t="shared" ref="D13:D23" si="0">C13/B13</f>
        <v>4.0660377358490569</v>
      </c>
      <c r="E13" s="4">
        <f t="shared" ref="E13:E23" si="1">12/D13</f>
        <v>2.9512761020881668</v>
      </c>
    </row>
    <row r="14" spans="1:5" x14ac:dyDescent="0.3">
      <c r="A14" s="1" t="s">
        <v>18</v>
      </c>
      <c r="B14" s="2">
        <v>110</v>
      </c>
      <c r="C14" s="6">
        <v>447</v>
      </c>
      <c r="D14" s="4">
        <f t="shared" si="0"/>
        <v>4.0636363636363635</v>
      </c>
      <c r="E14" s="4">
        <f t="shared" si="1"/>
        <v>2.9530201342281881</v>
      </c>
    </row>
    <row r="15" spans="1:5" x14ac:dyDescent="0.3">
      <c r="A15" s="1" t="s">
        <v>19</v>
      </c>
      <c r="B15" s="2">
        <v>103</v>
      </c>
      <c r="C15" s="6">
        <v>416</v>
      </c>
      <c r="D15" s="4">
        <f t="shared" si="0"/>
        <v>4.0388349514563107</v>
      </c>
      <c r="E15" s="4">
        <f t="shared" si="1"/>
        <v>2.9711538461538463</v>
      </c>
    </row>
    <row r="16" spans="1:5" x14ac:dyDescent="0.3">
      <c r="A16" s="1" t="s">
        <v>20</v>
      </c>
      <c r="B16" s="2">
        <v>107</v>
      </c>
      <c r="C16" s="6">
        <v>431</v>
      </c>
      <c r="D16" s="4">
        <f t="shared" si="0"/>
        <v>4.02803738317757</v>
      </c>
      <c r="E16" s="4">
        <f t="shared" si="1"/>
        <v>2.9791183294663575</v>
      </c>
    </row>
    <row r="17" spans="1:5" x14ac:dyDescent="0.3">
      <c r="A17" s="1" t="s">
        <v>21</v>
      </c>
      <c r="B17" s="2">
        <v>113</v>
      </c>
      <c r="C17" s="6">
        <v>461</v>
      </c>
      <c r="D17" s="4">
        <f t="shared" si="0"/>
        <v>4.0796460176991154</v>
      </c>
      <c r="E17" s="4">
        <f t="shared" si="1"/>
        <v>2.9414316702819954</v>
      </c>
    </row>
    <row r="18" spans="1:5" x14ac:dyDescent="0.3">
      <c r="A18" s="1" t="s">
        <v>22</v>
      </c>
      <c r="B18" s="2">
        <v>106</v>
      </c>
      <c r="C18" s="6">
        <v>430</v>
      </c>
      <c r="D18" s="4">
        <f t="shared" si="0"/>
        <v>4.0566037735849054</v>
      </c>
      <c r="E18" s="4">
        <f t="shared" si="1"/>
        <v>2.9581395348837209</v>
      </c>
    </row>
    <row r="19" spans="1:5" x14ac:dyDescent="0.3">
      <c r="A19" s="1" t="s">
        <v>23</v>
      </c>
      <c r="B19" s="2">
        <v>111</v>
      </c>
      <c r="C19" s="6">
        <v>448</v>
      </c>
      <c r="D19" s="4">
        <f t="shared" si="0"/>
        <v>4.0360360360360357</v>
      </c>
      <c r="E19" s="4">
        <f t="shared" si="1"/>
        <v>2.973214285714286</v>
      </c>
    </row>
    <row r="20" spans="1:5" x14ac:dyDescent="0.3">
      <c r="A20" s="1" t="s">
        <v>24</v>
      </c>
      <c r="B20" s="2">
        <v>116</v>
      </c>
      <c r="C20" s="6">
        <v>466</v>
      </c>
      <c r="D20" s="4">
        <f t="shared" si="0"/>
        <v>4.0172413793103452</v>
      </c>
      <c r="E20" s="4">
        <f t="shared" si="1"/>
        <v>2.9871244635193128</v>
      </c>
    </row>
    <row r="21" spans="1:5" x14ac:dyDescent="0.3">
      <c r="A21" s="1" t="s">
        <v>25</v>
      </c>
      <c r="B21" s="2">
        <v>108</v>
      </c>
      <c r="C21" s="6">
        <v>439</v>
      </c>
      <c r="D21" s="4">
        <f t="shared" si="0"/>
        <v>4.0648148148148149</v>
      </c>
      <c r="E21" s="4">
        <f t="shared" si="1"/>
        <v>2.9521640091116175</v>
      </c>
    </row>
    <row r="22" spans="1:5" x14ac:dyDescent="0.3">
      <c r="A22" s="1" t="s">
        <v>26</v>
      </c>
      <c r="B22" s="2">
        <v>112</v>
      </c>
      <c r="C22" s="6">
        <v>458</v>
      </c>
      <c r="D22" s="4">
        <f t="shared" si="0"/>
        <v>4.0892857142857144</v>
      </c>
      <c r="E22" s="4">
        <f t="shared" si="1"/>
        <v>2.9344978165938862</v>
      </c>
    </row>
    <row r="23" spans="1:5" x14ac:dyDescent="0.3">
      <c r="A23" s="1" t="s">
        <v>27</v>
      </c>
      <c r="B23" s="2">
        <v>117</v>
      </c>
      <c r="C23" s="6">
        <v>328</v>
      </c>
      <c r="D23" s="4">
        <f t="shared" si="0"/>
        <v>2.8034188034188032</v>
      </c>
      <c r="E23" s="4">
        <f t="shared" si="1"/>
        <v>4.2804878048780495</v>
      </c>
    </row>
    <row r="24" spans="1:5" x14ac:dyDescent="0.3">
      <c r="C24" s="8">
        <f>AVERAGE(C12,C23)</f>
        <v>369</v>
      </c>
    </row>
    <row r="25" spans="1:5" x14ac:dyDescent="0.3">
      <c r="B25">
        <f>SUM(B12:B23)</f>
        <v>1309</v>
      </c>
      <c r="C25" s="8">
        <f>C23</f>
        <v>328</v>
      </c>
    </row>
    <row r="26" spans="1:5" x14ac:dyDescent="0.3">
      <c r="C26">
        <f>C25/B25</f>
        <v>0.25057295645530941</v>
      </c>
      <c r="E26">
        <f>1/C26</f>
        <v>3.9908536585365852</v>
      </c>
    </row>
    <row r="27" spans="1:5" x14ac:dyDescent="0.3">
      <c r="A27" t="s">
        <v>38</v>
      </c>
    </row>
    <row r="28" spans="1:5" x14ac:dyDescent="0.3">
      <c r="A28" t="s">
        <v>31</v>
      </c>
    </row>
    <row r="29" spans="1:5" x14ac:dyDescent="0.3">
      <c r="A29" t="s">
        <v>39</v>
      </c>
    </row>
    <row r="30" spans="1:5" x14ac:dyDescent="0.3">
      <c r="A30" t="s">
        <v>32</v>
      </c>
    </row>
    <row r="31" spans="1:5" x14ac:dyDescent="0.3">
      <c r="A31" t="s">
        <v>33</v>
      </c>
    </row>
    <row r="33" spans="1:8" x14ac:dyDescent="0.3">
      <c r="A33" t="s">
        <v>34</v>
      </c>
    </row>
    <row r="34" spans="1:8" x14ac:dyDescent="0.3">
      <c r="A34" t="s">
        <v>35</v>
      </c>
      <c r="D34" s="9" t="s">
        <v>43</v>
      </c>
      <c r="H34" s="9" t="s">
        <v>49</v>
      </c>
    </row>
    <row r="35" spans="1:8" x14ac:dyDescent="0.3">
      <c r="A35" t="s">
        <v>36</v>
      </c>
      <c r="F35" s="9" t="s">
        <v>44</v>
      </c>
    </row>
    <row r="36" spans="1:8" x14ac:dyDescent="0.3">
      <c r="A36" t="s">
        <v>37</v>
      </c>
    </row>
    <row r="37" spans="1:8" x14ac:dyDescent="0.3">
      <c r="B37" s="9" t="s">
        <v>45</v>
      </c>
    </row>
    <row r="38" spans="1:8" x14ac:dyDescent="0.3">
      <c r="B38" s="9" t="s">
        <v>46</v>
      </c>
    </row>
  </sheetData>
  <pageMargins left="0.75" right="0.75" top="1" bottom="1" header="0.5" footer="0.5"/>
  <pageSetup orientation="portrait" horizontalDpi="4294967292" vertic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2E128-CA4C-E44F-9F50-A94D29E772B7}">
  <dimension ref="A1:G10"/>
  <sheetViews>
    <sheetView showGridLines="0" tabSelected="1" zoomScale="116" zoomScaleNormal="220" zoomScalePageLayoutView="150" workbookViewId="0">
      <selection activeCell="G10" sqref="G10"/>
    </sheetView>
  </sheetViews>
  <sheetFormatPr defaultColWidth="10.796875" defaultRowHeight="15.6" x14ac:dyDescent="0.3"/>
  <cols>
    <col min="1" max="1" width="18.796875" customWidth="1"/>
    <col min="2" max="3" width="10.796875" customWidth="1"/>
    <col min="4" max="4" width="20.796875" customWidth="1"/>
  </cols>
  <sheetData>
    <row r="1" spans="1:7" x14ac:dyDescent="0.3">
      <c r="A1" s="7" t="s">
        <v>40</v>
      </c>
    </row>
    <row r="3" spans="1:7" x14ac:dyDescent="0.3">
      <c r="A3" s="3"/>
      <c r="B3" s="3" t="s">
        <v>0</v>
      </c>
      <c r="E3" s="3" t="s">
        <v>1</v>
      </c>
    </row>
    <row r="4" spans="1:7" x14ac:dyDescent="0.3">
      <c r="A4" s="5" t="s">
        <v>3</v>
      </c>
      <c r="B4" s="4">
        <v>100</v>
      </c>
      <c r="D4" s="5" t="s">
        <v>4</v>
      </c>
      <c r="E4" s="4">
        <v>350</v>
      </c>
      <c r="F4">
        <f>E4/4</f>
        <v>87.5</v>
      </c>
    </row>
    <row r="5" spans="1:7" x14ac:dyDescent="0.3">
      <c r="A5" s="5" t="s">
        <v>5</v>
      </c>
      <c r="B5" s="4">
        <v>80</v>
      </c>
      <c r="D5" s="5" t="s">
        <v>6</v>
      </c>
      <c r="E5" s="4">
        <v>240</v>
      </c>
      <c r="F5">
        <f>E5/SQRT(4)</f>
        <v>120</v>
      </c>
    </row>
    <row r="6" spans="1:7" x14ac:dyDescent="0.3">
      <c r="A6" s="5" t="s">
        <v>2</v>
      </c>
      <c r="B6" s="4">
        <f>B5/B4</f>
        <v>0.8</v>
      </c>
      <c r="D6" s="5" t="s">
        <v>2</v>
      </c>
      <c r="E6" s="4">
        <f>E5/E4</f>
        <v>0.68571428571428572</v>
      </c>
      <c r="F6" s="10" t="s">
        <v>47</v>
      </c>
      <c r="G6">
        <f>F5/F4</f>
        <v>1.3714285714285714</v>
      </c>
    </row>
    <row r="8" spans="1:7" x14ac:dyDescent="0.3">
      <c r="A8" t="s">
        <v>34</v>
      </c>
    </row>
    <row r="9" spans="1:7" x14ac:dyDescent="0.3">
      <c r="A9" t="s">
        <v>41</v>
      </c>
      <c r="G9" t="s">
        <v>48</v>
      </c>
    </row>
    <row r="10" spans="1:7" x14ac:dyDescent="0.3">
      <c r="A10" t="s">
        <v>42</v>
      </c>
    </row>
  </sheetData>
  <pageMargins left="0.75" right="0.75" top="1" bottom="1" header="0.5" footer="0.5"/>
  <pageSetup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Problem01</vt:lpstr>
      <vt:lpstr>Problem02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</dc:creator>
  <cp:lastModifiedBy>Anup Sreekumar</cp:lastModifiedBy>
  <cp:lastPrinted>2015-02-19T13:30:28Z</cp:lastPrinted>
  <dcterms:created xsi:type="dcterms:W3CDTF">2015-02-16T02:16:35Z</dcterms:created>
  <dcterms:modified xsi:type="dcterms:W3CDTF">2023-02-13T17:41:36Z</dcterms:modified>
</cp:coreProperties>
</file>