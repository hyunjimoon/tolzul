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mbp/Dropbox (MIT)/_Teaching/Courses/15.762/Spring 2023/Class 10 - Premier Logistics/____InClass/"/>
    </mc:Choice>
  </mc:AlternateContent>
  <xr:revisionPtr revIDLastSave="0" documentId="13_ncr:1_{0535224E-F285-5C45-8B60-AFA2554D71A3}" xr6:coauthVersionLast="47" xr6:coauthVersionMax="47" xr10:uidLastSave="{00000000-0000-0000-0000-000000000000}"/>
  <bookViews>
    <workbookView xWindow="0" yWindow="760" windowWidth="34520" windowHeight="20200" xr2:uid="{00000000-000D-0000-FFFF-FFFF00000000}"/>
  </bookViews>
  <sheets>
    <sheet name="CPG Part" sheetId="5" r:id="rId1"/>
    <sheet name="Industrial Part" sheetId="4" r:id="rId2"/>
  </sheets>
  <definedNames>
    <definedName name="_xlnm.Print_Area" localSheetId="0">'CPG Part'!$B$1:$H$32</definedName>
    <definedName name="_xlnm.Print_Area" localSheetId="1">'Industrial Part'!$B$1:$H$32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5" l="1"/>
  <c r="G5" i="5" s="1"/>
  <c r="H5" i="4"/>
  <c r="G5" i="4" l="1"/>
  <c r="H16" i="5"/>
  <c r="H11" i="5"/>
  <c r="G44" i="5"/>
  <c r="D48" i="5"/>
  <c r="C48" i="5"/>
  <c r="D45" i="5"/>
  <c r="C45" i="5"/>
  <c r="D44" i="5"/>
  <c r="C44" i="5"/>
  <c r="D43" i="5"/>
  <c r="C43" i="5"/>
  <c r="H42" i="5"/>
  <c r="G42" i="5"/>
  <c r="D42" i="5"/>
  <c r="D46" i="5" s="1"/>
  <c r="C42" i="5"/>
  <c r="C46" i="5" s="1"/>
  <c r="H41" i="5"/>
  <c r="G41" i="5"/>
  <c r="D41" i="5"/>
  <c r="C41" i="5"/>
  <c r="K5" i="4"/>
  <c r="K5" i="5" l="1"/>
  <c r="J42" i="5"/>
  <c r="J41" i="5"/>
  <c r="D13" i="5"/>
  <c r="C13" i="5"/>
  <c r="D6" i="4"/>
  <c r="D13" i="4" l="1"/>
  <c r="G7" i="4" l="1"/>
  <c r="D7" i="4"/>
  <c r="H7" i="4" s="1"/>
  <c r="C16" i="4"/>
  <c r="C41" i="4"/>
  <c r="D4" i="5"/>
  <c r="H4" i="5" s="1"/>
  <c r="D7" i="5"/>
  <c r="H7" i="5" s="1"/>
  <c r="D8" i="5"/>
  <c r="H8" i="5" s="1"/>
  <c r="H17" i="5" s="1"/>
  <c r="D6" i="5"/>
  <c r="D5" i="5"/>
  <c r="D15" i="5" s="1"/>
  <c r="D3" i="5"/>
  <c r="D20" i="5" s="1"/>
  <c r="D3" i="4"/>
  <c r="D41" i="4" s="1"/>
  <c r="D4" i="4"/>
  <c r="H4" i="4" s="1"/>
  <c r="D8" i="4"/>
  <c r="H10" i="5"/>
  <c r="H9" i="5"/>
  <c r="H15" i="5"/>
  <c r="G10" i="5"/>
  <c r="G3" i="5"/>
  <c r="G9" i="5"/>
  <c r="G4" i="5"/>
  <c r="G7" i="5"/>
  <c r="G6" i="5"/>
  <c r="G8" i="5"/>
  <c r="G3" i="4"/>
  <c r="G11" i="4" s="1"/>
  <c r="G4" i="4"/>
  <c r="G9" i="4"/>
  <c r="H9" i="4"/>
  <c r="G8" i="4"/>
  <c r="H10" i="4"/>
  <c r="H42" i="4" s="1"/>
  <c r="G10" i="4"/>
  <c r="G42" i="4" s="1"/>
  <c r="C11" i="5"/>
  <c r="C21" i="5" s="1"/>
  <c r="C15" i="5"/>
  <c r="C12" i="5"/>
  <c r="C16" i="5"/>
  <c r="C22" i="5" s="1"/>
  <c r="C17" i="5"/>
  <c r="C23" i="5"/>
  <c r="C20" i="5"/>
  <c r="D5" i="4"/>
  <c r="D42" i="4"/>
  <c r="C42" i="4"/>
  <c r="C11" i="4"/>
  <c r="C15" i="4"/>
  <c r="C21" i="4" s="1"/>
  <c r="C12" i="4"/>
  <c r="C17" i="4"/>
  <c r="C20" i="4"/>
  <c r="D15" i="4" l="1"/>
  <c r="D16" i="4"/>
  <c r="C13" i="4"/>
  <c r="D12" i="5"/>
  <c r="C28" i="5"/>
  <c r="C30" i="5"/>
  <c r="C29" i="5"/>
  <c r="C43" i="4"/>
  <c r="C28" i="4"/>
  <c r="C22" i="4"/>
  <c r="D16" i="5"/>
  <c r="D22" i="5" s="1"/>
  <c r="H3" i="5"/>
  <c r="H20" i="5" s="1"/>
  <c r="G15" i="5"/>
  <c r="D11" i="5"/>
  <c r="D21" i="5" s="1"/>
  <c r="G17" i="5"/>
  <c r="G16" i="4"/>
  <c r="D20" i="4"/>
  <c r="H3" i="4"/>
  <c r="H11" i="4" s="1"/>
  <c r="C23" i="4"/>
  <c r="D12" i="4"/>
  <c r="D17" i="4"/>
  <c r="D11" i="4"/>
  <c r="D21" i="4" s="1"/>
  <c r="G12" i="4"/>
  <c r="H8" i="4"/>
  <c r="H17" i="4" s="1"/>
  <c r="G16" i="5"/>
  <c r="D17" i="5"/>
  <c r="D23" i="5" s="1"/>
  <c r="D30" i="5" s="1"/>
  <c r="G11" i="5"/>
  <c r="G20" i="5"/>
  <c r="C24" i="5"/>
  <c r="G12" i="5"/>
  <c r="G41" i="4"/>
  <c r="J42" i="4" l="1"/>
  <c r="J41" i="4"/>
  <c r="G17" i="4"/>
  <c r="G20" i="4"/>
  <c r="G15" i="4"/>
  <c r="G21" i="4" s="1"/>
  <c r="G28" i="4" s="1"/>
  <c r="H15" i="4"/>
  <c r="H21" i="4" s="1"/>
  <c r="D23" i="4"/>
  <c r="D30" i="4" s="1"/>
  <c r="D22" i="4"/>
  <c r="D44" i="4" s="1"/>
  <c r="D28" i="5"/>
  <c r="D29" i="5"/>
  <c r="C31" i="5"/>
  <c r="D43" i="4"/>
  <c r="D28" i="4"/>
  <c r="D45" i="4"/>
  <c r="C44" i="4"/>
  <c r="C29" i="4"/>
  <c r="C45" i="4"/>
  <c r="C30" i="4"/>
  <c r="H20" i="4"/>
  <c r="H16" i="4"/>
  <c r="G21" i="5"/>
  <c r="G43" i="5" s="1"/>
  <c r="H21" i="5"/>
  <c r="H43" i="5" s="1"/>
  <c r="H12" i="5"/>
  <c r="C24" i="4"/>
  <c r="C48" i="4" s="1"/>
  <c r="H41" i="4"/>
  <c r="H12" i="4"/>
  <c r="H23" i="4" s="1"/>
  <c r="D24" i="5"/>
  <c r="G22" i="4"/>
  <c r="G23" i="4"/>
  <c r="G23" i="5"/>
  <c r="G45" i="5" s="1"/>
  <c r="G22" i="5"/>
  <c r="G43" i="4" l="1"/>
  <c r="D24" i="4"/>
  <c r="D48" i="4" s="1"/>
  <c r="D29" i="4"/>
  <c r="J43" i="5"/>
  <c r="G46" i="5"/>
  <c r="H28" i="4"/>
  <c r="H43" i="4"/>
  <c r="J43" i="4" s="1"/>
  <c r="C46" i="4"/>
  <c r="D31" i="4"/>
  <c r="D46" i="4"/>
  <c r="H28" i="5"/>
  <c r="G28" i="5"/>
  <c r="G29" i="5"/>
  <c r="G30" i="5"/>
  <c r="D31" i="5"/>
  <c r="G45" i="4"/>
  <c r="G30" i="4"/>
  <c r="G44" i="4"/>
  <c r="G29" i="4"/>
  <c r="C31" i="4"/>
  <c r="H45" i="4"/>
  <c r="H30" i="4"/>
  <c r="G24" i="4"/>
  <c r="G24" i="5"/>
  <c r="H23" i="5"/>
  <c r="H45" i="5" s="1"/>
  <c r="J45" i="5" s="1"/>
  <c r="H22" i="5"/>
  <c r="H22" i="4"/>
  <c r="H29" i="4" s="1"/>
  <c r="H29" i="5" l="1"/>
  <c r="H44" i="5"/>
  <c r="J44" i="5" s="1"/>
  <c r="G46" i="4"/>
  <c r="J45" i="4"/>
  <c r="G31" i="4"/>
  <c r="H30" i="5"/>
  <c r="H31" i="5" s="1"/>
  <c r="G31" i="5"/>
  <c r="H31" i="4"/>
  <c r="H24" i="5"/>
  <c r="H25" i="5" s="1"/>
  <c r="J48" i="5" s="1"/>
  <c r="H44" i="4"/>
  <c r="H46" i="4" s="1"/>
  <c r="G48" i="4" s="1"/>
  <c r="H24" i="4"/>
  <c r="H25" i="4" s="1"/>
  <c r="J48" i="4" s="1"/>
  <c r="H46" i="5" l="1"/>
  <c r="G48" i="5" s="1"/>
  <c r="J46" i="5"/>
  <c r="J44" i="4"/>
  <c r="J46" i="4"/>
  <c r="H32" i="4"/>
  <c r="H32" i="5"/>
</calcChain>
</file>

<file path=xl/sharedStrings.xml><?xml version="1.0" encoding="utf-8"?>
<sst xmlns="http://schemas.openxmlformats.org/spreadsheetml/2006/main" count="148" uniqueCount="32">
  <si>
    <t>Product cost ($/unit)</t>
  </si>
  <si>
    <t>Average demand (units/week)</t>
  </si>
  <si>
    <t>Review period (weeks)</t>
  </si>
  <si>
    <t>Air</t>
  </si>
  <si>
    <t>Ocean</t>
  </si>
  <si>
    <t>Transportation ($/unit)</t>
  </si>
  <si>
    <t>Pipeline stock cost ($/unit)</t>
  </si>
  <si>
    <t>Total cost ($/unit)</t>
  </si>
  <si>
    <t>Safety stock level (units)</t>
  </si>
  <si>
    <t>Cycle stock level (units)</t>
  </si>
  <si>
    <t>Pipeline stock level (units)</t>
  </si>
  <si>
    <t>Transportation mode unit cost ($/unit)</t>
  </si>
  <si>
    <t>Pipeline stock inventory holding cost ($)</t>
  </si>
  <si>
    <t>Safety stock inventory holding cost ($)</t>
  </si>
  <si>
    <t>Cycle stock inventory holding cost ($)</t>
  </si>
  <si>
    <t>Cost of goods sold ($)</t>
  </si>
  <si>
    <t>Part purchasing price ($/unit)</t>
  </si>
  <si>
    <t>Transportation mode lead time (weeks)</t>
  </si>
  <si>
    <t>Inventory holding cost rate ($/$/year)</t>
  </si>
  <si>
    <t>Expected Inventory Levels</t>
  </si>
  <si>
    <t>Cumulative stage cost ($/unit)</t>
  </si>
  <si>
    <t>Average stage cost ($/unit)</t>
  </si>
  <si>
    <t>Total landed cost ($)</t>
  </si>
  <si>
    <t>Single Sourcing Analysis</t>
  </si>
  <si>
    <t>Dual Sourcing Analysis</t>
  </si>
  <si>
    <t>Expected Costs (for one year)</t>
  </si>
  <si>
    <t>Expected Inventory Investment Cost</t>
  </si>
  <si>
    <t>Total inventory investment cost ($)</t>
  </si>
  <si>
    <t>Std. deviation demand (units/week)</t>
  </si>
  <si>
    <t>Service level target (%)</t>
  </si>
  <si>
    <t>P(fixed ocean qty &gt; demand)</t>
  </si>
  <si>
    <t>Composite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</si>
</sst>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6" fontId="0" fillId="0" borderId="0" xfId="0" applyNumberFormat="1"/>
    <xf numFmtId="0" fontId="0" fillId="0" borderId="0" xfId="0" applyAlignment="1">
      <alignment horizontal="right"/>
    </xf>
    <xf numFmtId="8" fontId="0" fillId="0" borderId="0" xfId="0" applyNumberFormat="1"/>
    <xf numFmtId="2" fontId="0" fillId="0" borderId="0" xfId="0" applyNumberFormat="1"/>
    <xf numFmtId="6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6" fontId="0" fillId="0" borderId="2" xfId="0" applyNumberFormat="1" applyBorder="1"/>
    <xf numFmtId="10" fontId="0" fillId="0" borderId="2" xfId="0" applyNumberFormat="1" applyBorder="1"/>
    <xf numFmtId="3" fontId="0" fillId="0" borderId="2" xfId="0" applyNumberFormat="1" applyBorder="1"/>
    <xf numFmtId="9" fontId="0" fillId="0" borderId="2" xfId="0" applyNumberFormat="1" applyBorder="1"/>
    <xf numFmtId="0" fontId="0" fillId="0" borderId="2" xfId="0" applyBorder="1"/>
    <xf numFmtId="8" fontId="0" fillId="0" borderId="2" xfId="0" applyNumberFormat="1" applyBorder="1"/>
    <xf numFmtId="164" fontId="0" fillId="0" borderId="2" xfId="1" applyNumberFormat="1" applyFont="1" applyBorder="1"/>
    <xf numFmtId="6" fontId="0" fillId="0" borderId="3" xfId="0" applyNumberFormat="1" applyBorder="1"/>
    <xf numFmtId="3" fontId="0" fillId="2" borderId="2" xfId="0" applyNumberFormat="1" applyFill="1" applyBorder="1"/>
    <xf numFmtId="3" fontId="0" fillId="0" borderId="0" xfId="0" applyNumberFormat="1"/>
    <xf numFmtId="6" fontId="0" fillId="2" borderId="0" xfId="0" applyNumberFormat="1" applyFill="1" applyAlignment="1">
      <alignment horizontal="right"/>
    </xf>
    <xf numFmtId="6" fontId="0" fillId="2" borderId="0" xfId="0" applyNumberFormat="1" applyFill="1"/>
    <xf numFmtId="164" fontId="0" fillId="3" borderId="2" xfId="1" applyNumberFormat="1" applyFont="1" applyFill="1" applyBorder="1"/>
    <xf numFmtId="6" fontId="0" fillId="3" borderId="2" xfId="0" applyNumberFormat="1" applyFill="1" applyBorder="1"/>
    <xf numFmtId="0" fontId="4" fillId="0" borderId="0" xfId="0" applyFont="1" applyAlignment="1">
      <alignment horizontal="center"/>
    </xf>
    <xf numFmtId="6" fontId="5" fillId="2" borderId="0" xfId="0" applyNumberFormat="1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6" fontId="0" fillId="3" borderId="0" xfId="0" applyNumberFormat="1" applyFill="1" applyAlignment="1">
      <alignment horizontal="center"/>
    </xf>
    <xf numFmtId="8" fontId="0" fillId="3" borderId="0" xfId="0" applyNumberFormat="1" applyFill="1" applyAlignment="1">
      <alignment horizontal="center"/>
    </xf>
    <xf numFmtId="8" fontId="0" fillId="3" borderId="1" xfId="0" applyNumberForma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8" fontId="0" fillId="3" borderId="0" xfId="0" applyNumberFormat="1" applyFill="1"/>
    <xf numFmtId="0" fontId="0" fillId="0" borderId="0" xfId="0" applyFill="1"/>
  </cellXfs>
  <cellStyles count="50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49"/>
  <sheetViews>
    <sheetView showGridLines="0" tabSelected="1" zoomScale="170" zoomScaleNormal="170" zoomScalePageLayoutView="150" workbookViewId="0">
      <selection activeCell="B1" sqref="B1:D1"/>
    </sheetView>
  </sheetViews>
  <sheetFormatPr baseColWidth="10" defaultRowHeight="16" x14ac:dyDescent="0.2"/>
  <cols>
    <col min="2" max="2" width="33" customWidth="1"/>
    <col min="3" max="3" width="14" customWidth="1"/>
    <col min="4" max="4" width="13.83203125" customWidth="1"/>
    <col min="5" max="5" width="3.83203125" customWidth="1"/>
    <col min="6" max="6" width="33" customWidth="1"/>
    <col min="7" max="8" width="13.83203125" customWidth="1"/>
    <col min="9" max="9" width="1.83203125" customWidth="1"/>
    <col min="10" max="10" width="22.6640625" customWidth="1"/>
    <col min="11" max="11" width="5.6640625" customWidth="1"/>
  </cols>
  <sheetData>
    <row r="1" spans="2:11" x14ac:dyDescent="0.2">
      <c r="B1" s="22" t="s">
        <v>23</v>
      </c>
      <c r="C1" s="22"/>
      <c r="D1" s="22"/>
      <c r="F1" s="22" t="s">
        <v>24</v>
      </c>
      <c r="G1" s="22"/>
      <c r="H1" s="22"/>
    </row>
    <row r="2" spans="2:11" x14ac:dyDescent="0.2">
      <c r="C2" s="6" t="s">
        <v>3</v>
      </c>
      <c r="D2" s="6" t="s">
        <v>4</v>
      </c>
      <c r="G2" s="6" t="s">
        <v>3</v>
      </c>
      <c r="H2" s="6" t="s">
        <v>4</v>
      </c>
    </row>
    <row r="3" spans="2:11" x14ac:dyDescent="0.2">
      <c r="B3" s="2" t="s">
        <v>16</v>
      </c>
      <c r="C3" s="8">
        <v>6</v>
      </c>
      <c r="D3" s="8">
        <f t="shared" ref="D3:D8" si="0">C3</f>
        <v>6</v>
      </c>
      <c r="F3" s="2" t="s">
        <v>16</v>
      </c>
      <c r="G3" s="8">
        <f>C3</f>
        <v>6</v>
      </c>
      <c r="H3" s="8">
        <f>D3</f>
        <v>6</v>
      </c>
    </row>
    <row r="4" spans="2:11" x14ac:dyDescent="0.2">
      <c r="B4" s="2" t="s">
        <v>18</v>
      </c>
      <c r="C4" s="9">
        <v>0.17</v>
      </c>
      <c r="D4" s="9">
        <f t="shared" si="0"/>
        <v>0.17</v>
      </c>
      <c r="F4" s="2" t="s">
        <v>18</v>
      </c>
      <c r="G4" s="9">
        <f>C4</f>
        <v>0.17</v>
      </c>
      <c r="H4" s="9">
        <f>D4</f>
        <v>0.17</v>
      </c>
      <c r="J4" s="2"/>
    </row>
    <row r="5" spans="2:11" x14ac:dyDescent="0.2">
      <c r="B5" s="2" t="s">
        <v>1</v>
      </c>
      <c r="C5" s="10">
        <v>500000</v>
      </c>
      <c r="D5" s="10">
        <f t="shared" si="0"/>
        <v>500000</v>
      </c>
      <c r="F5" s="2" t="s">
        <v>1</v>
      </c>
      <c r="G5" s="10">
        <f>D5-H5</f>
        <v>100000</v>
      </c>
      <c r="H5" s="16">
        <f>D5-2*G6</f>
        <v>400000</v>
      </c>
      <c r="J5" s="2" t="s">
        <v>30</v>
      </c>
      <c r="K5" s="4">
        <f>NORMSDIST((H5-D5)/D6)</f>
        <v>2.2750131948179191E-2</v>
      </c>
    </row>
    <row r="6" spans="2:11" x14ac:dyDescent="0.2">
      <c r="B6" s="2" t="s">
        <v>28</v>
      </c>
      <c r="C6" s="10">
        <v>50000</v>
      </c>
      <c r="D6" s="10">
        <f t="shared" si="0"/>
        <v>50000</v>
      </c>
      <c r="F6" s="2" t="s">
        <v>28</v>
      </c>
      <c r="G6" s="10">
        <f>C6</f>
        <v>50000</v>
      </c>
      <c r="H6" s="17"/>
    </row>
    <row r="7" spans="2:11" x14ac:dyDescent="0.2">
      <c r="B7" s="2" t="s">
        <v>29</v>
      </c>
      <c r="C7" s="11">
        <v>0.98</v>
      </c>
      <c r="D7" s="11">
        <f t="shared" si="0"/>
        <v>0.98</v>
      </c>
      <c r="F7" s="2" t="s">
        <v>29</v>
      </c>
      <c r="G7" s="11">
        <f>C7</f>
        <v>0.98</v>
      </c>
      <c r="H7" s="11">
        <f>D7</f>
        <v>0.98</v>
      </c>
    </row>
    <row r="8" spans="2:11" x14ac:dyDescent="0.2">
      <c r="B8" s="2" t="s">
        <v>2</v>
      </c>
      <c r="C8" s="12">
        <v>1</v>
      </c>
      <c r="D8" s="12">
        <f t="shared" si="0"/>
        <v>1</v>
      </c>
      <c r="F8" s="2" t="s">
        <v>2</v>
      </c>
      <c r="G8" s="12">
        <f>C8</f>
        <v>1</v>
      </c>
      <c r="H8" s="12">
        <f>D8</f>
        <v>1</v>
      </c>
    </row>
    <row r="9" spans="2:11" x14ac:dyDescent="0.2">
      <c r="B9" s="2" t="s">
        <v>17</v>
      </c>
      <c r="C9" s="12">
        <v>1</v>
      </c>
      <c r="D9" s="12">
        <v>7</v>
      </c>
      <c r="F9" s="2" t="s">
        <v>17</v>
      </c>
      <c r="G9" s="12">
        <f>C9</f>
        <v>1</v>
      </c>
      <c r="H9" s="12">
        <f>D9</f>
        <v>7</v>
      </c>
    </row>
    <row r="10" spans="2:11" x14ac:dyDescent="0.2">
      <c r="B10" s="2" t="s">
        <v>11</v>
      </c>
      <c r="C10" s="13">
        <v>1</v>
      </c>
      <c r="D10" s="13">
        <v>0.35</v>
      </c>
      <c r="F10" s="2" t="s">
        <v>11</v>
      </c>
      <c r="G10" s="13">
        <f>C10</f>
        <v>1</v>
      </c>
      <c r="H10" s="13">
        <f>D10</f>
        <v>0.35</v>
      </c>
    </row>
    <row r="11" spans="2:11" x14ac:dyDescent="0.2">
      <c r="B11" s="2" t="s">
        <v>21</v>
      </c>
      <c r="C11" s="13">
        <f>C3+C10/2</f>
        <v>6.5</v>
      </c>
      <c r="D11" s="13">
        <f>D3+D10/2</f>
        <v>6.1749999999999998</v>
      </c>
      <c r="F11" s="2" t="s">
        <v>21</v>
      </c>
      <c r="G11" s="13">
        <f>G3+G10/2</f>
        <v>6.5</v>
      </c>
      <c r="H11" s="13">
        <f>H3+H10/2</f>
        <v>6.1749999999999998</v>
      </c>
    </row>
    <row r="12" spans="2:11" x14ac:dyDescent="0.2">
      <c r="B12" s="2" t="s">
        <v>20</v>
      </c>
      <c r="C12" s="13">
        <f>C3+C10</f>
        <v>7</v>
      </c>
      <c r="D12" s="13">
        <f>D3+D10</f>
        <v>6.35</v>
      </c>
      <c r="F12" s="2" t="s">
        <v>20</v>
      </c>
      <c r="G12" s="13">
        <f>G3+G10</f>
        <v>7</v>
      </c>
      <c r="H12" s="13">
        <f>H3+H10</f>
        <v>6.35</v>
      </c>
    </row>
    <row r="13" spans="2:11" x14ac:dyDescent="0.2">
      <c r="C13" s="4">
        <f>D5/D6</f>
        <v>10</v>
      </c>
      <c r="D13" s="4">
        <f>C10/D10</f>
        <v>2.8571428571428572</v>
      </c>
    </row>
    <row r="14" spans="2:11" x14ac:dyDescent="0.2">
      <c r="B14" s="7" t="s">
        <v>19</v>
      </c>
      <c r="F14" s="7" t="s">
        <v>19</v>
      </c>
    </row>
    <row r="15" spans="2:11" x14ac:dyDescent="0.2">
      <c r="B15" s="2" t="s">
        <v>10</v>
      </c>
      <c r="C15" s="14">
        <f>C5*C9</f>
        <v>500000</v>
      </c>
      <c r="D15" s="14">
        <f>D5*D9</f>
        <v>3500000</v>
      </c>
      <c r="F15" s="2" t="s">
        <v>10</v>
      </c>
      <c r="G15" s="14">
        <f>G5*G9</f>
        <v>100000</v>
      </c>
      <c r="H15" s="14">
        <f>H5*H9</f>
        <v>2800000</v>
      </c>
    </row>
    <row r="16" spans="2:11" x14ac:dyDescent="0.2">
      <c r="B16" s="2" t="s">
        <v>8</v>
      </c>
      <c r="C16" s="14">
        <f>NORMSINV(C7)*C6*SQRT(C8+C9)</f>
        <v>145221.97815622462</v>
      </c>
      <c r="D16" s="14">
        <f>NORMSINV(D7)*D6*SQRT(D8+D9)</f>
        <v>290443.95631244924</v>
      </c>
      <c r="F16" s="2" t="s">
        <v>8</v>
      </c>
      <c r="G16" s="14">
        <f>NORMSINV(G7)*G6*SQRT(G8+G9)</f>
        <v>145221.97815622462</v>
      </c>
      <c r="H16" s="20">
        <f>NORMSINV(H7)*H6*SQRT(H8+H9)</f>
        <v>0</v>
      </c>
    </row>
    <row r="17" spans="2:10" x14ac:dyDescent="0.2">
      <c r="B17" s="2" t="s">
        <v>9</v>
      </c>
      <c r="C17" s="14">
        <f>C8*C5/2</f>
        <v>250000</v>
      </c>
      <c r="D17" s="14">
        <f>D8*D5/2</f>
        <v>250000</v>
      </c>
      <c r="F17" s="2" t="s">
        <v>9</v>
      </c>
      <c r="G17" s="14">
        <f>G8*G5/2</f>
        <v>50000</v>
      </c>
      <c r="H17" s="14">
        <f>H8*H5/2</f>
        <v>200000</v>
      </c>
    </row>
    <row r="18" spans="2:10" x14ac:dyDescent="0.2">
      <c r="B18" s="2"/>
    </row>
    <row r="19" spans="2:10" x14ac:dyDescent="0.2">
      <c r="B19" s="7" t="s">
        <v>25</v>
      </c>
      <c r="F19" s="7" t="s">
        <v>25</v>
      </c>
    </row>
    <row r="20" spans="2:10" x14ac:dyDescent="0.2">
      <c r="B20" s="2" t="s">
        <v>15</v>
      </c>
      <c r="C20" s="1">
        <f>(C3+C10)*C5*52</f>
        <v>182000000</v>
      </c>
      <c r="D20" s="1">
        <f>(D3+D10)*D5*52</f>
        <v>165100000</v>
      </c>
      <c r="F20" s="2" t="s">
        <v>15</v>
      </c>
      <c r="G20" s="8">
        <f>(G3+G10)*G5*52</f>
        <v>36400000</v>
      </c>
      <c r="H20" s="8">
        <f>(H3+H10)*H5*52</f>
        <v>132080000</v>
      </c>
    </row>
    <row r="21" spans="2:10" x14ac:dyDescent="0.2">
      <c r="B21" s="2" t="s">
        <v>12</v>
      </c>
      <c r="C21" s="1">
        <f>C11*C15*C4</f>
        <v>552500</v>
      </c>
      <c r="D21" s="1">
        <f>D11*D15*D4</f>
        <v>3674125.0000000005</v>
      </c>
      <c r="F21" s="2" t="s">
        <v>12</v>
      </c>
      <c r="G21" s="8">
        <f>G11*G15*G4</f>
        <v>110500.00000000001</v>
      </c>
      <c r="H21" s="8">
        <f>H11*H15*H4</f>
        <v>2939300</v>
      </c>
    </row>
    <row r="22" spans="2:10" x14ac:dyDescent="0.2">
      <c r="B22" s="2" t="s">
        <v>13</v>
      </c>
      <c r="C22" s="1">
        <f>C12*C16*C4</f>
        <v>172814.15400590733</v>
      </c>
      <c r="D22" s="1">
        <f>D12*D16*D4</f>
        <v>313534.25083928899</v>
      </c>
      <c r="E22" s="1"/>
      <c r="F22" s="2" t="s">
        <v>13</v>
      </c>
      <c r="G22" s="8">
        <f>G12*G16*G4</f>
        <v>172814.15400590733</v>
      </c>
      <c r="H22" s="21">
        <f>H12*H16*H4</f>
        <v>0</v>
      </c>
      <c r="J22" s="1"/>
    </row>
    <row r="23" spans="2:10" ht="17" thickBot="1" x14ac:dyDescent="0.25">
      <c r="B23" s="2" t="s">
        <v>14</v>
      </c>
      <c r="C23" s="15">
        <f>C12*C17*C4</f>
        <v>297500</v>
      </c>
      <c r="D23" s="15">
        <f>D12*D17*D4</f>
        <v>269875</v>
      </c>
      <c r="F23" s="2" t="s">
        <v>14</v>
      </c>
      <c r="G23" s="15">
        <f>G12*G17*G4</f>
        <v>59500.000000000007</v>
      </c>
      <c r="H23" s="15">
        <f>H12*H17*H4</f>
        <v>215900.00000000003</v>
      </c>
    </row>
    <row r="24" spans="2:10" ht="17" thickTop="1" x14ac:dyDescent="0.2">
      <c r="B24" s="2" t="s">
        <v>22</v>
      </c>
      <c r="C24" s="19">
        <f>SUM(C20:C23)</f>
        <v>183022814.15400591</v>
      </c>
      <c r="D24" s="19">
        <f>SUM(D20:D23)</f>
        <v>169357534.25083929</v>
      </c>
      <c r="F24" s="2" t="s">
        <v>22</v>
      </c>
      <c r="G24" s="1">
        <f>SUM(G20:G23)</f>
        <v>36742814.154005907</v>
      </c>
      <c r="H24" s="1">
        <f>SUM(H20:H23)</f>
        <v>135235200</v>
      </c>
    </row>
    <row r="25" spans="2:10" x14ac:dyDescent="0.2">
      <c r="H25" s="23">
        <f>SUM(G24:H24)</f>
        <v>171978014.15400591</v>
      </c>
    </row>
    <row r="27" spans="2:10" x14ac:dyDescent="0.2">
      <c r="B27" s="7" t="s">
        <v>26</v>
      </c>
      <c r="F27" s="7" t="s">
        <v>26</v>
      </c>
    </row>
    <row r="28" spans="2:10" x14ac:dyDescent="0.2">
      <c r="B28" s="2" t="s">
        <v>12</v>
      </c>
      <c r="C28" s="8">
        <f>C21/C4</f>
        <v>3249999.9999999995</v>
      </c>
      <c r="D28" s="8">
        <f>D21/D4</f>
        <v>21612500</v>
      </c>
      <c r="F28" s="2" t="s">
        <v>12</v>
      </c>
      <c r="G28" s="8">
        <f>G21/G4</f>
        <v>650000</v>
      </c>
      <c r="H28" s="8">
        <f>H21/H4</f>
        <v>17290000</v>
      </c>
    </row>
    <row r="29" spans="2:10" x14ac:dyDescent="0.2">
      <c r="B29" s="2" t="s">
        <v>13</v>
      </c>
      <c r="C29" s="8">
        <f>C22/C4</f>
        <v>1016553.8470935725</v>
      </c>
      <c r="D29" s="8">
        <f>D22/D4</f>
        <v>1844319.1225840526</v>
      </c>
      <c r="E29" s="1"/>
      <c r="F29" s="2" t="s">
        <v>13</v>
      </c>
      <c r="G29" s="8">
        <f>G22/G4</f>
        <v>1016553.8470935725</v>
      </c>
      <c r="H29" s="8">
        <f>H22/H4</f>
        <v>0</v>
      </c>
    </row>
    <row r="30" spans="2:10" ht="17" thickBot="1" x14ac:dyDescent="0.25">
      <c r="B30" s="2" t="s">
        <v>14</v>
      </c>
      <c r="C30" s="15">
        <f>C23/C4</f>
        <v>1749999.9999999998</v>
      </c>
      <c r="D30" s="15">
        <f>D23/D4</f>
        <v>1587500</v>
      </c>
      <c r="F30" s="2" t="s">
        <v>14</v>
      </c>
      <c r="G30" s="15">
        <f>G23/G4</f>
        <v>350000</v>
      </c>
      <c r="H30" s="15">
        <f>H23/H4</f>
        <v>1270000</v>
      </c>
    </row>
    <row r="31" spans="2:10" ht="17" thickTop="1" x14ac:dyDescent="0.2">
      <c r="B31" s="2" t="s">
        <v>27</v>
      </c>
      <c r="C31" s="1">
        <f>SUM(C28:C30)</f>
        <v>6016553.8470935719</v>
      </c>
      <c r="D31" s="1">
        <f>SUM(D28:D30)</f>
        <v>25044319.122584052</v>
      </c>
      <c r="F31" s="2" t="s">
        <v>27</v>
      </c>
      <c r="G31" s="1">
        <f>SUM(G28:G30)</f>
        <v>2016553.8470935724</v>
      </c>
      <c r="H31" s="1">
        <f>SUM(H28:H30)</f>
        <v>18560000</v>
      </c>
    </row>
    <row r="32" spans="2:10" x14ac:dyDescent="0.2">
      <c r="H32" s="5">
        <f>SUM(G31:H31)</f>
        <v>20576553.847093571</v>
      </c>
    </row>
    <row r="40" spans="2:10" x14ac:dyDescent="0.2">
      <c r="B40" s="24"/>
      <c r="C40" s="25" t="s">
        <v>3</v>
      </c>
      <c r="D40" s="25" t="s">
        <v>4</v>
      </c>
      <c r="E40" s="26"/>
      <c r="F40" s="24"/>
      <c r="G40" s="25" t="s">
        <v>3</v>
      </c>
      <c r="H40" s="25" t="s">
        <v>4</v>
      </c>
      <c r="I40" s="25"/>
      <c r="J40" s="25" t="s">
        <v>31</v>
      </c>
    </row>
    <row r="41" spans="2:10" x14ac:dyDescent="0.2">
      <c r="B41" s="24" t="s">
        <v>0</v>
      </c>
      <c r="C41" s="27">
        <f>C3</f>
        <v>6</v>
      </c>
      <c r="D41" s="27">
        <f>D3</f>
        <v>6</v>
      </c>
      <c r="E41" s="26"/>
      <c r="F41" s="24" t="s">
        <v>0</v>
      </c>
      <c r="G41" s="27">
        <f>G3</f>
        <v>6</v>
      </c>
      <c r="H41" s="27">
        <f>H3</f>
        <v>6</v>
      </c>
      <c r="I41" s="25"/>
      <c r="J41" s="27">
        <f>(G41*$G$5+H41*$H$5)/SUM($G$5:$H$5)</f>
        <v>6</v>
      </c>
    </row>
    <row r="42" spans="2:10" x14ac:dyDescent="0.2">
      <c r="B42" s="24" t="s">
        <v>5</v>
      </c>
      <c r="C42" s="28">
        <f>C10</f>
        <v>1</v>
      </c>
      <c r="D42" s="28">
        <f>D10</f>
        <v>0.35</v>
      </c>
      <c r="E42" s="26"/>
      <c r="F42" s="24" t="s">
        <v>5</v>
      </c>
      <c r="G42" s="28">
        <f>G10</f>
        <v>1</v>
      </c>
      <c r="H42" s="28">
        <f>H10</f>
        <v>0.35</v>
      </c>
      <c r="I42" s="25"/>
      <c r="J42" s="28">
        <f t="shared" ref="J42:J46" si="1">(G42*$G$5+H42*$H$5)/SUM($G$5:$H$5)</f>
        <v>0.48</v>
      </c>
    </row>
    <row r="43" spans="2:10" x14ac:dyDescent="0.2">
      <c r="B43" s="24" t="s">
        <v>6</v>
      </c>
      <c r="C43" s="28">
        <f>C21/C5/52</f>
        <v>2.1249999999999998E-2</v>
      </c>
      <c r="D43" s="28">
        <f>D21/D5/52</f>
        <v>0.14131250000000001</v>
      </c>
      <c r="E43" s="26"/>
      <c r="F43" s="24" t="s">
        <v>6</v>
      </c>
      <c r="G43" s="28">
        <f>G21/G5/52</f>
        <v>2.1250000000000005E-2</v>
      </c>
      <c r="H43" s="28">
        <f>H21/H5/52</f>
        <v>0.14131250000000001</v>
      </c>
      <c r="I43" s="25"/>
      <c r="J43" s="28">
        <f t="shared" si="1"/>
        <v>0.1173</v>
      </c>
    </row>
    <row r="44" spans="2:10" x14ac:dyDescent="0.2">
      <c r="B44" s="24" t="s">
        <v>8</v>
      </c>
      <c r="C44" s="28">
        <f>C22/C5/52</f>
        <v>6.6466982309964359E-3</v>
      </c>
      <c r="D44" s="28">
        <f>D22/D5/52</f>
        <v>1.2059009647664961E-2</v>
      </c>
      <c r="E44" s="26"/>
      <c r="F44" s="24" t="s">
        <v>8</v>
      </c>
      <c r="G44" s="28">
        <f>G22/G5/52</f>
        <v>3.3233491154982184E-2</v>
      </c>
      <c r="H44" s="28">
        <f>H22/H5/52</f>
        <v>0</v>
      </c>
      <c r="I44" s="25"/>
      <c r="J44" s="28">
        <f t="shared" si="1"/>
        <v>6.6466982309964368E-3</v>
      </c>
    </row>
    <row r="45" spans="2:10" ht="17" thickBot="1" x14ac:dyDescent="0.25">
      <c r="B45" s="24" t="s">
        <v>9</v>
      </c>
      <c r="C45" s="29">
        <f>C23/C5/52</f>
        <v>1.1442307692307693E-2</v>
      </c>
      <c r="D45" s="29">
        <f>D23/D5/52</f>
        <v>1.0379807692307692E-2</v>
      </c>
      <c r="E45" s="26"/>
      <c r="F45" s="24" t="s">
        <v>9</v>
      </c>
      <c r="G45" s="29">
        <f>G23/G5/52</f>
        <v>1.1442307692307694E-2</v>
      </c>
      <c r="H45" s="29">
        <f>H23/H5/52</f>
        <v>1.0379807692307693E-2</v>
      </c>
      <c r="I45" s="25"/>
      <c r="J45" s="29">
        <f t="shared" si="1"/>
        <v>1.0592307692307693E-2</v>
      </c>
    </row>
    <row r="46" spans="2:10" x14ac:dyDescent="0.2">
      <c r="B46" s="24" t="s">
        <v>7</v>
      </c>
      <c r="C46" s="28">
        <f>SUM(C41:C45)</f>
        <v>7.0393390059233045</v>
      </c>
      <c r="D46" s="28">
        <f>SUM(D41:D45)</f>
        <v>6.5137513173399721</v>
      </c>
      <c r="E46" s="26"/>
      <c r="F46" s="24" t="s">
        <v>7</v>
      </c>
      <c r="G46" s="28">
        <f>SUM(G41:G45)</f>
        <v>7.0659257988472906</v>
      </c>
      <c r="H46" s="28">
        <f>SUM(H41:H45)</f>
        <v>6.5016923076923074</v>
      </c>
      <c r="I46" s="25"/>
      <c r="J46" s="28">
        <f t="shared" si="1"/>
        <v>6.6145390059233033</v>
      </c>
    </row>
    <row r="47" spans="2:10" x14ac:dyDescent="0.2">
      <c r="B47" s="26"/>
      <c r="C47" s="25"/>
      <c r="D47" s="25"/>
      <c r="E47" s="26"/>
      <c r="F47" s="26"/>
      <c r="G47" s="30"/>
      <c r="H47" s="25"/>
      <c r="I47" s="25"/>
      <c r="J47" s="25"/>
    </row>
    <row r="48" spans="2:10" x14ac:dyDescent="0.2">
      <c r="B48" s="26"/>
      <c r="C48" s="28">
        <f>C24/(C5*52)</f>
        <v>7.0393390059233045</v>
      </c>
      <c r="D48" s="28">
        <f>D24/(D5*52)</f>
        <v>6.513751317339973</v>
      </c>
      <c r="E48" s="31"/>
      <c r="F48" s="26"/>
      <c r="G48" s="28">
        <f>(G46*G5+H46*H5)/SUM(G5+H5)</f>
        <v>6.6145390059233033</v>
      </c>
      <c r="H48" s="25"/>
      <c r="I48" s="25"/>
      <c r="J48" s="28">
        <f>H25/(C5*52)</f>
        <v>6.6145390059233042</v>
      </c>
    </row>
    <row r="49" spans="7:7" x14ac:dyDescent="0.2">
      <c r="G49" s="3"/>
    </row>
  </sheetData>
  <mergeCells count="2">
    <mergeCell ref="B1:D1"/>
    <mergeCell ref="F1:H1"/>
  </mergeCells>
  <pageMargins left="0.25" right="0.25" top="0.75" bottom="0.75" header="0.3" footer="0.3"/>
  <pageSetup orientation="landscape" horizontalDpi="4294967292" verticalDpi="4294967292"/>
  <headerFooter>
    <oddHeader>&amp;C&amp;"Calibri,Regular"&amp;K000000&amp;A</oddHeader>
    <oddFooter>&amp;C&amp;"Calibri,Regular"&amp;K000000&amp;P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8"/>
  <sheetViews>
    <sheetView showGridLines="0" zoomScale="170" zoomScaleNormal="170" zoomScalePageLayoutView="150" workbookViewId="0">
      <selection activeCell="B32" sqref="B32"/>
    </sheetView>
  </sheetViews>
  <sheetFormatPr baseColWidth="10" defaultRowHeight="16" x14ac:dyDescent="0.2"/>
  <cols>
    <col min="1" max="1" width="11" customWidth="1"/>
    <col min="2" max="2" width="32.83203125" customWidth="1"/>
    <col min="3" max="4" width="13.83203125" customWidth="1"/>
    <col min="5" max="5" width="4.83203125" customWidth="1"/>
    <col min="6" max="6" width="32.6640625" customWidth="1"/>
    <col min="7" max="8" width="13.83203125" customWidth="1"/>
    <col min="9" max="9" width="1.83203125" customWidth="1"/>
    <col min="10" max="10" width="22.6640625" customWidth="1"/>
    <col min="11" max="11" width="7" customWidth="1"/>
  </cols>
  <sheetData>
    <row r="1" spans="2:11" x14ac:dyDescent="0.2">
      <c r="B1" s="22" t="s">
        <v>23</v>
      </c>
      <c r="C1" s="22"/>
      <c r="D1" s="22"/>
      <c r="F1" s="22" t="s">
        <v>24</v>
      </c>
      <c r="G1" s="22"/>
      <c r="H1" s="22"/>
    </row>
    <row r="2" spans="2:11" x14ac:dyDescent="0.2">
      <c r="C2" s="6" t="s">
        <v>3</v>
      </c>
      <c r="D2" s="6" t="s">
        <v>4</v>
      </c>
      <c r="G2" s="6" t="s">
        <v>3</v>
      </c>
      <c r="H2" s="6" t="s">
        <v>4</v>
      </c>
    </row>
    <row r="3" spans="2:11" x14ac:dyDescent="0.2">
      <c r="B3" s="2" t="s">
        <v>16</v>
      </c>
      <c r="C3" s="8">
        <v>100</v>
      </c>
      <c r="D3" s="8">
        <f t="shared" ref="D3:D8" si="0">C3</f>
        <v>100</v>
      </c>
      <c r="F3" s="2" t="s">
        <v>16</v>
      </c>
      <c r="G3" s="8">
        <f>C3</f>
        <v>100</v>
      </c>
      <c r="H3" s="8">
        <f>D3</f>
        <v>100</v>
      </c>
    </row>
    <row r="4" spans="2:11" x14ac:dyDescent="0.2">
      <c r="B4" s="2" t="s">
        <v>18</v>
      </c>
      <c r="C4" s="9">
        <v>0.15</v>
      </c>
      <c r="D4" s="9">
        <f t="shared" si="0"/>
        <v>0.15</v>
      </c>
      <c r="F4" s="2" t="s">
        <v>18</v>
      </c>
      <c r="G4" s="9">
        <f>C4</f>
        <v>0.15</v>
      </c>
      <c r="H4" s="9">
        <f>D4</f>
        <v>0.15</v>
      </c>
      <c r="J4" s="2"/>
    </row>
    <row r="5" spans="2:11" x14ac:dyDescent="0.2">
      <c r="B5" s="2" t="s">
        <v>1</v>
      </c>
      <c r="C5" s="10">
        <v>3400</v>
      </c>
      <c r="D5" s="10">
        <f t="shared" si="0"/>
        <v>3400</v>
      </c>
      <c r="F5" s="2" t="s">
        <v>1</v>
      </c>
      <c r="G5" s="16">
        <f>D5-H5</f>
        <v>1600</v>
      </c>
      <c r="H5" s="16">
        <f>D5-2*G6</f>
        <v>1800</v>
      </c>
      <c r="J5" s="2" t="s">
        <v>30</v>
      </c>
      <c r="K5" s="4">
        <f>NORMSDIST((H5-D5)/D6)</f>
        <v>2.2750131948179191E-2</v>
      </c>
    </row>
    <row r="6" spans="2:11" x14ac:dyDescent="0.2">
      <c r="B6" s="2" t="s">
        <v>28</v>
      </c>
      <c r="C6" s="10">
        <v>800</v>
      </c>
      <c r="D6" s="10">
        <f t="shared" si="0"/>
        <v>800</v>
      </c>
      <c r="F6" s="2" t="s">
        <v>28</v>
      </c>
      <c r="G6" s="10">
        <v>800</v>
      </c>
      <c r="H6" s="17"/>
    </row>
    <row r="7" spans="2:11" x14ac:dyDescent="0.2">
      <c r="B7" s="2" t="s">
        <v>29</v>
      </c>
      <c r="C7" s="11">
        <v>0.95</v>
      </c>
      <c r="D7" s="11">
        <f t="shared" si="0"/>
        <v>0.95</v>
      </c>
      <c r="F7" s="2" t="s">
        <v>29</v>
      </c>
      <c r="G7" s="11">
        <f t="shared" ref="G7:H10" si="1">C7</f>
        <v>0.95</v>
      </c>
      <c r="H7" s="11">
        <f t="shared" si="1"/>
        <v>0.95</v>
      </c>
    </row>
    <row r="8" spans="2:11" x14ac:dyDescent="0.2">
      <c r="B8" s="2" t="s">
        <v>2</v>
      </c>
      <c r="C8" s="12">
        <v>1</v>
      </c>
      <c r="D8" s="12">
        <f t="shared" si="0"/>
        <v>1</v>
      </c>
      <c r="F8" s="2" t="s">
        <v>2</v>
      </c>
      <c r="G8" s="12">
        <f t="shared" si="1"/>
        <v>1</v>
      </c>
      <c r="H8" s="12">
        <f t="shared" si="1"/>
        <v>1</v>
      </c>
    </row>
    <row r="9" spans="2:11" x14ac:dyDescent="0.2">
      <c r="B9" s="2" t="s">
        <v>17</v>
      </c>
      <c r="C9" s="12">
        <v>1</v>
      </c>
      <c r="D9" s="12">
        <v>7</v>
      </c>
      <c r="F9" s="2" t="s">
        <v>17</v>
      </c>
      <c r="G9" s="12">
        <f t="shared" si="1"/>
        <v>1</v>
      </c>
      <c r="H9" s="12">
        <f t="shared" si="1"/>
        <v>7</v>
      </c>
    </row>
    <row r="10" spans="2:11" x14ac:dyDescent="0.2">
      <c r="B10" s="2" t="s">
        <v>11</v>
      </c>
      <c r="C10" s="13">
        <v>3</v>
      </c>
      <c r="D10" s="13">
        <v>1.25</v>
      </c>
      <c r="F10" s="2" t="s">
        <v>11</v>
      </c>
      <c r="G10" s="13">
        <f t="shared" si="1"/>
        <v>3</v>
      </c>
      <c r="H10" s="13">
        <f t="shared" si="1"/>
        <v>1.25</v>
      </c>
    </row>
    <row r="11" spans="2:11" x14ac:dyDescent="0.2">
      <c r="B11" s="2" t="s">
        <v>21</v>
      </c>
      <c r="C11" s="13">
        <f>C3+C10/2</f>
        <v>101.5</v>
      </c>
      <c r="D11" s="13">
        <f>D3+D10/2</f>
        <v>100.625</v>
      </c>
      <c r="F11" s="2" t="s">
        <v>21</v>
      </c>
      <c r="G11" s="13">
        <f>G3+G10/2</f>
        <v>101.5</v>
      </c>
      <c r="H11" s="13">
        <f>H3+H10/2</f>
        <v>100.625</v>
      </c>
    </row>
    <row r="12" spans="2:11" x14ac:dyDescent="0.2">
      <c r="B12" s="2" t="s">
        <v>20</v>
      </c>
      <c r="C12" s="13">
        <f>C3+C10</f>
        <v>103</v>
      </c>
      <c r="D12" s="13">
        <f>D3+D10</f>
        <v>101.25</v>
      </c>
      <c r="F12" s="2" t="s">
        <v>20</v>
      </c>
      <c r="G12" s="13">
        <f>G3+G10</f>
        <v>103</v>
      </c>
      <c r="H12" s="13">
        <f>H3+H10</f>
        <v>101.25</v>
      </c>
    </row>
    <row r="13" spans="2:11" x14ac:dyDescent="0.2">
      <c r="C13" s="4">
        <f>D5/D6</f>
        <v>4.25</v>
      </c>
      <c r="D13" s="4">
        <f>C10/D10</f>
        <v>2.4</v>
      </c>
    </row>
    <row r="14" spans="2:11" x14ac:dyDescent="0.2">
      <c r="B14" s="7" t="s">
        <v>19</v>
      </c>
      <c r="F14" s="7" t="s">
        <v>19</v>
      </c>
    </row>
    <row r="15" spans="2:11" x14ac:dyDescent="0.2">
      <c r="B15" s="2" t="s">
        <v>10</v>
      </c>
      <c r="C15" s="14">
        <f>C5*C9</f>
        <v>3400</v>
      </c>
      <c r="D15" s="14">
        <f>D5*D9</f>
        <v>23800</v>
      </c>
      <c r="F15" s="2" t="s">
        <v>10</v>
      </c>
      <c r="G15" s="14">
        <f>G5*G9</f>
        <v>1600</v>
      </c>
      <c r="H15" s="14">
        <f>H5*H9</f>
        <v>12600</v>
      </c>
    </row>
    <row r="16" spans="2:11" x14ac:dyDescent="0.2">
      <c r="B16" s="2" t="s">
        <v>8</v>
      </c>
      <c r="C16" s="14">
        <f>NORMSINV(C7)*C6*SQRT(C8+C9)</f>
        <v>1860.9394458826773</v>
      </c>
      <c r="D16" s="14">
        <f>NORMSINV(D7)*D6*SQRT(D8+D9)</f>
        <v>3721.8788917653546</v>
      </c>
      <c r="F16" s="2" t="s">
        <v>8</v>
      </c>
      <c r="G16" s="14">
        <f>NORMSINV(G7)*G6*SQRT(G8+G9)</f>
        <v>1860.9394458826773</v>
      </c>
      <c r="H16" s="14">
        <f>NORMSINV(H7)*H6*SQRT(H8+H9)</f>
        <v>0</v>
      </c>
    </row>
    <row r="17" spans="2:10" x14ac:dyDescent="0.2">
      <c r="B17" s="2" t="s">
        <v>9</v>
      </c>
      <c r="C17" s="14">
        <f>C8*C5/2</f>
        <v>1700</v>
      </c>
      <c r="D17" s="14">
        <f>D8*D5/2</f>
        <v>1700</v>
      </c>
      <c r="F17" s="2" t="s">
        <v>9</v>
      </c>
      <c r="G17" s="14">
        <f>G8*G5/2</f>
        <v>800</v>
      </c>
      <c r="H17" s="14">
        <f>H8*H5/2</f>
        <v>900</v>
      </c>
    </row>
    <row r="18" spans="2:10" x14ac:dyDescent="0.2">
      <c r="B18" s="2"/>
      <c r="F18" s="2"/>
    </row>
    <row r="19" spans="2:10" x14ac:dyDescent="0.2">
      <c r="B19" s="7" t="s">
        <v>25</v>
      </c>
      <c r="F19" s="7" t="s">
        <v>25</v>
      </c>
    </row>
    <row r="20" spans="2:10" x14ac:dyDescent="0.2">
      <c r="B20" s="2" t="s">
        <v>15</v>
      </c>
      <c r="C20" s="8">
        <f>(C3+C10)*C5*52</f>
        <v>18210400</v>
      </c>
      <c r="D20" s="8">
        <f>(D3+D10)*D5*52</f>
        <v>17901000</v>
      </c>
      <c r="F20" s="2" t="s">
        <v>15</v>
      </c>
      <c r="G20" s="8">
        <f>(G3+G10)*G5*52</f>
        <v>8569600</v>
      </c>
      <c r="H20" s="8">
        <f>(H3+H10)*H5*52</f>
        <v>9477000</v>
      </c>
    </row>
    <row r="21" spans="2:10" x14ac:dyDescent="0.2">
      <c r="B21" s="2" t="s">
        <v>12</v>
      </c>
      <c r="C21" s="8">
        <f>C11*C15*C4</f>
        <v>51765</v>
      </c>
      <c r="D21" s="8">
        <f>D11*D15*D4</f>
        <v>359231.25</v>
      </c>
      <c r="F21" s="2" t="s">
        <v>12</v>
      </c>
      <c r="G21" s="8">
        <f>G11*G15*G4</f>
        <v>24360</v>
      </c>
      <c r="H21" s="8">
        <f>H11*H15*H4</f>
        <v>190181.25</v>
      </c>
      <c r="J21" s="1"/>
    </row>
    <row r="22" spans="2:10" x14ac:dyDescent="0.2">
      <c r="B22" s="2" t="s">
        <v>13</v>
      </c>
      <c r="C22" s="8">
        <f>C12*C16*C4</f>
        <v>28751.514438887363</v>
      </c>
      <c r="D22" s="8">
        <f>D12*D16*D4</f>
        <v>56526.035668686316</v>
      </c>
      <c r="E22" s="1"/>
      <c r="F22" s="2" t="s">
        <v>13</v>
      </c>
      <c r="G22" s="8">
        <f>G12*G16*G4</f>
        <v>28751.514438887363</v>
      </c>
      <c r="H22" s="8">
        <f>H12*H16*H4</f>
        <v>0</v>
      </c>
    </row>
    <row r="23" spans="2:10" ht="17" thickBot="1" x14ac:dyDescent="0.25">
      <c r="B23" s="2" t="s">
        <v>14</v>
      </c>
      <c r="C23" s="15">
        <f>C12*C17*C4</f>
        <v>26265</v>
      </c>
      <c r="D23" s="15">
        <f>D12*D17*D4</f>
        <v>25818.75</v>
      </c>
      <c r="F23" s="2" t="s">
        <v>14</v>
      </c>
      <c r="G23" s="15">
        <f>G12*G17*G4</f>
        <v>12360</v>
      </c>
      <c r="H23" s="15">
        <f>H12*H17*H4</f>
        <v>13668.75</v>
      </c>
    </row>
    <row r="24" spans="2:10" ht="17" thickTop="1" x14ac:dyDescent="0.2">
      <c r="B24" s="2" t="s">
        <v>22</v>
      </c>
      <c r="C24" s="19">
        <f>SUM(C20:C23)</f>
        <v>18317181.514438886</v>
      </c>
      <c r="D24" s="19">
        <f>SUM(D20:D23)</f>
        <v>18342576.035668686</v>
      </c>
      <c r="F24" s="2" t="s">
        <v>22</v>
      </c>
      <c r="G24" s="1">
        <f>SUM(G20:G23)</f>
        <v>8635071.5144388881</v>
      </c>
      <c r="H24" s="1">
        <f>SUM(H20:H23)</f>
        <v>9680850</v>
      </c>
    </row>
    <row r="25" spans="2:10" x14ac:dyDescent="0.2">
      <c r="H25" s="18">
        <f>SUM(G24:H24)</f>
        <v>18315921.51443889</v>
      </c>
    </row>
    <row r="27" spans="2:10" x14ac:dyDescent="0.2">
      <c r="B27" s="7" t="s">
        <v>26</v>
      </c>
      <c r="F27" s="7" t="s">
        <v>26</v>
      </c>
    </row>
    <row r="28" spans="2:10" x14ac:dyDescent="0.2">
      <c r="B28" s="2" t="s">
        <v>12</v>
      </c>
      <c r="C28" s="8">
        <f>C21/C4</f>
        <v>345100</v>
      </c>
      <c r="D28" s="8">
        <f>D21/D4</f>
        <v>2394875</v>
      </c>
      <c r="F28" s="2" t="s">
        <v>12</v>
      </c>
      <c r="G28" s="8">
        <f>G21/G4</f>
        <v>162400</v>
      </c>
      <c r="H28" s="8">
        <f>H21/H4</f>
        <v>1267875</v>
      </c>
    </row>
    <row r="29" spans="2:10" x14ac:dyDescent="0.2">
      <c r="B29" s="2" t="s">
        <v>13</v>
      </c>
      <c r="C29" s="8">
        <f>C22/C4</f>
        <v>191676.76292591577</v>
      </c>
      <c r="D29" s="8">
        <f>D22/D4</f>
        <v>376840.23779124214</v>
      </c>
      <c r="E29" s="1"/>
      <c r="F29" s="2" t="s">
        <v>13</v>
      </c>
      <c r="G29" s="8">
        <f>G22/G4</f>
        <v>191676.76292591577</v>
      </c>
      <c r="H29" s="8">
        <f>H22/H4</f>
        <v>0</v>
      </c>
    </row>
    <row r="30" spans="2:10" ht="17" thickBot="1" x14ac:dyDescent="0.25">
      <c r="B30" s="2" t="s">
        <v>14</v>
      </c>
      <c r="C30" s="15">
        <f>C23/C4</f>
        <v>175100</v>
      </c>
      <c r="D30" s="15">
        <f>D23/D4</f>
        <v>172125</v>
      </c>
      <c r="F30" s="2" t="s">
        <v>14</v>
      </c>
      <c r="G30" s="15">
        <f>G23/G4</f>
        <v>82400</v>
      </c>
      <c r="H30" s="15">
        <f>H23/H4</f>
        <v>91125</v>
      </c>
    </row>
    <row r="31" spans="2:10" ht="17" thickTop="1" x14ac:dyDescent="0.2">
      <c r="B31" s="2" t="s">
        <v>27</v>
      </c>
      <c r="C31" s="1">
        <f>SUM(C28:C30)</f>
        <v>711876.76292591577</v>
      </c>
      <c r="D31" s="1">
        <f>SUM(D28:D30)</f>
        <v>2943840.2377912421</v>
      </c>
      <c r="F31" s="2" t="s">
        <v>27</v>
      </c>
      <c r="G31" s="1">
        <f>SUM(G28:G30)</f>
        <v>436476.76292591577</v>
      </c>
      <c r="H31" s="1">
        <f>SUM(H28:H30)</f>
        <v>1359000</v>
      </c>
    </row>
    <row r="32" spans="2:10" x14ac:dyDescent="0.2">
      <c r="H32" s="5">
        <f>SUM(G31:H31)</f>
        <v>1795476.7629259159</v>
      </c>
    </row>
    <row r="35" spans="2:10" x14ac:dyDescent="0.2">
      <c r="B35" s="32"/>
    </row>
    <row r="40" spans="2:10" x14ac:dyDescent="0.2">
      <c r="B40" s="24"/>
      <c r="C40" s="25" t="s">
        <v>3</v>
      </c>
      <c r="D40" s="25" t="s">
        <v>4</v>
      </c>
      <c r="E40" s="26"/>
      <c r="F40" s="24"/>
      <c r="G40" s="25" t="s">
        <v>3</v>
      </c>
      <c r="H40" s="25" t="s">
        <v>4</v>
      </c>
      <c r="I40" s="25"/>
      <c r="J40" s="25" t="s">
        <v>31</v>
      </c>
    </row>
    <row r="41" spans="2:10" x14ac:dyDescent="0.2">
      <c r="B41" s="24" t="s">
        <v>0</v>
      </c>
      <c r="C41" s="27">
        <f>C3</f>
        <v>100</v>
      </c>
      <c r="D41" s="27">
        <f>D3</f>
        <v>100</v>
      </c>
      <c r="E41" s="26"/>
      <c r="F41" s="24" t="s">
        <v>0</v>
      </c>
      <c r="G41" s="27">
        <f>G3</f>
        <v>100</v>
      </c>
      <c r="H41" s="27">
        <f>H3</f>
        <v>100</v>
      </c>
      <c r="I41" s="25"/>
      <c r="J41" s="27">
        <f>(G41*$G$5+H41*$H$5)/SUM($G$5:$H$5)</f>
        <v>100</v>
      </c>
    </row>
    <row r="42" spans="2:10" x14ac:dyDescent="0.2">
      <c r="B42" s="24" t="s">
        <v>5</v>
      </c>
      <c r="C42" s="28">
        <f>C10</f>
        <v>3</v>
      </c>
      <c r="D42" s="28">
        <f>D10</f>
        <v>1.25</v>
      </c>
      <c r="E42" s="26"/>
      <c r="F42" s="24" t="s">
        <v>5</v>
      </c>
      <c r="G42" s="28">
        <f>G10</f>
        <v>3</v>
      </c>
      <c r="H42" s="28">
        <f>H10</f>
        <v>1.25</v>
      </c>
      <c r="I42" s="25"/>
      <c r="J42" s="28">
        <f t="shared" ref="J42:J46" si="2">(G42*$G$5+H42*$H$5)/SUM($G$5:$H$5)</f>
        <v>2.0735294117647061</v>
      </c>
    </row>
    <row r="43" spans="2:10" x14ac:dyDescent="0.2">
      <c r="B43" s="24" t="s">
        <v>6</v>
      </c>
      <c r="C43" s="28">
        <f>C21/C5/52</f>
        <v>0.29278846153846155</v>
      </c>
      <c r="D43" s="28">
        <f>D21/D5/52</f>
        <v>2.0318509615384617</v>
      </c>
      <c r="E43" s="26"/>
      <c r="F43" s="24" t="s">
        <v>6</v>
      </c>
      <c r="G43" s="28">
        <f>G21/G5/52</f>
        <v>0.29278846153846155</v>
      </c>
      <c r="H43" s="28">
        <f>H21/H5/52</f>
        <v>2.0318509615384617</v>
      </c>
      <c r="I43" s="25"/>
      <c r="J43" s="28">
        <f t="shared" si="2"/>
        <v>1.2134686085972852</v>
      </c>
    </row>
    <row r="44" spans="2:10" x14ac:dyDescent="0.2">
      <c r="B44" s="24" t="s">
        <v>8</v>
      </c>
      <c r="C44" s="28">
        <f>C22/C5/52</f>
        <v>0.16262168800275656</v>
      </c>
      <c r="D44" s="28">
        <f>D22/D5/52</f>
        <v>0.31971739631609908</v>
      </c>
      <c r="E44" s="26"/>
      <c r="F44" s="24" t="s">
        <v>8</v>
      </c>
      <c r="G44" s="28">
        <f>G22/G5/52</f>
        <v>0.34557108700585776</v>
      </c>
      <c r="H44" s="28">
        <f>H22/H5/52</f>
        <v>0</v>
      </c>
      <c r="I44" s="25"/>
      <c r="J44" s="28">
        <f t="shared" si="2"/>
        <v>0.16262168800275661</v>
      </c>
    </row>
    <row r="45" spans="2:10" ht="17" thickBot="1" x14ac:dyDescent="0.25">
      <c r="B45" s="24" t="s">
        <v>9</v>
      </c>
      <c r="C45" s="29">
        <f>C23/C5/52</f>
        <v>0.14855769230769231</v>
      </c>
      <c r="D45" s="29">
        <f>D23/D5/52</f>
        <v>0.14603365384615385</v>
      </c>
      <c r="E45" s="26"/>
      <c r="F45" s="24" t="s">
        <v>9</v>
      </c>
      <c r="G45" s="29">
        <f>G23/G5/52</f>
        <v>0.14855769230769231</v>
      </c>
      <c r="H45" s="29">
        <f>H23/H5/52</f>
        <v>0.14603365384615385</v>
      </c>
      <c r="I45" s="25"/>
      <c r="J45" s="29">
        <f t="shared" si="2"/>
        <v>0.14722143665158371</v>
      </c>
    </row>
    <row r="46" spans="2:10" x14ac:dyDescent="0.2">
      <c r="B46" s="24" t="s">
        <v>7</v>
      </c>
      <c r="C46" s="28">
        <f>SUM(C41:C45)</f>
        <v>103.60396784184891</v>
      </c>
      <c r="D46" s="28">
        <f>SUM(D41:D45)</f>
        <v>103.74760201170072</v>
      </c>
      <c r="E46" s="26"/>
      <c r="F46" s="24" t="s">
        <v>7</v>
      </c>
      <c r="G46" s="28">
        <f>SUM(G41:G45)</f>
        <v>103.78691724085201</v>
      </c>
      <c r="H46" s="28">
        <f>SUM(H41:H45)</f>
        <v>103.42788461538463</v>
      </c>
      <c r="I46" s="25"/>
      <c r="J46" s="28">
        <f t="shared" si="2"/>
        <v>103.59684114501634</v>
      </c>
    </row>
    <row r="47" spans="2:10" x14ac:dyDescent="0.2">
      <c r="B47" s="26"/>
      <c r="C47" s="25"/>
      <c r="D47" s="25"/>
      <c r="E47" s="26"/>
      <c r="F47" s="26"/>
      <c r="G47" s="30"/>
      <c r="H47" s="25"/>
      <c r="I47" s="25"/>
      <c r="J47" s="25"/>
    </row>
    <row r="48" spans="2:10" x14ac:dyDescent="0.2">
      <c r="B48" s="26"/>
      <c r="C48" s="28">
        <f>C24/(C5*52)</f>
        <v>103.6039678418489</v>
      </c>
      <c r="D48" s="28">
        <f>D24/(D5*52)</f>
        <v>103.74760201170071</v>
      </c>
      <c r="E48" s="31"/>
      <c r="F48" s="26"/>
      <c r="G48" s="28">
        <f>(G46*G5+H46*H5)/SUM(G5+H5)</f>
        <v>103.59684114501634</v>
      </c>
      <c r="H48" s="25"/>
      <c r="I48" s="25"/>
      <c r="J48" s="28">
        <f>H25/(C5*52)</f>
        <v>103.59684114501634</v>
      </c>
    </row>
  </sheetData>
  <mergeCells count="2">
    <mergeCell ref="F1:H1"/>
    <mergeCell ref="B1:D1"/>
  </mergeCells>
  <pageMargins left="0.25" right="0.25" top="0.75" bottom="0.75" header="0.3" footer="0.3"/>
  <pageSetup orientation="landscape" horizontalDpi="4294967292" verticalDpi="4294967292"/>
  <headerFooter>
    <oddHeader>&amp;C&amp;"Calibri,Regular"&amp;K000000&amp;A</oddHeader>
    <oddFooter>&amp;C&amp;"Calibri,Regular"&amp;K000000&amp;P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CPG Part</vt:lpstr>
      <vt:lpstr>Industrial Part</vt:lpstr>
      <vt:lpstr>'CPG Part'!Print_Area</vt:lpstr>
      <vt:lpstr>'Industrial Part'!Print_Area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Microsoft Office User</cp:lastModifiedBy>
  <cp:lastPrinted>2018-03-08T02:25:59Z</cp:lastPrinted>
  <dcterms:created xsi:type="dcterms:W3CDTF">2018-03-05T17:43:44Z</dcterms:created>
  <dcterms:modified xsi:type="dcterms:W3CDTF">2023-03-08T13:04:43Z</dcterms:modified>
</cp:coreProperties>
</file>