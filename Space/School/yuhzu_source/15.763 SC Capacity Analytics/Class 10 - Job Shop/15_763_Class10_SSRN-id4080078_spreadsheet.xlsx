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graves\Dropbox (MIT)\Reflection On POM In Post COVID Era\"/>
    </mc:Choice>
  </mc:AlternateContent>
  <bookViews>
    <workbookView xWindow="0" yWindow="0" windowWidth="28800" windowHeight="11700" activeTab="1"/>
  </bookViews>
  <sheets>
    <sheet name="Demand event model" sheetId="1" r:id="rId1"/>
    <sheet name="Tables and Figures" sheetId="2" r:id="rId2"/>
    <sheet name="Supply event model" sheetId="5" r:id="rId3"/>
    <sheet name="Deferred ordering model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1" i="6" l="1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0" i="6"/>
  <c r="B29" i="6"/>
  <c r="B28" i="6"/>
  <c r="B27" i="6"/>
  <c r="B26" i="6"/>
  <c r="B25" i="6"/>
  <c r="B24" i="6"/>
  <c r="B23" i="6"/>
  <c r="F22" i="6"/>
  <c r="G22" i="6" s="1"/>
  <c r="B22" i="6"/>
  <c r="C22" i="6" s="1"/>
  <c r="A22" i="6"/>
  <c r="O22" i="6" s="1"/>
  <c r="D22" i="6" s="1"/>
  <c r="P21" i="6"/>
  <c r="G21" i="6"/>
  <c r="H21" i="6" s="1"/>
  <c r="F21" i="6"/>
  <c r="E21" i="6"/>
  <c r="C21" i="6"/>
  <c r="E22" i="6" l="1"/>
  <c r="J22" i="6"/>
  <c r="C25" i="6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175" i="6" s="1"/>
  <c r="C176" i="6" s="1"/>
  <c r="C177" i="6" s="1"/>
  <c r="C178" i="6" s="1"/>
  <c r="C179" i="6" s="1"/>
  <c r="C180" i="6" s="1"/>
  <c r="C181" i="6" s="1"/>
  <c r="C182" i="6" s="1"/>
  <c r="C183" i="6" s="1"/>
  <c r="C184" i="6" s="1"/>
  <c r="C185" i="6" s="1"/>
  <c r="C186" i="6" s="1"/>
  <c r="C187" i="6" s="1"/>
  <c r="C188" i="6" s="1"/>
  <c r="C189" i="6" s="1"/>
  <c r="C190" i="6" s="1"/>
  <c r="C191" i="6" s="1"/>
  <c r="C192" i="6" s="1"/>
  <c r="C193" i="6" s="1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C205" i="6" s="1"/>
  <c r="C206" i="6" s="1"/>
  <c r="C207" i="6" s="1"/>
  <c r="C208" i="6" s="1"/>
  <c r="C209" i="6" s="1"/>
  <c r="C210" i="6" s="1"/>
  <c r="C211" i="6" s="1"/>
  <c r="C23" i="6"/>
  <c r="C24" i="6" s="1"/>
  <c r="A23" i="6"/>
  <c r="M22" i="6" l="1"/>
  <c r="H22" i="6"/>
  <c r="A24" i="6"/>
  <c r="O23" i="6"/>
  <c r="D23" i="6" s="1"/>
  <c r="E23" i="6" s="1"/>
  <c r="A25" i="6" l="1"/>
  <c r="O24" i="6"/>
  <c r="D24" i="6" s="1"/>
  <c r="E24" i="6" s="1"/>
  <c r="N22" i="6"/>
  <c r="P22" i="6" s="1"/>
  <c r="F23" i="6" s="1"/>
  <c r="G23" i="6" s="1"/>
  <c r="J23" i="6" l="1"/>
  <c r="O25" i="6"/>
  <c r="D25" i="6" s="1"/>
  <c r="E25" i="6" s="1"/>
  <c r="A26" i="6"/>
  <c r="O26" i="6" l="1"/>
  <c r="D26" i="6" s="1"/>
  <c r="E26" i="6" s="1"/>
  <c r="A27" i="6"/>
  <c r="M23" i="6"/>
  <c r="H23" i="6"/>
  <c r="N23" i="6" l="1"/>
  <c r="P23" i="6" s="1"/>
  <c r="F24" i="6" s="1"/>
  <c r="G24" i="6" s="1"/>
  <c r="A28" i="6"/>
  <c r="O27" i="6"/>
  <c r="D27" i="6" s="1"/>
  <c r="E27" i="6" s="1"/>
  <c r="A29" i="6" l="1"/>
  <c r="J24" i="6"/>
  <c r="M24" i="6" l="1"/>
  <c r="O28" i="6" s="1"/>
  <c r="D28" i="6" s="1"/>
  <c r="E28" i="6" s="1"/>
  <c r="H24" i="6"/>
  <c r="A30" i="6"/>
  <c r="A31" i="6" l="1"/>
  <c r="N24" i="6"/>
  <c r="P24" i="6" s="1"/>
  <c r="F25" i="6" s="1"/>
  <c r="G25" i="6" s="1"/>
  <c r="J25" i="6" l="1"/>
  <c r="A32" i="6"/>
  <c r="A33" i="6" l="1"/>
  <c r="M25" i="6"/>
  <c r="O29" i="6" s="1"/>
  <c r="D29" i="6" s="1"/>
  <c r="E29" i="6" s="1"/>
  <c r="H25" i="6"/>
  <c r="A34" i="6" l="1"/>
  <c r="N25" i="6"/>
  <c r="P25" i="6" s="1"/>
  <c r="F26" i="6" s="1"/>
  <c r="G26" i="6" s="1"/>
  <c r="J26" i="6" l="1"/>
  <c r="A35" i="6"/>
  <c r="M26" i="6" l="1"/>
  <c r="O30" i="6" s="1"/>
  <c r="D30" i="6" s="1"/>
  <c r="E30" i="6" s="1"/>
  <c r="H26" i="6"/>
  <c r="A36" i="6"/>
  <c r="A37" i="6" l="1"/>
  <c r="N26" i="6"/>
  <c r="P26" i="6" s="1"/>
  <c r="F27" i="6" s="1"/>
  <c r="G27" i="6" s="1"/>
  <c r="J27" i="6" l="1"/>
  <c r="A38" i="6"/>
  <c r="A39" i="6" l="1"/>
  <c r="M27" i="6"/>
  <c r="O31" i="6" s="1"/>
  <c r="D31" i="6" s="1"/>
  <c r="E31" i="6" s="1"/>
  <c r="H27" i="6"/>
  <c r="N27" i="6" l="1"/>
  <c r="P27" i="6" s="1"/>
  <c r="F28" i="6" s="1"/>
  <c r="G28" i="6" s="1"/>
  <c r="A40" i="6"/>
  <c r="A41" i="6" l="1"/>
  <c r="J28" i="6"/>
  <c r="A42" i="6" l="1"/>
  <c r="M28" i="6"/>
  <c r="O32" i="6" s="1"/>
  <c r="D32" i="6" s="1"/>
  <c r="E32" i="6" s="1"/>
  <c r="H28" i="6"/>
  <c r="N28" i="6" l="1"/>
  <c r="P28" i="6" s="1"/>
  <c r="F29" i="6" s="1"/>
  <c r="G29" i="6" s="1"/>
  <c r="A43" i="6"/>
  <c r="A44" i="6" l="1"/>
  <c r="J29" i="6"/>
  <c r="A45" i="6" l="1"/>
  <c r="M29" i="6"/>
  <c r="O33" i="6" s="1"/>
  <c r="D33" i="6" s="1"/>
  <c r="E33" i="6" s="1"/>
  <c r="H29" i="6"/>
  <c r="N29" i="6" l="1"/>
  <c r="P29" i="6" s="1"/>
  <c r="F30" i="6" s="1"/>
  <c r="G30" i="6" s="1"/>
  <c r="A46" i="6"/>
  <c r="A47" i="6" l="1"/>
  <c r="J30" i="6"/>
  <c r="M30" i="6" l="1"/>
  <c r="O34" i="6" s="1"/>
  <c r="D34" i="6" s="1"/>
  <c r="E34" i="6" s="1"/>
  <c r="H30" i="6"/>
  <c r="A48" i="6"/>
  <c r="A49" i="6" l="1"/>
  <c r="N30" i="6"/>
  <c r="P30" i="6" s="1"/>
  <c r="F31" i="6" s="1"/>
  <c r="G31" i="6" s="1"/>
  <c r="J31" i="6" l="1"/>
  <c r="A50" i="6"/>
  <c r="A51" i="6" l="1"/>
  <c r="M31" i="6"/>
  <c r="O35" i="6" s="1"/>
  <c r="D35" i="6" s="1"/>
  <c r="E35" i="6" s="1"/>
  <c r="H31" i="6"/>
  <c r="N31" i="6" l="1"/>
  <c r="P31" i="6" s="1"/>
  <c r="F32" i="6" s="1"/>
  <c r="G32" i="6" s="1"/>
  <c r="A52" i="6"/>
  <c r="A53" i="6" l="1"/>
  <c r="J32" i="6"/>
  <c r="M32" i="6" l="1"/>
  <c r="O36" i="6" s="1"/>
  <c r="D36" i="6" s="1"/>
  <c r="E36" i="6" s="1"/>
  <c r="H32" i="6"/>
  <c r="A54" i="6"/>
  <c r="A55" i="6" l="1"/>
  <c r="N32" i="6"/>
  <c r="P32" i="6" s="1"/>
  <c r="F33" i="6" s="1"/>
  <c r="G33" i="6" s="1"/>
  <c r="J33" i="6" l="1"/>
  <c r="A56" i="6"/>
  <c r="A57" i="6" l="1"/>
  <c r="M33" i="6"/>
  <c r="O37" i="6" s="1"/>
  <c r="D37" i="6" s="1"/>
  <c r="E37" i="6" s="1"/>
  <c r="H33" i="6"/>
  <c r="N33" i="6" l="1"/>
  <c r="P33" i="6" s="1"/>
  <c r="F34" i="6" s="1"/>
  <c r="G34" i="6" s="1"/>
  <c r="A58" i="6"/>
  <c r="A59" i="6" l="1"/>
  <c r="J34" i="6"/>
  <c r="M34" i="6" l="1"/>
  <c r="O38" i="6" s="1"/>
  <c r="D38" i="6" s="1"/>
  <c r="E38" i="6" s="1"/>
  <c r="H34" i="6"/>
  <c r="A60" i="6"/>
  <c r="A61" i="6" l="1"/>
  <c r="N34" i="6"/>
  <c r="P34" i="6" s="1"/>
  <c r="F35" i="6" s="1"/>
  <c r="G35" i="6" s="1"/>
  <c r="J35" i="6" l="1"/>
  <c r="A62" i="6"/>
  <c r="A63" i="6" l="1"/>
  <c r="M35" i="6"/>
  <c r="O39" i="6" s="1"/>
  <c r="D39" i="6" s="1"/>
  <c r="E39" i="6" s="1"/>
  <c r="H35" i="6"/>
  <c r="N35" i="6" l="1"/>
  <c r="P35" i="6" s="1"/>
  <c r="F36" i="6" s="1"/>
  <c r="G36" i="6" s="1"/>
  <c r="A64" i="6"/>
  <c r="A65" i="6" l="1"/>
  <c r="J36" i="6"/>
  <c r="M36" i="6" l="1"/>
  <c r="O40" i="6" s="1"/>
  <c r="D40" i="6" s="1"/>
  <c r="E40" i="6" s="1"/>
  <c r="H36" i="6"/>
  <c r="A66" i="6"/>
  <c r="A67" i="6" l="1"/>
  <c r="N36" i="6"/>
  <c r="P36" i="6" s="1"/>
  <c r="F37" i="6" s="1"/>
  <c r="G37" i="6" s="1"/>
  <c r="J37" i="6" l="1"/>
  <c r="A68" i="6"/>
  <c r="A69" i="6" l="1"/>
  <c r="M37" i="6"/>
  <c r="O41" i="6" s="1"/>
  <c r="D41" i="6" s="1"/>
  <c r="E41" i="6" s="1"/>
  <c r="H37" i="6"/>
  <c r="N37" i="6" l="1"/>
  <c r="P37" i="6" s="1"/>
  <c r="F38" i="6" s="1"/>
  <c r="G38" i="6" s="1"/>
  <c r="A70" i="6"/>
  <c r="A71" i="6" l="1"/>
  <c r="J38" i="6"/>
  <c r="M38" i="6" l="1"/>
  <c r="O42" i="6" s="1"/>
  <c r="D42" i="6" s="1"/>
  <c r="E42" i="6" s="1"/>
  <c r="H38" i="6"/>
  <c r="A72" i="6"/>
  <c r="A73" i="6" l="1"/>
  <c r="N38" i="6"/>
  <c r="P38" i="6" s="1"/>
  <c r="F39" i="6" s="1"/>
  <c r="G39" i="6" s="1"/>
  <c r="J39" i="6" l="1"/>
  <c r="A74" i="6"/>
  <c r="A75" i="6" l="1"/>
  <c r="M39" i="6"/>
  <c r="O43" i="6" s="1"/>
  <c r="D43" i="6" s="1"/>
  <c r="E43" i="6" s="1"/>
  <c r="H39" i="6"/>
  <c r="N39" i="6" l="1"/>
  <c r="P39" i="6" s="1"/>
  <c r="F40" i="6" s="1"/>
  <c r="G40" i="6" s="1"/>
  <c r="A76" i="6"/>
  <c r="A77" i="6" l="1"/>
  <c r="J40" i="6"/>
  <c r="M40" i="6" l="1"/>
  <c r="O44" i="6" s="1"/>
  <c r="D44" i="6" s="1"/>
  <c r="E44" i="6" s="1"/>
  <c r="H40" i="6"/>
  <c r="A78" i="6"/>
  <c r="A79" i="6" l="1"/>
  <c r="N40" i="6"/>
  <c r="P40" i="6" s="1"/>
  <c r="F41" i="6" s="1"/>
  <c r="G41" i="6" s="1"/>
  <c r="J41" i="6" l="1"/>
  <c r="A80" i="6"/>
  <c r="A81" i="6" l="1"/>
  <c r="M41" i="6"/>
  <c r="O45" i="6" s="1"/>
  <c r="D45" i="6" s="1"/>
  <c r="E45" i="6" s="1"/>
  <c r="H41" i="6"/>
  <c r="A82" i="6" l="1"/>
  <c r="N41" i="6"/>
  <c r="P41" i="6" s="1"/>
  <c r="F42" i="6" s="1"/>
  <c r="G42" i="6" s="1"/>
  <c r="J42" i="6" l="1"/>
  <c r="A83" i="6"/>
  <c r="A84" i="6" l="1"/>
  <c r="M42" i="6"/>
  <c r="O46" i="6" s="1"/>
  <c r="D46" i="6" s="1"/>
  <c r="E46" i="6" s="1"/>
  <c r="H42" i="6"/>
  <c r="N42" i="6" l="1"/>
  <c r="P42" i="6" s="1"/>
  <c r="F43" i="6" s="1"/>
  <c r="G43" i="6" s="1"/>
  <c r="A85" i="6"/>
  <c r="J43" i="6" l="1"/>
  <c r="A86" i="6"/>
  <c r="A87" i="6" l="1"/>
  <c r="M43" i="6"/>
  <c r="O47" i="6" s="1"/>
  <c r="D47" i="6" s="1"/>
  <c r="E47" i="6" s="1"/>
  <c r="H43" i="6"/>
  <c r="A88" i="6" l="1"/>
  <c r="N43" i="6"/>
  <c r="P43" i="6" s="1"/>
  <c r="F44" i="6" s="1"/>
  <c r="G44" i="6" s="1"/>
  <c r="J44" i="6" l="1"/>
  <c r="A89" i="6"/>
  <c r="A90" i="6" l="1"/>
  <c r="M44" i="6"/>
  <c r="O48" i="6" s="1"/>
  <c r="D48" i="6" s="1"/>
  <c r="E48" i="6" s="1"/>
  <c r="H44" i="6"/>
  <c r="N44" i="6" l="1"/>
  <c r="P44" i="6" s="1"/>
  <c r="F45" i="6" s="1"/>
  <c r="G45" i="6" s="1"/>
  <c r="A91" i="6"/>
  <c r="J45" i="6" l="1"/>
  <c r="A92" i="6"/>
  <c r="A93" i="6" l="1"/>
  <c r="M45" i="6"/>
  <c r="O49" i="6" s="1"/>
  <c r="D49" i="6" s="1"/>
  <c r="E49" i="6" s="1"/>
  <c r="H45" i="6"/>
  <c r="N45" i="6" l="1"/>
  <c r="P45" i="6" s="1"/>
  <c r="F46" i="6" s="1"/>
  <c r="G46" i="6" s="1"/>
  <c r="A94" i="6"/>
  <c r="A95" i="6" l="1"/>
  <c r="J46" i="6"/>
  <c r="M46" i="6" l="1"/>
  <c r="O50" i="6" s="1"/>
  <c r="D50" i="6" s="1"/>
  <c r="E50" i="6" s="1"/>
  <c r="H46" i="6"/>
  <c r="A96" i="6"/>
  <c r="A97" i="6" l="1"/>
  <c r="N46" i="6"/>
  <c r="P46" i="6" s="1"/>
  <c r="F47" i="6" s="1"/>
  <c r="G47" i="6" s="1"/>
  <c r="J47" i="6" l="1"/>
  <c r="A98" i="6"/>
  <c r="A99" i="6" l="1"/>
  <c r="M47" i="6"/>
  <c r="O51" i="6" s="1"/>
  <c r="D51" i="6" s="1"/>
  <c r="E51" i="6" s="1"/>
  <c r="H47" i="6"/>
  <c r="N47" i="6" l="1"/>
  <c r="P47" i="6" s="1"/>
  <c r="F48" i="6" s="1"/>
  <c r="G48" i="6" s="1"/>
  <c r="A100" i="6"/>
  <c r="A101" i="6" l="1"/>
  <c r="J48" i="6"/>
  <c r="M48" i="6" l="1"/>
  <c r="O52" i="6" s="1"/>
  <c r="D52" i="6" s="1"/>
  <c r="E52" i="6" s="1"/>
  <c r="H48" i="6"/>
  <c r="A102" i="6"/>
  <c r="A103" i="6" l="1"/>
  <c r="N48" i="6"/>
  <c r="P48" i="6" s="1"/>
  <c r="F49" i="6" s="1"/>
  <c r="G49" i="6" s="1"/>
  <c r="J49" i="6" l="1"/>
  <c r="A104" i="6"/>
  <c r="A105" i="6" l="1"/>
  <c r="M49" i="6"/>
  <c r="O53" i="6" s="1"/>
  <c r="D53" i="6" s="1"/>
  <c r="E53" i="6" s="1"/>
  <c r="H49" i="6"/>
  <c r="N49" i="6" l="1"/>
  <c r="P49" i="6" s="1"/>
  <c r="F50" i="6" s="1"/>
  <c r="G50" i="6" s="1"/>
  <c r="A106" i="6"/>
  <c r="A107" i="6" l="1"/>
  <c r="J50" i="6"/>
  <c r="A108" i="6" l="1"/>
  <c r="M50" i="6"/>
  <c r="O54" i="6" s="1"/>
  <c r="D54" i="6" s="1"/>
  <c r="E54" i="6" s="1"/>
  <c r="H50" i="6"/>
  <c r="N50" i="6" l="1"/>
  <c r="P50" i="6" s="1"/>
  <c r="F51" i="6" s="1"/>
  <c r="G51" i="6" s="1"/>
  <c r="A109" i="6"/>
  <c r="A110" i="6" l="1"/>
  <c r="J51" i="6"/>
  <c r="M51" i="6" l="1"/>
  <c r="O55" i="6" s="1"/>
  <c r="D55" i="6" s="1"/>
  <c r="E55" i="6" s="1"/>
  <c r="H51" i="6"/>
  <c r="A111" i="6"/>
  <c r="N51" i="6" l="1"/>
  <c r="P51" i="6" s="1"/>
  <c r="F52" i="6" s="1"/>
  <c r="G52" i="6" s="1"/>
  <c r="A112" i="6"/>
  <c r="A113" i="6" l="1"/>
  <c r="J52" i="6"/>
  <c r="M52" i="6" l="1"/>
  <c r="O56" i="6" s="1"/>
  <c r="D56" i="6" s="1"/>
  <c r="E56" i="6" s="1"/>
  <c r="H52" i="6"/>
  <c r="A114" i="6"/>
  <c r="A115" i="6" l="1"/>
  <c r="N52" i="6"/>
  <c r="P52" i="6" s="1"/>
  <c r="F53" i="6" s="1"/>
  <c r="G53" i="6" s="1"/>
  <c r="J53" i="6" l="1"/>
  <c r="A116" i="6"/>
  <c r="A117" i="6" l="1"/>
  <c r="M53" i="6"/>
  <c r="O57" i="6" s="1"/>
  <c r="D57" i="6" s="1"/>
  <c r="E57" i="6" s="1"/>
  <c r="H53" i="6"/>
  <c r="N53" i="6" l="1"/>
  <c r="P53" i="6" s="1"/>
  <c r="F54" i="6" s="1"/>
  <c r="G54" i="6" s="1"/>
  <c r="A118" i="6"/>
  <c r="A119" i="6" l="1"/>
  <c r="J54" i="6"/>
  <c r="A120" i="6" l="1"/>
  <c r="M54" i="6"/>
  <c r="O58" i="6" s="1"/>
  <c r="D58" i="6" s="1"/>
  <c r="E58" i="6" s="1"/>
  <c r="H54" i="6"/>
  <c r="N54" i="6" l="1"/>
  <c r="P54" i="6" s="1"/>
  <c r="F55" i="6" s="1"/>
  <c r="G55" i="6" s="1"/>
  <c r="A121" i="6"/>
  <c r="A122" i="6" l="1"/>
  <c r="J55" i="6"/>
  <c r="A123" i="6" l="1"/>
  <c r="M55" i="6"/>
  <c r="O59" i="6" s="1"/>
  <c r="D59" i="6" s="1"/>
  <c r="E59" i="6" s="1"/>
  <c r="H55" i="6"/>
  <c r="N55" i="6" l="1"/>
  <c r="P55" i="6" s="1"/>
  <c r="F56" i="6" s="1"/>
  <c r="G56" i="6" s="1"/>
  <c r="A124" i="6"/>
  <c r="A125" i="6" l="1"/>
  <c r="J56" i="6"/>
  <c r="M56" i="6" l="1"/>
  <c r="O60" i="6" s="1"/>
  <c r="D60" i="6" s="1"/>
  <c r="E60" i="6" s="1"/>
  <c r="H56" i="6"/>
  <c r="A126" i="6"/>
  <c r="A127" i="6" l="1"/>
  <c r="N56" i="6"/>
  <c r="P56" i="6" s="1"/>
  <c r="F57" i="6" s="1"/>
  <c r="G57" i="6" s="1"/>
  <c r="J57" i="6" l="1"/>
  <c r="A128" i="6"/>
  <c r="A129" i="6" l="1"/>
  <c r="M57" i="6"/>
  <c r="O61" i="6" s="1"/>
  <c r="D61" i="6" s="1"/>
  <c r="E61" i="6" s="1"/>
  <c r="H57" i="6"/>
  <c r="N57" i="6" l="1"/>
  <c r="P57" i="6" s="1"/>
  <c r="F58" i="6" s="1"/>
  <c r="G58" i="6" s="1"/>
  <c r="A130" i="6"/>
  <c r="A131" i="6" l="1"/>
  <c r="J58" i="6"/>
  <c r="M58" i="6" l="1"/>
  <c r="O62" i="6" s="1"/>
  <c r="D62" i="6" s="1"/>
  <c r="E62" i="6" s="1"/>
  <c r="H58" i="6"/>
  <c r="A132" i="6"/>
  <c r="A133" i="6" l="1"/>
  <c r="N58" i="6"/>
  <c r="P58" i="6" s="1"/>
  <c r="F59" i="6" s="1"/>
  <c r="G59" i="6" s="1"/>
  <c r="A134" i="6" l="1"/>
  <c r="J59" i="6"/>
  <c r="M59" i="6" l="1"/>
  <c r="O63" i="6" s="1"/>
  <c r="D63" i="6" s="1"/>
  <c r="E63" i="6" s="1"/>
  <c r="H59" i="6"/>
  <c r="A135" i="6"/>
  <c r="A136" i="6" l="1"/>
  <c r="N59" i="6"/>
  <c r="P59" i="6" s="1"/>
  <c r="F60" i="6" s="1"/>
  <c r="G60" i="6" s="1"/>
  <c r="J60" i="6" l="1"/>
  <c r="A137" i="6"/>
  <c r="A138" i="6" l="1"/>
  <c r="M60" i="6"/>
  <c r="O64" i="6" s="1"/>
  <c r="D64" i="6" s="1"/>
  <c r="E64" i="6" s="1"/>
  <c r="H60" i="6"/>
  <c r="N60" i="6" l="1"/>
  <c r="P60" i="6" s="1"/>
  <c r="F61" i="6" s="1"/>
  <c r="G61" i="6" s="1"/>
  <c r="A139" i="6"/>
  <c r="J61" i="6" l="1"/>
  <c r="A140" i="6"/>
  <c r="A141" i="6" l="1"/>
  <c r="M61" i="6"/>
  <c r="O65" i="6" s="1"/>
  <c r="D65" i="6" s="1"/>
  <c r="E65" i="6" s="1"/>
  <c r="H61" i="6"/>
  <c r="A142" i="6" l="1"/>
  <c r="N61" i="6"/>
  <c r="P61" i="6" s="1"/>
  <c r="F62" i="6" s="1"/>
  <c r="G62" i="6" s="1"/>
  <c r="J62" i="6" l="1"/>
  <c r="A143" i="6"/>
  <c r="A144" i="6" l="1"/>
  <c r="M62" i="6"/>
  <c r="O66" i="6" s="1"/>
  <c r="D66" i="6" s="1"/>
  <c r="E66" i="6" s="1"/>
  <c r="H62" i="6"/>
  <c r="A145" i="6" l="1"/>
  <c r="N62" i="6"/>
  <c r="P62" i="6" s="1"/>
  <c r="F63" i="6" s="1"/>
  <c r="G63" i="6" s="1"/>
  <c r="A146" i="6" l="1"/>
  <c r="J63" i="6"/>
  <c r="M63" i="6" l="1"/>
  <c r="O67" i="6" s="1"/>
  <c r="D67" i="6" s="1"/>
  <c r="E67" i="6" s="1"/>
  <c r="H63" i="6"/>
  <c r="A147" i="6"/>
  <c r="N63" i="6" l="1"/>
  <c r="P63" i="6" s="1"/>
  <c r="F64" i="6" s="1"/>
  <c r="G64" i="6" s="1"/>
  <c r="A148" i="6"/>
  <c r="A149" i="6" l="1"/>
  <c r="J64" i="6"/>
  <c r="M64" i="6" l="1"/>
  <c r="O68" i="6" s="1"/>
  <c r="D68" i="6" s="1"/>
  <c r="E68" i="6" s="1"/>
  <c r="H64" i="6"/>
  <c r="A150" i="6"/>
  <c r="A151" i="6" l="1"/>
  <c r="N64" i="6"/>
  <c r="P64" i="6" s="1"/>
  <c r="F65" i="6" s="1"/>
  <c r="G65" i="6" s="1"/>
  <c r="A152" i="6" l="1"/>
  <c r="J65" i="6"/>
  <c r="M65" i="6" l="1"/>
  <c r="O69" i="6" s="1"/>
  <c r="D69" i="6" s="1"/>
  <c r="E69" i="6" s="1"/>
  <c r="H65" i="6"/>
  <c r="A153" i="6"/>
  <c r="A154" i="6" l="1"/>
  <c r="N65" i="6"/>
  <c r="P65" i="6" s="1"/>
  <c r="F66" i="6" s="1"/>
  <c r="G66" i="6" s="1"/>
  <c r="A155" i="6" l="1"/>
  <c r="J66" i="6"/>
  <c r="M66" i="6" l="1"/>
  <c r="O70" i="6" s="1"/>
  <c r="D70" i="6" s="1"/>
  <c r="E70" i="6" s="1"/>
  <c r="H66" i="6"/>
  <c r="A156" i="6"/>
  <c r="A157" i="6" l="1"/>
  <c r="N66" i="6"/>
  <c r="P66" i="6" s="1"/>
  <c r="F67" i="6" s="1"/>
  <c r="G67" i="6" s="1"/>
  <c r="J67" i="6" l="1"/>
  <c r="A158" i="6"/>
  <c r="M67" i="6" l="1"/>
  <c r="O71" i="6" s="1"/>
  <c r="D71" i="6" s="1"/>
  <c r="E71" i="6" s="1"/>
  <c r="H67" i="6"/>
  <c r="A159" i="6"/>
  <c r="A160" i="6" l="1"/>
  <c r="N67" i="6"/>
  <c r="P67" i="6" s="1"/>
  <c r="F68" i="6" s="1"/>
  <c r="G68" i="6" s="1"/>
  <c r="J68" i="6" l="1"/>
  <c r="A161" i="6"/>
  <c r="A162" i="6" l="1"/>
  <c r="M68" i="6"/>
  <c r="O72" i="6" s="1"/>
  <c r="D72" i="6" s="1"/>
  <c r="E72" i="6" s="1"/>
  <c r="H68" i="6"/>
  <c r="A163" i="6" l="1"/>
  <c r="N68" i="6"/>
  <c r="P68" i="6" s="1"/>
  <c r="F69" i="6" s="1"/>
  <c r="G69" i="6" s="1"/>
  <c r="J69" i="6" l="1"/>
  <c r="A164" i="6"/>
  <c r="A165" i="6" l="1"/>
  <c r="M69" i="6"/>
  <c r="O73" i="6" s="1"/>
  <c r="D73" i="6" s="1"/>
  <c r="E73" i="6" s="1"/>
  <c r="H69" i="6"/>
  <c r="A166" i="6" l="1"/>
  <c r="N69" i="6"/>
  <c r="P69" i="6" s="1"/>
  <c r="F70" i="6" s="1"/>
  <c r="G70" i="6" s="1"/>
  <c r="J70" i="6" l="1"/>
  <c r="A167" i="6"/>
  <c r="A168" i="6" l="1"/>
  <c r="M70" i="6"/>
  <c r="O74" i="6" s="1"/>
  <c r="D74" i="6" s="1"/>
  <c r="E74" i="6" s="1"/>
  <c r="H70" i="6"/>
  <c r="N70" i="6" l="1"/>
  <c r="P70" i="6" s="1"/>
  <c r="F71" i="6" s="1"/>
  <c r="G71" i="6" s="1"/>
  <c r="A169" i="6"/>
  <c r="A170" i="6" l="1"/>
  <c r="J71" i="6"/>
  <c r="M71" i="6" l="1"/>
  <c r="O75" i="6" s="1"/>
  <c r="D75" i="6" s="1"/>
  <c r="E75" i="6" s="1"/>
  <c r="H71" i="6"/>
  <c r="A171" i="6"/>
  <c r="A172" i="6" l="1"/>
  <c r="N71" i="6"/>
  <c r="P71" i="6" s="1"/>
  <c r="F72" i="6" s="1"/>
  <c r="G72" i="6" s="1"/>
  <c r="J72" i="6" l="1"/>
  <c r="A173" i="6"/>
  <c r="A174" i="6" l="1"/>
  <c r="M72" i="6"/>
  <c r="O76" i="6" s="1"/>
  <c r="D76" i="6" s="1"/>
  <c r="E76" i="6" s="1"/>
  <c r="H72" i="6"/>
  <c r="N72" i="6" l="1"/>
  <c r="P72" i="6" s="1"/>
  <c r="F73" i="6" s="1"/>
  <c r="G73" i="6" s="1"/>
  <c r="A175" i="6"/>
  <c r="A176" i="6" l="1"/>
  <c r="J73" i="6"/>
  <c r="A177" i="6" l="1"/>
  <c r="M73" i="6"/>
  <c r="O77" i="6" s="1"/>
  <c r="D77" i="6" s="1"/>
  <c r="E77" i="6" s="1"/>
  <c r="H73" i="6"/>
  <c r="A178" i="6" l="1"/>
  <c r="N73" i="6"/>
  <c r="P73" i="6" s="1"/>
  <c r="F74" i="6" s="1"/>
  <c r="G74" i="6" s="1"/>
  <c r="J74" i="6" l="1"/>
  <c r="A179" i="6"/>
  <c r="A180" i="6" l="1"/>
  <c r="M74" i="6"/>
  <c r="O78" i="6" s="1"/>
  <c r="D78" i="6" s="1"/>
  <c r="E78" i="6" s="1"/>
  <c r="H74" i="6"/>
  <c r="N74" i="6" l="1"/>
  <c r="P74" i="6" s="1"/>
  <c r="F75" i="6" s="1"/>
  <c r="G75" i="6" s="1"/>
  <c r="A181" i="6"/>
  <c r="A182" i="6" l="1"/>
  <c r="J75" i="6"/>
  <c r="M75" i="6" l="1"/>
  <c r="O79" i="6" s="1"/>
  <c r="D79" i="6" s="1"/>
  <c r="E79" i="6" s="1"/>
  <c r="H75" i="6"/>
  <c r="A183" i="6"/>
  <c r="A184" i="6" l="1"/>
  <c r="N75" i="6"/>
  <c r="P75" i="6" s="1"/>
  <c r="F76" i="6" s="1"/>
  <c r="G76" i="6" s="1"/>
  <c r="J76" i="6" l="1"/>
  <c r="A185" i="6"/>
  <c r="A186" i="6" l="1"/>
  <c r="M76" i="6"/>
  <c r="O80" i="6" s="1"/>
  <c r="D80" i="6" s="1"/>
  <c r="E80" i="6" s="1"/>
  <c r="H76" i="6"/>
  <c r="N76" i="6" l="1"/>
  <c r="P76" i="6" s="1"/>
  <c r="F77" i="6" s="1"/>
  <c r="G77" i="6" s="1"/>
  <c r="A187" i="6"/>
  <c r="A188" i="6" l="1"/>
  <c r="J77" i="6"/>
  <c r="M77" i="6" l="1"/>
  <c r="O81" i="6" s="1"/>
  <c r="D81" i="6" s="1"/>
  <c r="E81" i="6" s="1"/>
  <c r="H77" i="6"/>
  <c r="A189" i="6"/>
  <c r="A190" i="6" l="1"/>
  <c r="N77" i="6"/>
  <c r="P77" i="6" s="1"/>
  <c r="F78" i="6" s="1"/>
  <c r="G78" i="6" s="1"/>
  <c r="J78" i="6" l="1"/>
  <c r="A191" i="6"/>
  <c r="A192" i="6" l="1"/>
  <c r="M78" i="6"/>
  <c r="O82" i="6" s="1"/>
  <c r="D82" i="6" s="1"/>
  <c r="E82" i="6" s="1"/>
  <c r="H78" i="6"/>
  <c r="N78" i="6" l="1"/>
  <c r="P78" i="6" s="1"/>
  <c r="F79" i="6" s="1"/>
  <c r="G79" i="6" s="1"/>
  <c r="A193" i="6"/>
  <c r="A194" i="6" l="1"/>
  <c r="J79" i="6"/>
  <c r="M79" i="6" l="1"/>
  <c r="O83" i="6" s="1"/>
  <c r="D83" i="6" s="1"/>
  <c r="E83" i="6" s="1"/>
  <c r="H79" i="6"/>
  <c r="A195" i="6"/>
  <c r="A196" i="6" l="1"/>
  <c r="N79" i="6"/>
  <c r="P79" i="6" s="1"/>
  <c r="F80" i="6" s="1"/>
  <c r="G80" i="6" s="1"/>
  <c r="J80" i="6" l="1"/>
  <c r="A197" i="6"/>
  <c r="A198" i="6" l="1"/>
  <c r="M80" i="6"/>
  <c r="O84" i="6" s="1"/>
  <c r="D84" i="6" s="1"/>
  <c r="E84" i="6" s="1"/>
  <c r="H80" i="6"/>
  <c r="A199" i="6" l="1"/>
  <c r="N80" i="6"/>
  <c r="P80" i="6" s="1"/>
  <c r="F81" i="6" s="1"/>
  <c r="G81" i="6" s="1"/>
  <c r="J81" i="6" l="1"/>
  <c r="A200" i="6"/>
  <c r="A201" i="6" l="1"/>
  <c r="M81" i="6"/>
  <c r="O85" i="6" s="1"/>
  <c r="D85" i="6" s="1"/>
  <c r="E85" i="6" s="1"/>
  <c r="H81" i="6"/>
  <c r="A202" i="6" l="1"/>
  <c r="N81" i="6"/>
  <c r="P81" i="6" s="1"/>
  <c r="F82" i="6" s="1"/>
  <c r="G82" i="6" s="1"/>
  <c r="J82" i="6" l="1"/>
  <c r="A203" i="6"/>
  <c r="A204" i="6" l="1"/>
  <c r="M82" i="6"/>
  <c r="O86" i="6" s="1"/>
  <c r="D86" i="6" s="1"/>
  <c r="E86" i="6" s="1"/>
  <c r="H82" i="6"/>
  <c r="A205" i="6" l="1"/>
  <c r="N82" i="6"/>
  <c r="P82" i="6" s="1"/>
  <c r="F83" i="6" s="1"/>
  <c r="G83" i="6" s="1"/>
  <c r="J83" i="6" l="1"/>
  <c r="A206" i="6"/>
  <c r="A207" i="6" l="1"/>
  <c r="M83" i="6"/>
  <c r="O87" i="6" s="1"/>
  <c r="D87" i="6" s="1"/>
  <c r="E87" i="6" s="1"/>
  <c r="H83" i="6"/>
  <c r="N83" i="6" l="1"/>
  <c r="P83" i="6" s="1"/>
  <c r="F84" i="6" s="1"/>
  <c r="G84" i="6" s="1"/>
  <c r="A208" i="6"/>
  <c r="A209" i="6" l="1"/>
  <c r="J84" i="6"/>
  <c r="M84" i="6" l="1"/>
  <c r="O88" i="6" s="1"/>
  <c r="D88" i="6" s="1"/>
  <c r="E88" i="6" s="1"/>
  <c r="H84" i="6"/>
  <c r="A210" i="6"/>
  <c r="A211" i="6" l="1"/>
  <c r="N84" i="6"/>
  <c r="P84" i="6" s="1"/>
  <c r="F85" i="6" s="1"/>
  <c r="G85" i="6" s="1"/>
  <c r="J85" i="6" l="1"/>
  <c r="M85" i="6" l="1"/>
  <c r="O89" i="6" s="1"/>
  <c r="D89" i="6" s="1"/>
  <c r="E89" i="6" s="1"/>
  <c r="H85" i="6"/>
  <c r="N85" i="6" l="1"/>
  <c r="P85" i="6" s="1"/>
  <c r="F86" i="6" s="1"/>
  <c r="G86" i="6" s="1"/>
  <c r="J86" i="6" l="1"/>
  <c r="M86" i="6" l="1"/>
  <c r="O90" i="6" s="1"/>
  <c r="D90" i="6" s="1"/>
  <c r="E90" i="6" s="1"/>
  <c r="H86" i="6"/>
  <c r="N86" i="6" l="1"/>
  <c r="P86" i="6" s="1"/>
  <c r="F87" i="6" s="1"/>
  <c r="G87" i="6" s="1"/>
  <c r="J87" i="6" l="1"/>
  <c r="M87" i="6" l="1"/>
  <c r="O91" i="6" s="1"/>
  <c r="D91" i="6" s="1"/>
  <c r="E91" i="6" s="1"/>
  <c r="H87" i="6"/>
  <c r="N87" i="6" l="1"/>
  <c r="P87" i="6" s="1"/>
  <c r="F88" i="6" s="1"/>
  <c r="G88" i="6" s="1"/>
  <c r="J88" i="6" l="1"/>
  <c r="M88" i="6" l="1"/>
  <c r="O92" i="6" s="1"/>
  <c r="D92" i="6" s="1"/>
  <c r="E92" i="6" s="1"/>
  <c r="H88" i="6"/>
  <c r="N88" i="6" l="1"/>
  <c r="P88" i="6" s="1"/>
  <c r="F89" i="6" s="1"/>
  <c r="G89" i="6" s="1"/>
  <c r="J89" i="6" l="1"/>
  <c r="M89" i="6" l="1"/>
  <c r="O93" i="6" s="1"/>
  <c r="D93" i="6" s="1"/>
  <c r="E93" i="6" s="1"/>
  <c r="H89" i="6"/>
  <c r="N89" i="6" l="1"/>
  <c r="P89" i="6" s="1"/>
  <c r="F90" i="6" s="1"/>
  <c r="G90" i="6" s="1"/>
  <c r="J90" i="6" l="1"/>
  <c r="M90" i="6" l="1"/>
  <c r="O94" i="6" s="1"/>
  <c r="D94" i="6" s="1"/>
  <c r="E94" i="6" s="1"/>
  <c r="H90" i="6"/>
  <c r="N90" i="6" l="1"/>
  <c r="P90" i="6" s="1"/>
  <c r="F91" i="6" s="1"/>
  <c r="G91" i="6" s="1"/>
  <c r="J91" i="6" l="1"/>
  <c r="M91" i="6" l="1"/>
  <c r="O95" i="6" s="1"/>
  <c r="D95" i="6" s="1"/>
  <c r="E95" i="6" s="1"/>
  <c r="H91" i="6"/>
  <c r="N91" i="6" l="1"/>
  <c r="P91" i="6" s="1"/>
  <c r="F92" i="6" s="1"/>
  <c r="G92" i="6" s="1"/>
  <c r="J92" i="6" l="1"/>
  <c r="M92" i="6" l="1"/>
  <c r="O96" i="6" s="1"/>
  <c r="D96" i="6" s="1"/>
  <c r="E96" i="6" s="1"/>
  <c r="H92" i="6"/>
  <c r="N92" i="6" l="1"/>
  <c r="P92" i="6" s="1"/>
  <c r="F93" i="6" s="1"/>
  <c r="G93" i="6" s="1"/>
  <c r="J93" i="6" l="1"/>
  <c r="M93" i="6" l="1"/>
  <c r="O97" i="6" s="1"/>
  <c r="D97" i="6" s="1"/>
  <c r="E97" i="6" s="1"/>
  <c r="H93" i="6"/>
  <c r="N93" i="6" l="1"/>
  <c r="P93" i="6" s="1"/>
  <c r="F94" i="6" s="1"/>
  <c r="G94" i="6" s="1"/>
  <c r="J94" i="6" l="1"/>
  <c r="M94" i="6" l="1"/>
  <c r="O98" i="6" s="1"/>
  <c r="D98" i="6" s="1"/>
  <c r="E98" i="6" s="1"/>
  <c r="H94" i="6"/>
  <c r="N94" i="6" l="1"/>
  <c r="P94" i="6" s="1"/>
  <c r="F95" i="6" s="1"/>
  <c r="G95" i="6" s="1"/>
  <c r="J95" i="6" l="1"/>
  <c r="M95" i="6" l="1"/>
  <c r="O99" i="6" s="1"/>
  <c r="D99" i="6" s="1"/>
  <c r="E99" i="6" s="1"/>
  <c r="H95" i="6"/>
  <c r="N95" i="6" l="1"/>
  <c r="P95" i="6" s="1"/>
  <c r="F96" i="6" s="1"/>
  <c r="G96" i="6" s="1"/>
  <c r="J96" i="6" l="1"/>
  <c r="M96" i="6" l="1"/>
  <c r="O100" i="6" s="1"/>
  <c r="D100" i="6" s="1"/>
  <c r="E100" i="6" s="1"/>
  <c r="H96" i="6"/>
  <c r="N96" i="6" l="1"/>
  <c r="P96" i="6" s="1"/>
  <c r="F97" i="6" s="1"/>
  <c r="G97" i="6" s="1"/>
  <c r="J97" i="6" l="1"/>
  <c r="M97" i="6" l="1"/>
  <c r="O101" i="6" s="1"/>
  <c r="D101" i="6" s="1"/>
  <c r="E101" i="6" s="1"/>
  <c r="H97" i="6"/>
  <c r="N97" i="6" l="1"/>
  <c r="P97" i="6" s="1"/>
  <c r="F98" i="6" s="1"/>
  <c r="G98" i="6" s="1"/>
  <c r="J98" i="6" l="1"/>
  <c r="M98" i="6" l="1"/>
  <c r="O102" i="6" s="1"/>
  <c r="D102" i="6" s="1"/>
  <c r="E102" i="6" s="1"/>
  <c r="H98" i="6"/>
  <c r="N98" i="6" l="1"/>
  <c r="P98" i="6" s="1"/>
  <c r="F99" i="6" s="1"/>
  <c r="G99" i="6" s="1"/>
  <c r="J99" i="6" l="1"/>
  <c r="M99" i="6" l="1"/>
  <c r="O103" i="6" s="1"/>
  <c r="D103" i="6" s="1"/>
  <c r="E103" i="6" s="1"/>
  <c r="H99" i="6"/>
  <c r="N99" i="6" l="1"/>
  <c r="P99" i="6" s="1"/>
  <c r="F100" i="6" s="1"/>
  <c r="G100" i="6" s="1"/>
  <c r="J100" i="6" l="1"/>
  <c r="M100" i="6" l="1"/>
  <c r="O104" i="6" s="1"/>
  <c r="D104" i="6" s="1"/>
  <c r="E104" i="6" s="1"/>
  <c r="H100" i="6"/>
  <c r="N100" i="6" l="1"/>
  <c r="P100" i="6" s="1"/>
  <c r="F101" i="6" s="1"/>
  <c r="G101" i="6" s="1"/>
  <c r="J101" i="6" l="1"/>
  <c r="M101" i="6" l="1"/>
  <c r="O105" i="6" s="1"/>
  <c r="D105" i="6" s="1"/>
  <c r="E105" i="6" s="1"/>
  <c r="H101" i="6"/>
  <c r="N101" i="6" l="1"/>
  <c r="P101" i="6" s="1"/>
  <c r="F102" i="6" s="1"/>
  <c r="G102" i="6" s="1"/>
  <c r="J102" i="6" l="1"/>
  <c r="M102" i="6" l="1"/>
  <c r="O106" i="6" s="1"/>
  <c r="D106" i="6" s="1"/>
  <c r="E106" i="6" s="1"/>
  <c r="H102" i="6"/>
  <c r="N102" i="6" l="1"/>
  <c r="P102" i="6" s="1"/>
  <c r="F103" i="6" s="1"/>
  <c r="G103" i="6" s="1"/>
  <c r="J103" i="6" l="1"/>
  <c r="M103" i="6" l="1"/>
  <c r="O107" i="6" s="1"/>
  <c r="D107" i="6" s="1"/>
  <c r="E107" i="6" s="1"/>
  <c r="H103" i="6"/>
  <c r="N103" i="6" l="1"/>
  <c r="P103" i="6" s="1"/>
  <c r="F104" i="6" s="1"/>
  <c r="G104" i="6" s="1"/>
  <c r="J104" i="6" l="1"/>
  <c r="M104" i="6" l="1"/>
  <c r="O108" i="6" s="1"/>
  <c r="D108" i="6" s="1"/>
  <c r="E108" i="6" s="1"/>
  <c r="H104" i="6"/>
  <c r="N104" i="6" l="1"/>
  <c r="P104" i="6" s="1"/>
  <c r="F105" i="6" s="1"/>
  <c r="G105" i="6" s="1"/>
  <c r="J105" i="6" l="1"/>
  <c r="M105" i="6" l="1"/>
  <c r="O109" i="6" s="1"/>
  <c r="D109" i="6" s="1"/>
  <c r="E109" i="6" s="1"/>
  <c r="H105" i="6"/>
  <c r="N105" i="6" l="1"/>
  <c r="P105" i="6" s="1"/>
  <c r="F106" i="6" s="1"/>
  <c r="G106" i="6" s="1"/>
  <c r="J106" i="6" l="1"/>
  <c r="M106" i="6" l="1"/>
  <c r="O110" i="6" s="1"/>
  <c r="D110" i="6" s="1"/>
  <c r="E110" i="6" s="1"/>
  <c r="H106" i="6"/>
  <c r="N106" i="6" l="1"/>
  <c r="P106" i="6" s="1"/>
  <c r="F107" i="6" s="1"/>
  <c r="G107" i="6" s="1"/>
  <c r="J107" i="6" l="1"/>
  <c r="M107" i="6" l="1"/>
  <c r="O111" i="6" s="1"/>
  <c r="D111" i="6" s="1"/>
  <c r="E111" i="6" s="1"/>
  <c r="H107" i="6"/>
  <c r="N107" i="6" l="1"/>
  <c r="P107" i="6" s="1"/>
  <c r="F108" i="6" s="1"/>
  <c r="G108" i="6" s="1"/>
  <c r="J108" i="6" l="1"/>
  <c r="M108" i="6" l="1"/>
  <c r="O112" i="6" s="1"/>
  <c r="D112" i="6" s="1"/>
  <c r="E112" i="6" s="1"/>
  <c r="H108" i="6"/>
  <c r="N108" i="6" l="1"/>
  <c r="P108" i="6" s="1"/>
  <c r="F109" i="6" s="1"/>
  <c r="G109" i="6" s="1"/>
  <c r="J109" i="6" l="1"/>
  <c r="M109" i="6" l="1"/>
  <c r="O113" i="6" s="1"/>
  <c r="D113" i="6" s="1"/>
  <c r="E113" i="6" s="1"/>
  <c r="H109" i="6"/>
  <c r="N109" i="6" l="1"/>
  <c r="P109" i="6" s="1"/>
  <c r="F110" i="6" s="1"/>
  <c r="G110" i="6" s="1"/>
  <c r="J110" i="6" l="1"/>
  <c r="M110" i="6" l="1"/>
  <c r="O114" i="6" s="1"/>
  <c r="D114" i="6" s="1"/>
  <c r="E114" i="6" s="1"/>
  <c r="H110" i="6"/>
  <c r="N110" i="6" l="1"/>
  <c r="P110" i="6" s="1"/>
  <c r="F111" i="6" s="1"/>
  <c r="G111" i="6" s="1"/>
  <c r="J111" i="6" l="1"/>
  <c r="M111" i="6" l="1"/>
  <c r="O115" i="6" s="1"/>
  <c r="D115" i="6" s="1"/>
  <c r="E115" i="6" s="1"/>
  <c r="H111" i="6"/>
  <c r="N111" i="6" l="1"/>
  <c r="P111" i="6" s="1"/>
  <c r="F112" i="6" s="1"/>
  <c r="G112" i="6" s="1"/>
  <c r="J112" i="6" l="1"/>
  <c r="M112" i="6" l="1"/>
  <c r="O116" i="6" s="1"/>
  <c r="D116" i="6" s="1"/>
  <c r="E116" i="6" s="1"/>
  <c r="H112" i="6"/>
  <c r="N112" i="6" l="1"/>
  <c r="P112" i="6" s="1"/>
  <c r="F113" i="6" s="1"/>
  <c r="G113" i="6" s="1"/>
  <c r="J113" i="6" l="1"/>
  <c r="M113" i="6" l="1"/>
  <c r="O117" i="6" s="1"/>
  <c r="D117" i="6" s="1"/>
  <c r="E117" i="6" s="1"/>
  <c r="H113" i="6"/>
  <c r="N113" i="6" l="1"/>
  <c r="P113" i="6" s="1"/>
  <c r="F114" i="6" s="1"/>
  <c r="G114" i="6" s="1"/>
  <c r="J114" i="6" l="1"/>
  <c r="M114" i="6" l="1"/>
  <c r="O118" i="6" s="1"/>
  <c r="D118" i="6" s="1"/>
  <c r="E118" i="6" s="1"/>
  <c r="H114" i="6"/>
  <c r="N114" i="6" l="1"/>
  <c r="P114" i="6" s="1"/>
  <c r="F115" i="6" s="1"/>
  <c r="G115" i="6" s="1"/>
  <c r="J115" i="6" l="1"/>
  <c r="M115" i="6" l="1"/>
  <c r="O119" i="6" s="1"/>
  <c r="D119" i="6" s="1"/>
  <c r="E119" i="6" s="1"/>
  <c r="H115" i="6"/>
  <c r="N115" i="6" l="1"/>
  <c r="P115" i="6" s="1"/>
  <c r="F116" i="6" s="1"/>
  <c r="G116" i="6" s="1"/>
  <c r="J116" i="6" l="1"/>
  <c r="M116" i="6" l="1"/>
  <c r="O120" i="6" s="1"/>
  <c r="D120" i="6" s="1"/>
  <c r="E120" i="6" s="1"/>
  <c r="H116" i="6"/>
  <c r="N116" i="6" l="1"/>
  <c r="P116" i="6" s="1"/>
  <c r="F117" i="6" s="1"/>
  <c r="G117" i="6" s="1"/>
  <c r="J117" i="6" l="1"/>
  <c r="M117" i="6" l="1"/>
  <c r="O121" i="6" s="1"/>
  <c r="D121" i="6" s="1"/>
  <c r="E121" i="6" s="1"/>
  <c r="H117" i="6"/>
  <c r="N117" i="6" l="1"/>
  <c r="P117" i="6" s="1"/>
  <c r="F118" i="6" s="1"/>
  <c r="G118" i="6" s="1"/>
  <c r="J118" i="6" l="1"/>
  <c r="M118" i="6" l="1"/>
  <c r="O122" i="6" s="1"/>
  <c r="D122" i="6" s="1"/>
  <c r="E122" i="6" s="1"/>
  <c r="H118" i="6"/>
  <c r="N118" i="6" l="1"/>
  <c r="P118" i="6" s="1"/>
  <c r="F119" i="6" s="1"/>
  <c r="G119" i="6" s="1"/>
  <c r="J119" i="6" l="1"/>
  <c r="M119" i="6" l="1"/>
  <c r="O123" i="6" s="1"/>
  <c r="D123" i="6" s="1"/>
  <c r="E123" i="6" s="1"/>
  <c r="H119" i="6"/>
  <c r="N119" i="6" l="1"/>
  <c r="P119" i="6" s="1"/>
  <c r="F120" i="6" s="1"/>
  <c r="G120" i="6" s="1"/>
  <c r="J120" i="6" l="1"/>
  <c r="M120" i="6" l="1"/>
  <c r="O124" i="6" s="1"/>
  <c r="D124" i="6" s="1"/>
  <c r="E124" i="6" s="1"/>
  <c r="H120" i="6"/>
  <c r="N120" i="6" l="1"/>
  <c r="P120" i="6" s="1"/>
  <c r="F121" i="6" s="1"/>
  <c r="G121" i="6" s="1"/>
  <c r="J121" i="6" l="1"/>
  <c r="M121" i="6" l="1"/>
  <c r="O125" i="6" s="1"/>
  <c r="D125" i="6" s="1"/>
  <c r="E125" i="6" s="1"/>
  <c r="H121" i="6"/>
  <c r="N121" i="6" l="1"/>
  <c r="P121" i="6" s="1"/>
  <c r="F122" i="6" s="1"/>
  <c r="G122" i="6" s="1"/>
  <c r="J122" i="6" l="1"/>
  <c r="M122" i="6" l="1"/>
  <c r="O126" i="6" s="1"/>
  <c r="D126" i="6" s="1"/>
  <c r="E126" i="6" s="1"/>
  <c r="H122" i="6"/>
  <c r="N122" i="6" l="1"/>
  <c r="P122" i="6" s="1"/>
  <c r="F123" i="6" s="1"/>
  <c r="G123" i="6" s="1"/>
  <c r="J123" i="6" l="1"/>
  <c r="M123" i="6" l="1"/>
  <c r="O127" i="6" s="1"/>
  <c r="D127" i="6" s="1"/>
  <c r="E127" i="6" s="1"/>
  <c r="H123" i="6"/>
  <c r="N123" i="6" l="1"/>
  <c r="P123" i="6" s="1"/>
  <c r="F124" i="6" s="1"/>
  <c r="G124" i="6" s="1"/>
  <c r="J124" i="6" l="1"/>
  <c r="M124" i="6" l="1"/>
  <c r="O128" i="6" s="1"/>
  <c r="D128" i="6" s="1"/>
  <c r="E128" i="6" s="1"/>
  <c r="H124" i="6"/>
  <c r="N124" i="6" l="1"/>
  <c r="P124" i="6" s="1"/>
  <c r="F125" i="6" s="1"/>
  <c r="G125" i="6" s="1"/>
  <c r="J125" i="6" l="1"/>
  <c r="M125" i="6" l="1"/>
  <c r="O129" i="6" s="1"/>
  <c r="D129" i="6" s="1"/>
  <c r="E129" i="6" s="1"/>
  <c r="H125" i="6"/>
  <c r="N125" i="6" l="1"/>
  <c r="P125" i="6" s="1"/>
  <c r="F126" i="6" s="1"/>
  <c r="G126" i="6" s="1"/>
  <c r="J126" i="6" l="1"/>
  <c r="M126" i="6" l="1"/>
  <c r="O130" i="6" s="1"/>
  <c r="D130" i="6" s="1"/>
  <c r="E130" i="6" s="1"/>
  <c r="H126" i="6"/>
  <c r="N126" i="6" l="1"/>
  <c r="P126" i="6" s="1"/>
  <c r="F127" i="6" s="1"/>
  <c r="G127" i="6" s="1"/>
  <c r="J127" i="6" l="1"/>
  <c r="M127" i="6" l="1"/>
  <c r="O131" i="6" s="1"/>
  <c r="D131" i="6" s="1"/>
  <c r="E131" i="6" s="1"/>
  <c r="H127" i="6"/>
  <c r="N127" i="6" l="1"/>
  <c r="P127" i="6" s="1"/>
  <c r="F128" i="6" s="1"/>
  <c r="G128" i="6" s="1"/>
  <c r="J128" i="6" l="1"/>
  <c r="M128" i="6" l="1"/>
  <c r="O132" i="6" s="1"/>
  <c r="D132" i="6" s="1"/>
  <c r="E132" i="6" s="1"/>
  <c r="H128" i="6"/>
  <c r="N128" i="6" l="1"/>
  <c r="P128" i="6" s="1"/>
  <c r="F129" i="6" s="1"/>
  <c r="G129" i="6" s="1"/>
  <c r="J129" i="6" l="1"/>
  <c r="M129" i="6" l="1"/>
  <c r="O133" i="6" s="1"/>
  <c r="D133" i="6" s="1"/>
  <c r="E133" i="6" s="1"/>
  <c r="H129" i="6"/>
  <c r="N129" i="6" l="1"/>
  <c r="P129" i="6" s="1"/>
  <c r="F130" i="6" s="1"/>
  <c r="G130" i="6" s="1"/>
  <c r="J130" i="6" l="1"/>
  <c r="M130" i="6" l="1"/>
  <c r="O134" i="6" s="1"/>
  <c r="D134" i="6" s="1"/>
  <c r="E134" i="6" s="1"/>
  <c r="H130" i="6"/>
  <c r="N130" i="6" l="1"/>
  <c r="P130" i="6" s="1"/>
  <c r="F131" i="6" s="1"/>
  <c r="G131" i="6" s="1"/>
  <c r="J131" i="6" l="1"/>
  <c r="M131" i="6" l="1"/>
  <c r="O135" i="6" s="1"/>
  <c r="D135" i="6" s="1"/>
  <c r="E135" i="6" s="1"/>
  <c r="H131" i="6"/>
  <c r="N131" i="6" l="1"/>
  <c r="P131" i="6" s="1"/>
  <c r="F132" i="6" s="1"/>
  <c r="G132" i="6" s="1"/>
  <c r="J132" i="6" l="1"/>
  <c r="M132" i="6" l="1"/>
  <c r="O136" i="6" s="1"/>
  <c r="D136" i="6" s="1"/>
  <c r="E136" i="6" s="1"/>
  <c r="H132" i="6"/>
  <c r="N132" i="6" l="1"/>
  <c r="P132" i="6" s="1"/>
  <c r="F133" i="6" s="1"/>
  <c r="G133" i="6" s="1"/>
  <c r="J133" i="6" l="1"/>
  <c r="M133" i="6" l="1"/>
  <c r="O137" i="6" s="1"/>
  <c r="D137" i="6" s="1"/>
  <c r="E137" i="6" s="1"/>
  <c r="H133" i="6"/>
  <c r="N133" i="6" l="1"/>
  <c r="P133" i="6" s="1"/>
  <c r="F134" i="6" s="1"/>
  <c r="G134" i="6" s="1"/>
  <c r="J134" i="6" l="1"/>
  <c r="M134" i="6" l="1"/>
  <c r="O138" i="6" s="1"/>
  <c r="D138" i="6" s="1"/>
  <c r="E138" i="6" s="1"/>
  <c r="H134" i="6"/>
  <c r="N134" i="6" l="1"/>
  <c r="P134" i="6" s="1"/>
  <c r="F135" i="6" s="1"/>
  <c r="G135" i="6" s="1"/>
  <c r="J135" i="6" l="1"/>
  <c r="M135" i="6" l="1"/>
  <c r="O139" i="6" s="1"/>
  <c r="D139" i="6" s="1"/>
  <c r="E139" i="6" s="1"/>
  <c r="H135" i="6"/>
  <c r="N135" i="6" l="1"/>
  <c r="P135" i="6" s="1"/>
  <c r="F136" i="6" s="1"/>
  <c r="G136" i="6" s="1"/>
  <c r="J136" i="6" l="1"/>
  <c r="M136" i="6" l="1"/>
  <c r="O140" i="6" s="1"/>
  <c r="D140" i="6" s="1"/>
  <c r="E140" i="6" s="1"/>
  <c r="H136" i="6"/>
  <c r="N136" i="6" l="1"/>
  <c r="P136" i="6" s="1"/>
  <c r="F137" i="6" s="1"/>
  <c r="G137" i="6" s="1"/>
  <c r="J137" i="6" l="1"/>
  <c r="M137" i="6" l="1"/>
  <c r="O141" i="6" s="1"/>
  <c r="D141" i="6" s="1"/>
  <c r="E141" i="6" s="1"/>
  <c r="H137" i="6"/>
  <c r="N137" i="6" l="1"/>
  <c r="P137" i="6" s="1"/>
  <c r="F138" i="6" s="1"/>
  <c r="G138" i="6" s="1"/>
  <c r="J138" i="6" l="1"/>
  <c r="M138" i="6" l="1"/>
  <c r="O142" i="6" s="1"/>
  <c r="D142" i="6" s="1"/>
  <c r="E142" i="6" s="1"/>
  <c r="H138" i="6"/>
  <c r="N138" i="6" l="1"/>
  <c r="P138" i="6" s="1"/>
  <c r="F139" i="6" s="1"/>
  <c r="G139" i="6" s="1"/>
  <c r="J139" i="6" l="1"/>
  <c r="M139" i="6" l="1"/>
  <c r="O143" i="6" s="1"/>
  <c r="D143" i="6" s="1"/>
  <c r="E143" i="6" s="1"/>
  <c r="H139" i="6"/>
  <c r="N139" i="6" l="1"/>
  <c r="P139" i="6" s="1"/>
  <c r="F140" i="6" s="1"/>
  <c r="G140" i="6" s="1"/>
  <c r="J140" i="6" l="1"/>
  <c r="M140" i="6" l="1"/>
  <c r="O144" i="6" s="1"/>
  <c r="D144" i="6" s="1"/>
  <c r="E144" i="6" s="1"/>
  <c r="H140" i="6"/>
  <c r="N140" i="6" l="1"/>
  <c r="P140" i="6" s="1"/>
  <c r="F141" i="6" s="1"/>
  <c r="G141" i="6" s="1"/>
  <c r="J141" i="6" l="1"/>
  <c r="M141" i="6" l="1"/>
  <c r="O145" i="6" s="1"/>
  <c r="D145" i="6" s="1"/>
  <c r="E145" i="6" s="1"/>
  <c r="H141" i="6"/>
  <c r="N141" i="6" l="1"/>
  <c r="P141" i="6" s="1"/>
  <c r="F142" i="6" s="1"/>
  <c r="G142" i="6" s="1"/>
  <c r="J142" i="6" l="1"/>
  <c r="M142" i="6" l="1"/>
  <c r="O146" i="6" s="1"/>
  <c r="D146" i="6" s="1"/>
  <c r="E146" i="6" s="1"/>
  <c r="H142" i="6"/>
  <c r="N142" i="6" l="1"/>
  <c r="P142" i="6" s="1"/>
  <c r="F143" i="6" s="1"/>
  <c r="G143" i="6" s="1"/>
  <c r="J143" i="6" l="1"/>
  <c r="M143" i="6" l="1"/>
  <c r="O147" i="6" s="1"/>
  <c r="D147" i="6" s="1"/>
  <c r="E147" i="6" s="1"/>
  <c r="H143" i="6"/>
  <c r="N143" i="6" l="1"/>
  <c r="P143" i="6" s="1"/>
  <c r="F144" i="6" s="1"/>
  <c r="G144" i="6" s="1"/>
  <c r="J144" i="6" l="1"/>
  <c r="M144" i="6" l="1"/>
  <c r="O148" i="6" s="1"/>
  <c r="D148" i="6" s="1"/>
  <c r="E148" i="6" s="1"/>
  <c r="H144" i="6"/>
  <c r="N144" i="6" l="1"/>
  <c r="P144" i="6" s="1"/>
  <c r="F145" i="6" s="1"/>
  <c r="G145" i="6" s="1"/>
  <c r="J145" i="6" l="1"/>
  <c r="M145" i="6" l="1"/>
  <c r="O149" i="6" s="1"/>
  <c r="D149" i="6" s="1"/>
  <c r="E149" i="6" s="1"/>
  <c r="H145" i="6"/>
  <c r="N145" i="6" l="1"/>
  <c r="P145" i="6" s="1"/>
  <c r="F146" i="6" s="1"/>
  <c r="G146" i="6" s="1"/>
  <c r="J146" i="6" l="1"/>
  <c r="M146" i="6" l="1"/>
  <c r="O150" i="6" s="1"/>
  <c r="D150" i="6" s="1"/>
  <c r="E150" i="6" s="1"/>
  <c r="H146" i="6"/>
  <c r="N146" i="6" l="1"/>
  <c r="P146" i="6" s="1"/>
  <c r="F147" i="6" s="1"/>
  <c r="G147" i="6" s="1"/>
  <c r="J147" i="6" l="1"/>
  <c r="M147" i="6" l="1"/>
  <c r="O151" i="6" s="1"/>
  <c r="D151" i="6" s="1"/>
  <c r="E151" i="6" s="1"/>
  <c r="H147" i="6"/>
  <c r="N147" i="6" l="1"/>
  <c r="P147" i="6" s="1"/>
  <c r="F148" i="6" s="1"/>
  <c r="G148" i="6" s="1"/>
  <c r="J148" i="6" l="1"/>
  <c r="M148" i="6" l="1"/>
  <c r="O152" i="6" s="1"/>
  <c r="D152" i="6" s="1"/>
  <c r="E152" i="6" s="1"/>
  <c r="H148" i="6"/>
  <c r="N148" i="6" l="1"/>
  <c r="P148" i="6" s="1"/>
  <c r="F149" i="6" s="1"/>
  <c r="G149" i="6" s="1"/>
  <c r="J149" i="6" l="1"/>
  <c r="M149" i="6" l="1"/>
  <c r="O153" i="6" s="1"/>
  <c r="D153" i="6" s="1"/>
  <c r="E153" i="6" s="1"/>
  <c r="H149" i="6"/>
  <c r="N149" i="6" l="1"/>
  <c r="P149" i="6" s="1"/>
  <c r="F150" i="6" s="1"/>
  <c r="G150" i="6" s="1"/>
  <c r="J150" i="6" l="1"/>
  <c r="M150" i="6" l="1"/>
  <c r="O154" i="6" s="1"/>
  <c r="D154" i="6" s="1"/>
  <c r="E154" i="6" s="1"/>
  <c r="H150" i="6"/>
  <c r="N150" i="6" l="1"/>
  <c r="P150" i="6" s="1"/>
  <c r="F151" i="6" s="1"/>
  <c r="G151" i="6" s="1"/>
  <c r="J151" i="6" l="1"/>
  <c r="M151" i="6" l="1"/>
  <c r="O155" i="6" s="1"/>
  <c r="D155" i="6" s="1"/>
  <c r="E155" i="6" s="1"/>
  <c r="H151" i="6"/>
  <c r="N151" i="6" l="1"/>
  <c r="P151" i="6" s="1"/>
  <c r="F152" i="6" s="1"/>
  <c r="G152" i="6" s="1"/>
  <c r="J152" i="6" l="1"/>
  <c r="M152" i="6" l="1"/>
  <c r="O156" i="6" s="1"/>
  <c r="D156" i="6" s="1"/>
  <c r="E156" i="6" s="1"/>
  <c r="H152" i="6"/>
  <c r="N152" i="6" l="1"/>
  <c r="P152" i="6" s="1"/>
  <c r="F153" i="6" s="1"/>
  <c r="G153" i="6" s="1"/>
  <c r="J153" i="6" l="1"/>
  <c r="M153" i="6" l="1"/>
  <c r="O157" i="6" s="1"/>
  <c r="D157" i="6" s="1"/>
  <c r="E157" i="6" s="1"/>
  <c r="H153" i="6"/>
  <c r="N153" i="6" l="1"/>
  <c r="P153" i="6" s="1"/>
  <c r="F154" i="6" s="1"/>
  <c r="G154" i="6" s="1"/>
  <c r="J154" i="6" l="1"/>
  <c r="M154" i="6" l="1"/>
  <c r="O158" i="6" s="1"/>
  <c r="D158" i="6" s="1"/>
  <c r="E158" i="6" s="1"/>
  <c r="H154" i="6"/>
  <c r="N154" i="6" l="1"/>
  <c r="P154" i="6" s="1"/>
  <c r="F155" i="6" s="1"/>
  <c r="G155" i="6" s="1"/>
  <c r="J155" i="6" l="1"/>
  <c r="M155" i="6" l="1"/>
  <c r="O159" i="6" s="1"/>
  <c r="D159" i="6" s="1"/>
  <c r="E159" i="6" s="1"/>
  <c r="H155" i="6"/>
  <c r="N155" i="6" l="1"/>
  <c r="P155" i="6" s="1"/>
  <c r="F156" i="6" s="1"/>
  <c r="G156" i="6" s="1"/>
  <c r="J156" i="6" l="1"/>
  <c r="M156" i="6" l="1"/>
  <c r="O160" i="6" s="1"/>
  <c r="D160" i="6" s="1"/>
  <c r="E160" i="6" s="1"/>
  <c r="H156" i="6"/>
  <c r="N156" i="6" l="1"/>
  <c r="P156" i="6" s="1"/>
  <c r="F157" i="6" s="1"/>
  <c r="G157" i="6" s="1"/>
  <c r="J157" i="6" l="1"/>
  <c r="M157" i="6" l="1"/>
  <c r="O161" i="6" s="1"/>
  <c r="D161" i="6" s="1"/>
  <c r="E161" i="6" s="1"/>
  <c r="H157" i="6"/>
  <c r="N157" i="6" l="1"/>
  <c r="P157" i="6" s="1"/>
  <c r="F158" i="6" s="1"/>
  <c r="G158" i="6" s="1"/>
  <c r="J158" i="6" l="1"/>
  <c r="M158" i="6" l="1"/>
  <c r="O162" i="6" s="1"/>
  <c r="D162" i="6" s="1"/>
  <c r="E162" i="6" s="1"/>
  <c r="H158" i="6"/>
  <c r="N158" i="6" l="1"/>
  <c r="P158" i="6" s="1"/>
  <c r="F159" i="6" s="1"/>
  <c r="G159" i="6" s="1"/>
  <c r="J159" i="6" l="1"/>
  <c r="M159" i="6" l="1"/>
  <c r="O163" i="6" s="1"/>
  <c r="D163" i="6" s="1"/>
  <c r="E163" i="6" s="1"/>
  <c r="H159" i="6"/>
  <c r="N159" i="6" l="1"/>
  <c r="P159" i="6" s="1"/>
  <c r="F160" i="6" s="1"/>
  <c r="G160" i="6" s="1"/>
  <c r="J160" i="6" l="1"/>
  <c r="M160" i="6" l="1"/>
  <c r="O164" i="6" s="1"/>
  <c r="D164" i="6" s="1"/>
  <c r="E164" i="6" s="1"/>
  <c r="H160" i="6"/>
  <c r="N160" i="6" l="1"/>
  <c r="P160" i="6" s="1"/>
  <c r="F161" i="6" s="1"/>
  <c r="G161" i="6" s="1"/>
  <c r="J161" i="6" l="1"/>
  <c r="M161" i="6" l="1"/>
  <c r="O165" i="6" s="1"/>
  <c r="D165" i="6" s="1"/>
  <c r="E165" i="6" s="1"/>
  <c r="H161" i="6"/>
  <c r="N161" i="6" l="1"/>
  <c r="P161" i="6" s="1"/>
  <c r="F162" i="6" s="1"/>
  <c r="G162" i="6" s="1"/>
  <c r="J162" i="6" l="1"/>
  <c r="M162" i="6" l="1"/>
  <c r="O166" i="6" s="1"/>
  <c r="D166" i="6" s="1"/>
  <c r="E166" i="6" s="1"/>
  <c r="H162" i="6"/>
  <c r="N162" i="6" l="1"/>
  <c r="P162" i="6" s="1"/>
  <c r="F163" i="6" s="1"/>
  <c r="G163" i="6" s="1"/>
  <c r="J163" i="6" l="1"/>
  <c r="M163" i="6" l="1"/>
  <c r="O167" i="6" s="1"/>
  <c r="D167" i="6" s="1"/>
  <c r="E167" i="6" s="1"/>
  <c r="H163" i="6"/>
  <c r="N163" i="6" l="1"/>
  <c r="P163" i="6" s="1"/>
  <c r="F164" i="6" s="1"/>
  <c r="G164" i="6" s="1"/>
  <c r="J164" i="6" l="1"/>
  <c r="M164" i="6" l="1"/>
  <c r="O168" i="6" s="1"/>
  <c r="D168" i="6" s="1"/>
  <c r="E168" i="6" s="1"/>
  <c r="H164" i="6"/>
  <c r="N164" i="6" l="1"/>
  <c r="P164" i="6" s="1"/>
  <c r="F165" i="6" s="1"/>
  <c r="G165" i="6" s="1"/>
  <c r="J165" i="6" l="1"/>
  <c r="M165" i="6" l="1"/>
  <c r="O169" i="6" s="1"/>
  <c r="D169" i="6" s="1"/>
  <c r="E169" i="6" s="1"/>
  <c r="H165" i="6"/>
  <c r="N165" i="6" l="1"/>
  <c r="P165" i="6" s="1"/>
  <c r="F166" i="6" s="1"/>
  <c r="G166" i="6" s="1"/>
  <c r="J166" i="6" l="1"/>
  <c r="M166" i="6" l="1"/>
  <c r="O170" i="6" s="1"/>
  <c r="D170" i="6" s="1"/>
  <c r="E170" i="6" s="1"/>
  <c r="H166" i="6"/>
  <c r="N166" i="6" l="1"/>
  <c r="P166" i="6" s="1"/>
  <c r="F167" i="6" s="1"/>
  <c r="G167" i="6" s="1"/>
  <c r="J167" i="6" l="1"/>
  <c r="M167" i="6" l="1"/>
  <c r="O171" i="6" s="1"/>
  <c r="D171" i="6" s="1"/>
  <c r="E171" i="6" s="1"/>
  <c r="H167" i="6"/>
  <c r="N167" i="6" l="1"/>
  <c r="P167" i="6" s="1"/>
  <c r="F168" i="6" s="1"/>
  <c r="G168" i="6" s="1"/>
  <c r="J168" i="6" l="1"/>
  <c r="M168" i="6" l="1"/>
  <c r="O172" i="6" s="1"/>
  <c r="D172" i="6" s="1"/>
  <c r="E172" i="6" s="1"/>
  <c r="H168" i="6"/>
  <c r="N168" i="6" l="1"/>
  <c r="P168" i="6" s="1"/>
  <c r="F169" i="6" s="1"/>
  <c r="G169" i="6" s="1"/>
  <c r="J169" i="6" l="1"/>
  <c r="M169" i="6" l="1"/>
  <c r="O173" i="6" s="1"/>
  <c r="D173" i="6" s="1"/>
  <c r="E173" i="6" s="1"/>
  <c r="H169" i="6"/>
  <c r="N169" i="6" l="1"/>
  <c r="P169" i="6" s="1"/>
  <c r="F170" i="6" s="1"/>
  <c r="G170" i="6" s="1"/>
  <c r="J170" i="6" l="1"/>
  <c r="M170" i="6" l="1"/>
  <c r="O174" i="6" s="1"/>
  <c r="D174" i="6" s="1"/>
  <c r="E174" i="6" s="1"/>
  <c r="H170" i="6"/>
  <c r="N170" i="6" l="1"/>
  <c r="P170" i="6" s="1"/>
  <c r="F171" i="6" s="1"/>
  <c r="G171" i="6" s="1"/>
  <c r="J171" i="6" l="1"/>
  <c r="M171" i="6" l="1"/>
  <c r="O175" i="6" s="1"/>
  <c r="D175" i="6" s="1"/>
  <c r="E175" i="6" s="1"/>
  <c r="H171" i="6"/>
  <c r="N171" i="6" l="1"/>
  <c r="P171" i="6" s="1"/>
  <c r="F172" i="6" s="1"/>
  <c r="G172" i="6" s="1"/>
  <c r="J172" i="6" l="1"/>
  <c r="M172" i="6" l="1"/>
  <c r="O176" i="6" s="1"/>
  <c r="D176" i="6" s="1"/>
  <c r="E176" i="6" s="1"/>
  <c r="H172" i="6"/>
  <c r="N172" i="6" l="1"/>
  <c r="P172" i="6" s="1"/>
  <c r="F173" i="6" s="1"/>
  <c r="G173" i="6" s="1"/>
  <c r="J173" i="6" l="1"/>
  <c r="M173" i="6" l="1"/>
  <c r="O177" i="6" s="1"/>
  <c r="D177" i="6" s="1"/>
  <c r="E177" i="6" s="1"/>
  <c r="H173" i="6"/>
  <c r="N173" i="6" l="1"/>
  <c r="P173" i="6" s="1"/>
  <c r="F174" i="6" s="1"/>
  <c r="G174" i="6" s="1"/>
  <c r="J174" i="6" l="1"/>
  <c r="M174" i="6" l="1"/>
  <c r="O178" i="6" s="1"/>
  <c r="D178" i="6" s="1"/>
  <c r="E178" i="6" s="1"/>
  <c r="H174" i="6"/>
  <c r="N174" i="6" l="1"/>
  <c r="P174" i="6" s="1"/>
  <c r="F175" i="6" s="1"/>
  <c r="G175" i="6" s="1"/>
  <c r="J175" i="6" l="1"/>
  <c r="M175" i="6" l="1"/>
  <c r="O179" i="6" s="1"/>
  <c r="D179" i="6" s="1"/>
  <c r="E179" i="6" s="1"/>
  <c r="H175" i="6"/>
  <c r="N175" i="6" l="1"/>
  <c r="P175" i="6" s="1"/>
  <c r="F176" i="6" s="1"/>
  <c r="G176" i="6" s="1"/>
  <c r="J176" i="6" l="1"/>
  <c r="M176" i="6" l="1"/>
  <c r="O180" i="6" s="1"/>
  <c r="D180" i="6" s="1"/>
  <c r="E180" i="6" s="1"/>
  <c r="H176" i="6"/>
  <c r="N176" i="6" l="1"/>
  <c r="P176" i="6" s="1"/>
  <c r="F177" i="6" s="1"/>
  <c r="G177" i="6" s="1"/>
  <c r="J177" i="6" l="1"/>
  <c r="M177" i="6" l="1"/>
  <c r="O181" i="6" s="1"/>
  <c r="D181" i="6" s="1"/>
  <c r="E181" i="6" s="1"/>
  <c r="H177" i="6"/>
  <c r="N177" i="6" l="1"/>
  <c r="P177" i="6" s="1"/>
  <c r="F178" i="6" s="1"/>
  <c r="G178" i="6" s="1"/>
  <c r="J178" i="6" l="1"/>
  <c r="M178" i="6" l="1"/>
  <c r="O182" i="6" s="1"/>
  <c r="D182" i="6" s="1"/>
  <c r="E182" i="6" s="1"/>
  <c r="H178" i="6"/>
  <c r="N178" i="6" l="1"/>
  <c r="P178" i="6" s="1"/>
  <c r="F179" i="6" s="1"/>
  <c r="G179" i="6" s="1"/>
  <c r="J179" i="6" l="1"/>
  <c r="M179" i="6" l="1"/>
  <c r="O183" i="6" s="1"/>
  <c r="D183" i="6" s="1"/>
  <c r="E183" i="6" s="1"/>
  <c r="H179" i="6"/>
  <c r="N179" i="6" l="1"/>
  <c r="P179" i="6" s="1"/>
  <c r="F180" i="6" s="1"/>
  <c r="G180" i="6" s="1"/>
  <c r="J180" i="6" l="1"/>
  <c r="M180" i="6" l="1"/>
  <c r="O184" i="6" s="1"/>
  <c r="D184" i="6" s="1"/>
  <c r="E184" i="6" s="1"/>
  <c r="H180" i="6"/>
  <c r="N180" i="6" l="1"/>
  <c r="P180" i="6" s="1"/>
  <c r="F181" i="6" s="1"/>
  <c r="G181" i="6" s="1"/>
  <c r="J181" i="6" l="1"/>
  <c r="M181" i="6" l="1"/>
  <c r="O185" i="6" s="1"/>
  <c r="D185" i="6" s="1"/>
  <c r="E185" i="6" s="1"/>
  <c r="H181" i="6"/>
  <c r="N181" i="6" l="1"/>
  <c r="P181" i="6" s="1"/>
  <c r="F182" i="6" s="1"/>
  <c r="G182" i="6" s="1"/>
  <c r="J182" i="6" l="1"/>
  <c r="M182" i="6" l="1"/>
  <c r="O186" i="6" s="1"/>
  <c r="D186" i="6" s="1"/>
  <c r="E186" i="6" s="1"/>
  <c r="H182" i="6"/>
  <c r="N182" i="6" l="1"/>
  <c r="P182" i="6" s="1"/>
  <c r="F183" i="6" s="1"/>
  <c r="G183" i="6" s="1"/>
  <c r="J183" i="6" l="1"/>
  <c r="M183" i="6" l="1"/>
  <c r="O187" i="6" s="1"/>
  <c r="D187" i="6" s="1"/>
  <c r="E187" i="6" s="1"/>
  <c r="H183" i="6"/>
  <c r="N183" i="6" l="1"/>
  <c r="P183" i="6" s="1"/>
  <c r="F184" i="6" s="1"/>
  <c r="G184" i="6" s="1"/>
  <c r="J184" i="6" l="1"/>
  <c r="M184" i="6" l="1"/>
  <c r="O188" i="6" s="1"/>
  <c r="D188" i="6" s="1"/>
  <c r="E188" i="6" s="1"/>
  <c r="H184" i="6"/>
  <c r="N184" i="6" l="1"/>
  <c r="P184" i="6" s="1"/>
  <c r="F185" i="6" s="1"/>
  <c r="G185" i="6" s="1"/>
  <c r="J185" i="6" l="1"/>
  <c r="M185" i="6" l="1"/>
  <c r="O189" i="6" s="1"/>
  <c r="D189" i="6" s="1"/>
  <c r="E189" i="6" s="1"/>
  <c r="H185" i="6"/>
  <c r="N185" i="6" l="1"/>
  <c r="P185" i="6" s="1"/>
  <c r="F186" i="6" s="1"/>
  <c r="G186" i="6" s="1"/>
  <c r="J186" i="6" l="1"/>
  <c r="M186" i="6" l="1"/>
  <c r="O190" i="6" s="1"/>
  <c r="D190" i="6" s="1"/>
  <c r="E190" i="6" s="1"/>
  <c r="H186" i="6"/>
  <c r="N186" i="6" l="1"/>
  <c r="P186" i="6" s="1"/>
  <c r="F187" i="6" s="1"/>
  <c r="G187" i="6" s="1"/>
  <c r="J187" i="6" l="1"/>
  <c r="M187" i="6" l="1"/>
  <c r="O191" i="6" s="1"/>
  <c r="D191" i="6" s="1"/>
  <c r="E191" i="6" s="1"/>
  <c r="H187" i="6"/>
  <c r="N187" i="6" l="1"/>
  <c r="P187" i="6" s="1"/>
  <c r="F188" i="6" s="1"/>
  <c r="G188" i="6" s="1"/>
  <c r="J188" i="6" l="1"/>
  <c r="M188" i="6" l="1"/>
  <c r="O192" i="6" s="1"/>
  <c r="D192" i="6" s="1"/>
  <c r="E192" i="6" s="1"/>
  <c r="H188" i="6"/>
  <c r="N188" i="6" l="1"/>
  <c r="P188" i="6" s="1"/>
  <c r="F189" i="6" s="1"/>
  <c r="G189" i="6" s="1"/>
  <c r="J189" i="6" l="1"/>
  <c r="M189" i="6" l="1"/>
  <c r="O193" i="6" s="1"/>
  <c r="D193" i="6" s="1"/>
  <c r="E193" i="6" s="1"/>
  <c r="H189" i="6"/>
  <c r="N189" i="6" l="1"/>
  <c r="P189" i="6" s="1"/>
  <c r="F190" i="6" s="1"/>
  <c r="G190" i="6" s="1"/>
  <c r="J190" i="6" l="1"/>
  <c r="M190" i="6" l="1"/>
  <c r="O194" i="6" s="1"/>
  <c r="D194" i="6" s="1"/>
  <c r="E194" i="6" s="1"/>
  <c r="H190" i="6"/>
  <c r="N190" i="6" l="1"/>
  <c r="P190" i="6" s="1"/>
  <c r="F191" i="6" s="1"/>
  <c r="G191" i="6" s="1"/>
  <c r="J191" i="6" l="1"/>
  <c r="M191" i="6" l="1"/>
  <c r="O195" i="6" s="1"/>
  <c r="D195" i="6" s="1"/>
  <c r="E195" i="6" s="1"/>
  <c r="H191" i="6"/>
  <c r="N191" i="6" l="1"/>
  <c r="P191" i="6" s="1"/>
  <c r="F192" i="6" s="1"/>
  <c r="G192" i="6" s="1"/>
  <c r="J192" i="6" l="1"/>
  <c r="M192" i="6" l="1"/>
  <c r="O196" i="6" s="1"/>
  <c r="D196" i="6" s="1"/>
  <c r="E196" i="6" s="1"/>
  <c r="H192" i="6"/>
  <c r="N192" i="6" l="1"/>
  <c r="P192" i="6" s="1"/>
  <c r="F193" i="6" s="1"/>
  <c r="G193" i="6" s="1"/>
  <c r="J193" i="6" l="1"/>
  <c r="M193" i="6" l="1"/>
  <c r="O197" i="6" s="1"/>
  <c r="D197" i="6" s="1"/>
  <c r="E197" i="6" s="1"/>
  <c r="H193" i="6"/>
  <c r="N193" i="6" l="1"/>
  <c r="P193" i="6" s="1"/>
  <c r="F194" i="6" s="1"/>
  <c r="G194" i="6" s="1"/>
  <c r="J194" i="6" l="1"/>
  <c r="M194" i="6" l="1"/>
  <c r="O198" i="6" s="1"/>
  <c r="D198" i="6" s="1"/>
  <c r="E198" i="6" s="1"/>
  <c r="H194" i="6"/>
  <c r="N194" i="6" l="1"/>
  <c r="P194" i="6" s="1"/>
  <c r="F195" i="6" s="1"/>
  <c r="G195" i="6" s="1"/>
  <c r="J195" i="6" l="1"/>
  <c r="M195" i="6" l="1"/>
  <c r="O199" i="6" s="1"/>
  <c r="D199" i="6" s="1"/>
  <c r="E199" i="6" s="1"/>
  <c r="H195" i="6"/>
  <c r="N195" i="6" l="1"/>
  <c r="P195" i="6" s="1"/>
  <c r="F196" i="6" s="1"/>
  <c r="G196" i="6" s="1"/>
  <c r="J196" i="6" l="1"/>
  <c r="M196" i="6" l="1"/>
  <c r="O200" i="6" s="1"/>
  <c r="D200" i="6" s="1"/>
  <c r="E200" i="6" s="1"/>
  <c r="H196" i="6"/>
  <c r="N196" i="6" l="1"/>
  <c r="P196" i="6" s="1"/>
  <c r="F197" i="6" s="1"/>
  <c r="G197" i="6" s="1"/>
  <c r="J197" i="6" l="1"/>
  <c r="M197" i="6" l="1"/>
  <c r="O201" i="6" s="1"/>
  <c r="D201" i="6" s="1"/>
  <c r="E201" i="6" s="1"/>
  <c r="H197" i="6"/>
  <c r="N197" i="6" l="1"/>
  <c r="P197" i="6" s="1"/>
  <c r="F198" i="6" s="1"/>
  <c r="G198" i="6" s="1"/>
  <c r="J198" i="6" l="1"/>
  <c r="M198" i="6" l="1"/>
  <c r="O202" i="6" s="1"/>
  <c r="D202" i="6" s="1"/>
  <c r="E202" i="6" s="1"/>
  <c r="H198" i="6"/>
  <c r="N198" i="6" l="1"/>
  <c r="P198" i="6" s="1"/>
  <c r="F199" i="6" s="1"/>
  <c r="G199" i="6" s="1"/>
  <c r="J199" i="6" l="1"/>
  <c r="M199" i="6" l="1"/>
  <c r="O203" i="6" s="1"/>
  <c r="D203" i="6" s="1"/>
  <c r="E203" i="6" s="1"/>
  <c r="H199" i="6"/>
  <c r="N199" i="6" l="1"/>
  <c r="P199" i="6" s="1"/>
  <c r="F200" i="6" s="1"/>
  <c r="G200" i="6" s="1"/>
  <c r="J200" i="6" l="1"/>
  <c r="M200" i="6" l="1"/>
  <c r="O204" i="6" s="1"/>
  <c r="D204" i="6" s="1"/>
  <c r="E204" i="6" s="1"/>
  <c r="H200" i="6"/>
  <c r="N200" i="6" l="1"/>
  <c r="P200" i="6" s="1"/>
  <c r="F201" i="6" s="1"/>
  <c r="G201" i="6" s="1"/>
  <c r="J201" i="6" l="1"/>
  <c r="M201" i="6" l="1"/>
  <c r="O205" i="6" s="1"/>
  <c r="D205" i="6" s="1"/>
  <c r="E205" i="6" s="1"/>
  <c r="H201" i="6"/>
  <c r="N201" i="6" l="1"/>
  <c r="P201" i="6" s="1"/>
  <c r="F202" i="6" s="1"/>
  <c r="G202" i="6" s="1"/>
  <c r="J202" i="6" l="1"/>
  <c r="M202" i="6" l="1"/>
  <c r="O206" i="6" s="1"/>
  <c r="D206" i="6" s="1"/>
  <c r="E206" i="6" s="1"/>
  <c r="H202" i="6"/>
  <c r="N202" i="6" l="1"/>
  <c r="P202" i="6" s="1"/>
  <c r="F203" i="6" s="1"/>
  <c r="G203" i="6" s="1"/>
  <c r="J203" i="6" l="1"/>
  <c r="M203" i="6" l="1"/>
  <c r="O207" i="6" s="1"/>
  <c r="D207" i="6" s="1"/>
  <c r="E207" i="6" s="1"/>
  <c r="H203" i="6"/>
  <c r="N203" i="6" l="1"/>
  <c r="P203" i="6" s="1"/>
  <c r="F204" i="6" s="1"/>
  <c r="G204" i="6" s="1"/>
  <c r="J204" i="6" l="1"/>
  <c r="M204" i="6" l="1"/>
  <c r="O208" i="6" s="1"/>
  <c r="D208" i="6" s="1"/>
  <c r="E208" i="6" s="1"/>
  <c r="H204" i="6"/>
  <c r="N204" i="6" l="1"/>
  <c r="P204" i="6" s="1"/>
  <c r="F205" i="6" s="1"/>
  <c r="G205" i="6" s="1"/>
  <c r="J205" i="6" l="1"/>
  <c r="M205" i="6" l="1"/>
  <c r="O209" i="6" s="1"/>
  <c r="D209" i="6" s="1"/>
  <c r="E209" i="6" s="1"/>
  <c r="H205" i="6"/>
  <c r="N205" i="6" l="1"/>
  <c r="P205" i="6" s="1"/>
  <c r="F206" i="6" s="1"/>
  <c r="G206" i="6" s="1"/>
  <c r="J206" i="6" l="1"/>
  <c r="M206" i="6" l="1"/>
  <c r="O210" i="6" s="1"/>
  <c r="D210" i="6" s="1"/>
  <c r="E210" i="6" s="1"/>
  <c r="H206" i="6"/>
  <c r="N206" i="6" l="1"/>
  <c r="P206" i="6" s="1"/>
  <c r="F207" i="6" s="1"/>
  <c r="G207" i="6" s="1"/>
  <c r="J207" i="6" l="1"/>
  <c r="M207" i="6" l="1"/>
  <c r="O211" i="6" s="1"/>
  <c r="D211" i="6" s="1"/>
  <c r="E211" i="6" s="1"/>
  <c r="H207" i="6"/>
  <c r="N207" i="6" l="1"/>
  <c r="P207" i="6" s="1"/>
  <c r="F208" i="6" s="1"/>
  <c r="G208" i="6" s="1"/>
  <c r="G15" i="6"/>
  <c r="G14" i="6"/>
  <c r="E14" i="6" s="1"/>
  <c r="J208" i="6" l="1"/>
  <c r="M208" i="6" l="1"/>
  <c r="H208" i="6"/>
  <c r="N208" i="6" l="1"/>
  <c r="P208" i="6" s="1"/>
  <c r="F209" i="6" s="1"/>
  <c r="G209" i="6" s="1"/>
  <c r="J209" i="6" l="1"/>
  <c r="M209" i="6" l="1"/>
  <c r="H209" i="6"/>
  <c r="N209" i="6" l="1"/>
  <c r="P209" i="6" s="1"/>
  <c r="F210" i="6" s="1"/>
  <c r="G210" i="6" s="1"/>
  <c r="J210" i="6" l="1"/>
  <c r="M210" i="6" l="1"/>
  <c r="H210" i="6"/>
  <c r="N210" i="6" l="1"/>
  <c r="P210" i="6" s="1"/>
  <c r="F211" i="6" s="1"/>
  <c r="G211" i="6" s="1"/>
  <c r="J211" i="6" l="1"/>
  <c r="M211" i="6" l="1"/>
  <c r="E16" i="6"/>
  <c r="H211" i="6"/>
  <c r="N211" i="6" s="1"/>
  <c r="P211" i="6" s="1"/>
  <c r="D211" i="5" l="1"/>
  <c r="B211" i="5"/>
  <c r="D210" i="5"/>
  <c r="B210" i="5"/>
  <c r="D209" i="5"/>
  <c r="B209" i="5"/>
  <c r="D208" i="5"/>
  <c r="B208" i="5"/>
  <c r="D207" i="5"/>
  <c r="B207" i="5"/>
  <c r="D206" i="5"/>
  <c r="B206" i="5"/>
  <c r="D205" i="5"/>
  <c r="B205" i="5"/>
  <c r="D204" i="5"/>
  <c r="B204" i="5"/>
  <c r="D203" i="5"/>
  <c r="B203" i="5"/>
  <c r="D202" i="5"/>
  <c r="B202" i="5"/>
  <c r="D201" i="5"/>
  <c r="B201" i="5"/>
  <c r="D200" i="5"/>
  <c r="B200" i="5"/>
  <c r="D199" i="5"/>
  <c r="B199" i="5"/>
  <c r="D198" i="5"/>
  <c r="B198" i="5"/>
  <c r="D197" i="5"/>
  <c r="B197" i="5"/>
  <c r="D196" i="5"/>
  <c r="B196" i="5"/>
  <c r="D195" i="5"/>
  <c r="B195" i="5"/>
  <c r="D194" i="5"/>
  <c r="B194" i="5"/>
  <c r="D193" i="5"/>
  <c r="B193" i="5"/>
  <c r="D192" i="5"/>
  <c r="B192" i="5"/>
  <c r="D191" i="5"/>
  <c r="B191" i="5"/>
  <c r="D190" i="5"/>
  <c r="B190" i="5"/>
  <c r="D189" i="5"/>
  <c r="B189" i="5"/>
  <c r="D188" i="5"/>
  <c r="B188" i="5"/>
  <c r="D187" i="5"/>
  <c r="B187" i="5"/>
  <c r="D186" i="5"/>
  <c r="B186" i="5"/>
  <c r="D185" i="5"/>
  <c r="B185" i="5"/>
  <c r="D184" i="5"/>
  <c r="B184" i="5"/>
  <c r="D183" i="5"/>
  <c r="B183" i="5"/>
  <c r="D182" i="5"/>
  <c r="B182" i="5"/>
  <c r="D181" i="5"/>
  <c r="B181" i="5"/>
  <c r="D180" i="5"/>
  <c r="B180" i="5"/>
  <c r="D179" i="5"/>
  <c r="B179" i="5"/>
  <c r="D178" i="5"/>
  <c r="B178" i="5"/>
  <c r="D177" i="5"/>
  <c r="B177" i="5"/>
  <c r="D176" i="5"/>
  <c r="B176" i="5"/>
  <c r="D175" i="5"/>
  <c r="B175" i="5"/>
  <c r="D174" i="5"/>
  <c r="B174" i="5"/>
  <c r="D173" i="5"/>
  <c r="B173" i="5"/>
  <c r="D172" i="5"/>
  <c r="B172" i="5"/>
  <c r="D171" i="5"/>
  <c r="B171" i="5"/>
  <c r="D170" i="5"/>
  <c r="B170" i="5"/>
  <c r="D169" i="5"/>
  <c r="B169" i="5"/>
  <c r="D168" i="5"/>
  <c r="B168" i="5"/>
  <c r="D167" i="5"/>
  <c r="B167" i="5"/>
  <c r="D166" i="5"/>
  <c r="B166" i="5"/>
  <c r="D165" i="5"/>
  <c r="B165" i="5"/>
  <c r="D164" i="5"/>
  <c r="B164" i="5"/>
  <c r="D163" i="5"/>
  <c r="B163" i="5"/>
  <c r="D162" i="5"/>
  <c r="B162" i="5"/>
  <c r="D161" i="5"/>
  <c r="B161" i="5"/>
  <c r="D160" i="5"/>
  <c r="B160" i="5"/>
  <c r="D159" i="5"/>
  <c r="B159" i="5"/>
  <c r="D158" i="5"/>
  <c r="B158" i="5"/>
  <c r="D157" i="5"/>
  <c r="B157" i="5"/>
  <c r="D156" i="5"/>
  <c r="B156" i="5"/>
  <c r="D155" i="5"/>
  <c r="B155" i="5"/>
  <c r="D154" i="5"/>
  <c r="B154" i="5"/>
  <c r="D153" i="5"/>
  <c r="B153" i="5"/>
  <c r="D152" i="5"/>
  <c r="B152" i="5"/>
  <c r="D151" i="5"/>
  <c r="B151" i="5"/>
  <c r="D150" i="5"/>
  <c r="B150" i="5"/>
  <c r="D149" i="5"/>
  <c r="B149" i="5"/>
  <c r="D148" i="5"/>
  <c r="B148" i="5"/>
  <c r="D147" i="5"/>
  <c r="B147" i="5"/>
  <c r="D146" i="5"/>
  <c r="B146" i="5"/>
  <c r="D145" i="5"/>
  <c r="B145" i="5"/>
  <c r="D144" i="5"/>
  <c r="B144" i="5"/>
  <c r="D143" i="5"/>
  <c r="B143" i="5"/>
  <c r="D142" i="5"/>
  <c r="B142" i="5"/>
  <c r="D141" i="5"/>
  <c r="B141" i="5"/>
  <c r="D140" i="5"/>
  <c r="B140" i="5"/>
  <c r="D139" i="5"/>
  <c r="B139" i="5"/>
  <c r="D138" i="5"/>
  <c r="B138" i="5"/>
  <c r="D137" i="5"/>
  <c r="B137" i="5"/>
  <c r="D136" i="5"/>
  <c r="B136" i="5"/>
  <c r="D135" i="5"/>
  <c r="B135" i="5"/>
  <c r="D134" i="5"/>
  <c r="B134" i="5"/>
  <c r="D133" i="5"/>
  <c r="B133" i="5"/>
  <c r="D132" i="5"/>
  <c r="B132" i="5"/>
  <c r="D131" i="5"/>
  <c r="B131" i="5"/>
  <c r="D130" i="5"/>
  <c r="B130" i="5"/>
  <c r="D129" i="5"/>
  <c r="B129" i="5"/>
  <c r="D128" i="5"/>
  <c r="B128" i="5"/>
  <c r="D127" i="5"/>
  <c r="B127" i="5"/>
  <c r="D126" i="5"/>
  <c r="B126" i="5"/>
  <c r="D125" i="5"/>
  <c r="B125" i="5"/>
  <c r="D124" i="5"/>
  <c r="B124" i="5"/>
  <c r="D123" i="5"/>
  <c r="B123" i="5"/>
  <c r="D122" i="5"/>
  <c r="B122" i="5"/>
  <c r="D121" i="5"/>
  <c r="B121" i="5"/>
  <c r="D120" i="5"/>
  <c r="B120" i="5"/>
  <c r="D119" i="5"/>
  <c r="B119" i="5"/>
  <c r="D118" i="5"/>
  <c r="B118" i="5"/>
  <c r="D117" i="5"/>
  <c r="B117" i="5"/>
  <c r="D116" i="5"/>
  <c r="B116" i="5"/>
  <c r="D115" i="5"/>
  <c r="B115" i="5"/>
  <c r="D114" i="5"/>
  <c r="B114" i="5"/>
  <c r="D113" i="5"/>
  <c r="B113" i="5"/>
  <c r="D112" i="5"/>
  <c r="B112" i="5"/>
  <c r="D111" i="5"/>
  <c r="B111" i="5"/>
  <c r="D110" i="5"/>
  <c r="B110" i="5"/>
  <c r="D109" i="5"/>
  <c r="B109" i="5"/>
  <c r="D108" i="5"/>
  <c r="B108" i="5"/>
  <c r="D107" i="5"/>
  <c r="B107" i="5"/>
  <c r="D106" i="5"/>
  <c r="B106" i="5"/>
  <c r="D105" i="5"/>
  <c r="B105" i="5"/>
  <c r="D104" i="5"/>
  <c r="B104" i="5"/>
  <c r="D103" i="5"/>
  <c r="B103" i="5"/>
  <c r="D102" i="5"/>
  <c r="B102" i="5"/>
  <c r="D101" i="5"/>
  <c r="B101" i="5"/>
  <c r="D100" i="5"/>
  <c r="B100" i="5"/>
  <c r="D99" i="5"/>
  <c r="B99" i="5"/>
  <c r="D98" i="5"/>
  <c r="B98" i="5"/>
  <c r="D97" i="5"/>
  <c r="B97" i="5"/>
  <c r="D96" i="5"/>
  <c r="B96" i="5"/>
  <c r="D95" i="5"/>
  <c r="B95" i="5"/>
  <c r="D94" i="5"/>
  <c r="B94" i="5"/>
  <c r="D93" i="5"/>
  <c r="B93" i="5"/>
  <c r="D92" i="5"/>
  <c r="B92" i="5"/>
  <c r="D91" i="5"/>
  <c r="B91" i="5"/>
  <c r="D90" i="5"/>
  <c r="B90" i="5"/>
  <c r="D89" i="5"/>
  <c r="B89" i="5"/>
  <c r="D88" i="5"/>
  <c r="B88" i="5"/>
  <c r="D87" i="5"/>
  <c r="B87" i="5"/>
  <c r="D86" i="5"/>
  <c r="B86" i="5"/>
  <c r="D85" i="5"/>
  <c r="B85" i="5"/>
  <c r="D84" i="5"/>
  <c r="B84" i="5"/>
  <c r="D83" i="5"/>
  <c r="B83" i="5"/>
  <c r="D82" i="5"/>
  <c r="B82" i="5"/>
  <c r="D81" i="5"/>
  <c r="B81" i="5"/>
  <c r="D80" i="5"/>
  <c r="B80" i="5"/>
  <c r="D79" i="5"/>
  <c r="B79" i="5"/>
  <c r="D78" i="5"/>
  <c r="B78" i="5"/>
  <c r="D77" i="5"/>
  <c r="B77" i="5"/>
  <c r="D76" i="5"/>
  <c r="B76" i="5"/>
  <c r="D75" i="5"/>
  <c r="B75" i="5"/>
  <c r="D74" i="5"/>
  <c r="B74" i="5"/>
  <c r="D73" i="5"/>
  <c r="B73" i="5"/>
  <c r="D72" i="5"/>
  <c r="B72" i="5"/>
  <c r="D71" i="5"/>
  <c r="B71" i="5"/>
  <c r="D70" i="5"/>
  <c r="B70" i="5"/>
  <c r="D69" i="5"/>
  <c r="B69" i="5"/>
  <c r="D68" i="5"/>
  <c r="B68" i="5"/>
  <c r="D67" i="5"/>
  <c r="B67" i="5"/>
  <c r="D66" i="5"/>
  <c r="B66" i="5"/>
  <c r="D65" i="5"/>
  <c r="B65" i="5"/>
  <c r="D64" i="5"/>
  <c r="B64" i="5"/>
  <c r="D63" i="5"/>
  <c r="B63" i="5"/>
  <c r="D62" i="5"/>
  <c r="B62" i="5"/>
  <c r="D61" i="5"/>
  <c r="B61" i="5"/>
  <c r="D60" i="5"/>
  <c r="B60" i="5"/>
  <c r="D59" i="5"/>
  <c r="B59" i="5"/>
  <c r="D58" i="5"/>
  <c r="B58" i="5"/>
  <c r="D57" i="5"/>
  <c r="B57" i="5"/>
  <c r="D56" i="5"/>
  <c r="B56" i="5"/>
  <c r="D55" i="5"/>
  <c r="B55" i="5"/>
  <c r="D54" i="5"/>
  <c r="B54" i="5"/>
  <c r="D53" i="5"/>
  <c r="B53" i="5"/>
  <c r="D52" i="5"/>
  <c r="B52" i="5"/>
  <c r="D51" i="5"/>
  <c r="B51" i="5"/>
  <c r="D50" i="5"/>
  <c r="B50" i="5"/>
  <c r="D49" i="5"/>
  <c r="B49" i="5"/>
  <c r="D48" i="5"/>
  <c r="B48" i="5"/>
  <c r="D47" i="5"/>
  <c r="B47" i="5"/>
  <c r="D46" i="5"/>
  <c r="B46" i="5"/>
  <c r="D45" i="5"/>
  <c r="B45" i="5"/>
  <c r="D44" i="5"/>
  <c r="B44" i="5"/>
  <c r="D43" i="5"/>
  <c r="B43" i="5"/>
  <c r="D42" i="5"/>
  <c r="B42" i="5"/>
  <c r="D41" i="5"/>
  <c r="B41" i="5"/>
  <c r="D40" i="5"/>
  <c r="B40" i="5"/>
  <c r="D39" i="5"/>
  <c r="B39" i="5"/>
  <c r="D38" i="5"/>
  <c r="B38" i="5"/>
  <c r="D37" i="5"/>
  <c r="D36" i="5"/>
  <c r="B36" i="5"/>
  <c r="D35" i="5"/>
  <c r="D34" i="5"/>
  <c r="D33" i="5"/>
  <c r="D32" i="5"/>
  <c r="D31" i="5"/>
  <c r="D30" i="5"/>
  <c r="B30" i="5"/>
  <c r="D29" i="5"/>
  <c r="B29" i="5"/>
  <c r="D28" i="5"/>
  <c r="B28" i="5"/>
  <c r="D27" i="5"/>
  <c r="B27" i="5"/>
  <c r="D26" i="5"/>
  <c r="B26" i="5"/>
  <c r="D25" i="5"/>
  <c r="B25" i="5"/>
  <c r="D24" i="5"/>
  <c r="B24" i="5"/>
  <c r="D23" i="5"/>
  <c r="B23" i="5"/>
  <c r="D22" i="5"/>
  <c r="B22" i="5"/>
  <c r="C22" i="5" s="1"/>
  <c r="C23" i="5" s="1"/>
  <c r="A22" i="5"/>
  <c r="P22" i="5" s="1"/>
  <c r="F22" i="5" s="1"/>
  <c r="G22" i="5" s="1"/>
  <c r="Q21" i="5"/>
  <c r="H22" i="5" s="1"/>
  <c r="H21" i="5"/>
  <c r="I21" i="5" s="1"/>
  <c r="G21" i="5"/>
  <c r="E21" i="5"/>
  <c r="C24" i="5" l="1"/>
  <c r="E22" i="5"/>
  <c r="E23" i="5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I22" i="5"/>
  <c r="L22" i="5" s="1"/>
  <c r="A23" i="5"/>
  <c r="K22" i="5" l="1"/>
  <c r="P23" i="5"/>
  <c r="F23" i="5" s="1"/>
  <c r="G23" i="5" s="1"/>
  <c r="A24" i="5"/>
  <c r="C25" i="5"/>
  <c r="C26" i="5" l="1"/>
  <c r="P24" i="5"/>
  <c r="F24" i="5" s="1"/>
  <c r="G24" i="5" s="1"/>
  <c r="A25" i="5"/>
  <c r="N22" i="5"/>
  <c r="O22" i="5" s="1"/>
  <c r="Q22" i="5" l="1"/>
  <c r="H23" i="5" s="1"/>
  <c r="I23" i="5" s="1"/>
  <c r="C27" i="5"/>
  <c r="P25" i="5"/>
  <c r="F25" i="5" s="1"/>
  <c r="G25" i="5" s="1"/>
  <c r="A26" i="5"/>
  <c r="A27" i="5" l="1"/>
  <c r="C28" i="5"/>
  <c r="K23" i="5"/>
  <c r="L23" i="5"/>
  <c r="N23" i="5" l="1"/>
  <c r="A28" i="5"/>
  <c r="C29" i="5"/>
  <c r="O23" i="5" l="1"/>
  <c r="P26" i="5"/>
  <c r="F26" i="5" s="1"/>
  <c r="G26" i="5" s="1"/>
  <c r="Q23" i="5"/>
  <c r="H24" i="5" s="1"/>
  <c r="I24" i="5" s="1"/>
  <c r="A29" i="5"/>
  <c r="C30" i="5"/>
  <c r="A30" i="5" l="1"/>
  <c r="C31" i="5"/>
  <c r="K24" i="5"/>
  <c r="L24" i="5"/>
  <c r="N24" i="5" l="1"/>
  <c r="O24" i="5" s="1"/>
  <c r="C32" i="5"/>
  <c r="A31" i="5"/>
  <c r="P27" i="5" l="1"/>
  <c r="F27" i="5" s="1"/>
  <c r="G27" i="5" s="1"/>
  <c r="A32" i="5"/>
  <c r="C33" i="5"/>
  <c r="Q24" i="5"/>
  <c r="H25" i="5" s="1"/>
  <c r="I25" i="5" s="1"/>
  <c r="L25" i="5" l="1"/>
  <c r="K25" i="5"/>
  <c r="C34" i="5"/>
  <c r="A33" i="5"/>
  <c r="A34" i="5" l="1"/>
  <c r="C35" i="5"/>
  <c r="N25" i="5"/>
  <c r="P28" i="5" l="1"/>
  <c r="F28" i="5" s="1"/>
  <c r="G28" i="5" s="1"/>
  <c r="A35" i="5"/>
  <c r="O25" i="5"/>
  <c r="C36" i="5"/>
  <c r="C37" i="5" l="1"/>
  <c r="Q25" i="5"/>
  <c r="H26" i="5" s="1"/>
  <c r="I26" i="5" s="1"/>
  <c r="A36" i="5"/>
  <c r="A37" i="5" l="1"/>
  <c r="L26" i="5"/>
  <c r="K26" i="5"/>
  <c r="C38" i="5"/>
  <c r="N26" i="5" l="1"/>
  <c r="O26" i="5" s="1"/>
  <c r="C39" i="5"/>
  <c r="A38" i="5"/>
  <c r="P29" i="5" l="1"/>
  <c r="F29" i="5" s="1"/>
  <c r="G29" i="5" s="1"/>
  <c r="A39" i="5"/>
  <c r="C40" i="5"/>
  <c r="Q26" i="5"/>
  <c r="H27" i="5" s="1"/>
  <c r="I27" i="5" s="1"/>
  <c r="L27" i="5" l="1"/>
  <c r="K27" i="5"/>
  <c r="C41" i="5"/>
  <c r="A40" i="5"/>
  <c r="A41" i="5" l="1"/>
  <c r="N27" i="5"/>
  <c r="C42" i="5"/>
  <c r="P30" i="5" l="1"/>
  <c r="F30" i="5" s="1"/>
  <c r="G30" i="5" s="1"/>
  <c r="C43" i="5"/>
  <c r="O27" i="5"/>
  <c r="A42" i="5"/>
  <c r="A43" i="5" l="1"/>
  <c r="Q27" i="5"/>
  <c r="H28" i="5" s="1"/>
  <c r="I28" i="5" s="1"/>
  <c r="C44" i="5"/>
  <c r="C45" i="5" l="1"/>
  <c r="L28" i="5"/>
  <c r="K28" i="5"/>
  <c r="A44" i="5"/>
  <c r="A45" i="5" l="1"/>
  <c r="N28" i="5"/>
  <c r="C46" i="5"/>
  <c r="P31" i="5" l="1"/>
  <c r="F31" i="5" s="1"/>
  <c r="G31" i="5" s="1"/>
  <c r="C47" i="5"/>
  <c r="O28" i="5"/>
  <c r="A46" i="5"/>
  <c r="A47" i="5" l="1"/>
  <c r="Q28" i="5"/>
  <c r="H29" i="5" s="1"/>
  <c r="I29" i="5" s="1"/>
  <c r="C48" i="5"/>
  <c r="C49" i="5" l="1"/>
  <c r="K29" i="5"/>
  <c r="L29" i="5"/>
  <c r="A48" i="5"/>
  <c r="A49" i="5" l="1"/>
  <c r="N29" i="5"/>
  <c r="C50" i="5"/>
  <c r="P32" i="5" l="1"/>
  <c r="F32" i="5" s="1"/>
  <c r="G32" i="5" s="1"/>
  <c r="C51" i="5"/>
  <c r="O29" i="5"/>
  <c r="A50" i="5"/>
  <c r="Q29" i="5" l="1"/>
  <c r="H30" i="5" s="1"/>
  <c r="I30" i="5" s="1"/>
  <c r="A51" i="5"/>
  <c r="C52" i="5"/>
  <c r="C53" i="5" l="1"/>
  <c r="A52" i="5"/>
  <c r="L30" i="5"/>
  <c r="K30" i="5"/>
  <c r="N30" i="5" l="1"/>
  <c r="A53" i="5"/>
  <c r="C54" i="5"/>
  <c r="P33" i="5" l="1"/>
  <c r="F33" i="5" s="1"/>
  <c r="G33" i="5" s="1"/>
  <c r="C55" i="5"/>
  <c r="A54" i="5"/>
  <c r="O30" i="5"/>
  <c r="C56" i="5" l="1"/>
  <c r="Q30" i="5"/>
  <c r="H31" i="5" s="1"/>
  <c r="I31" i="5" s="1"/>
  <c r="A55" i="5"/>
  <c r="C57" i="5" l="1"/>
  <c r="A56" i="5"/>
  <c r="L31" i="5"/>
  <c r="K31" i="5"/>
  <c r="A57" i="5" l="1"/>
  <c r="C58" i="5"/>
  <c r="N31" i="5"/>
  <c r="P34" i="5" l="1"/>
  <c r="F34" i="5" s="1"/>
  <c r="G34" i="5" s="1"/>
  <c r="O31" i="5"/>
  <c r="C59" i="5"/>
  <c r="A58" i="5"/>
  <c r="A59" i="5" l="1"/>
  <c r="C60" i="5"/>
  <c r="C61" i="5" l="1"/>
  <c r="A60" i="5"/>
  <c r="A61" i="5" l="1"/>
  <c r="C62" i="5"/>
  <c r="A62" i="5" l="1"/>
  <c r="C63" i="5"/>
  <c r="C64" i="5" l="1"/>
  <c r="A63" i="5"/>
  <c r="A64" i="5" l="1"/>
  <c r="C65" i="5"/>
  <c r="C66" i="5" l="1"/>
  <c r="A65" i="5"/>
  <c r="A66" i="5" l="1"/>
  <c r="C67" i="5"/>
  <c r="C68" i="5" l="1"/>
  <c r="A67" i="5"/>
  <c r="A68" i="5" l="1"/>
  <c r="C69" i="5"/>
  <c r="C70" i="5" l="1"/>
  <c r="A69" i="5"/>
  <c r="C71" i="5" l="1"/>
  <c r="A70" i="5"/>
  <c r="A71" i="5" l="1"/>
  <c r="C72" i="5"/>
  <c r="C73" i="5" l="1"/>
  <c r="A72" i="5"/>
  <c r="A73" i="5" l="1"/>
  <c r="C74" i="5"/>
  <c r="C75" i="5" l="1"/>
  <c r="A74" i="5"/>
  <c r="A75" i="5" l="1"/>
  <c r="C76" i="5"/>
  <c r="C77" i="5" l="1"/>
  <c r="A76" i="5"/>
  <c r="A77" i="5" l="1"/>
  <c r="C78" i="5"/>
  <c r="C79" i="5" l="1"/>
  <c r="A78" i="5"/>
  <c r="A79" i="5" l="1"/>
  <c r="C80" i="5"/>
  <c r="C81" i="5" l="1"/>
  <c r="A80" i="5"/>
  <c r="A81" i="5" l="1"/>
  <c r="C82" i="5"/>
  <c r="C83" i="5" l="1"/>
  <c r="A82" i="5"/>
  <c r="A83" i="5" l="1"/>
  <c r="C84" i="5"/>
  <c r="C85" i="5" l="1"/>
  <c r="A84" i="5"/>
  <c r="A85" i="5" l="1"/>
  <c r="C86" i="5"/>
  <c r="C87" i="5" l="1"/>
  <c r="A86" i="5"/>
  <c r="A87" i="5" l="1"/>
  <c r="C88" i="5"/>
  <c r="C89" i="5" l="1"/>
  <c r="A88" i="5"/>
  <c r="A89" i="5" l="1"/>
  <c r="C90" i="5"/>
  <c r="C91" i="5" l="1"/>
  <c r="A90" i="5"/>
  <c r="A91" i="5" l="1"/>
  <c r="C92" i="5"/>
  <c r="C93" i="5" l="1"/>
  <c r="A92" i="5"/>
  <c r="A93" i="5" l="1"/>
  <c r="C94" i="5"/>
  <c r="C95" i="5" l="1"/>
  <c r="A94" i="5"/>
  <c r="A95" i="5" l="1"/>
  <c r="C96" i="5"/>
  <c r="C97" i="5" l="1"/>
  <c r="A96" i="5"/>
  <c r="A97" i="5" l="1"/>
  <c r="C98" i="5"/>
  <c r="C99" i="5" l="1"/>
  <c r="A98" i="5"/>
  <c r="A99" i="5" l="1"/>
  <c r="C100" i="5"/>
  <c r="C101" i="5" l="1"/>
  <c r="A100" i="5"/>
  <c r="A101" i="5" l="1"/>
  <c r="C102" i="5"/>
  <c r="C103" i="5" l="1"/>
  <c r="A102" i="5"/>
  <c r="A103" i="5" l="1"/>
  <c r="C104" i="5"/>
  <c r="C105" i="5" l="1"/>
  <c r="A104" i="5"/>
  <c r="A105" i="5" l="1"/>
  <c r="C106" i="5"/>
  <c r="C107" i="5" l="1"/>
  <c r="A106" i="5"/>
  <c r="A107" i="5" l="1"/>
  <c r="C108" i="5"/>
  <c r="C109" i="5" l="1"/>
  <c r="A108" i="5"/>
  <c r="A109" i="5" l="1"/>
  <c r="C110" i="5"/>
  <c r="C111" i="5" l="1"/>
  <c r="A110" i="5"/>
  <c r="A111" i="5" l="1"/>
  <c r="C112" i="5"/>
  <c r="C113" i="5" l="1"/>
  <c r="R22" i="5"/>
  <c r="A112" i="5"/>
  <c r="A113" i="5" l="1"/>
  <c r="C114" i="5"/>
  <c r="R23" i="5"/>
  <c r="C115" i="5" l="1"/>
  <c r="R24" i="5"/>
  <c r="A114" i="5"/>
  <c r="A115" i="5" l="1"/>
  <c r="C116" i="5"/>
  <c r="R25" i="5"/>
  <c r="C117" i="5" l="1"/>
  <c r="R26" i="5"/>
  <c r="A116" i="5"/>
  <c r="A117" i="5" l="1"/>
  <c r="C118" i="5"/>
  <c r="R27" i="5"/>
  <c r="C119" i="5" l="1"/>
  <c r="R28" i="5"/>
  <c r="A118" i="5"/>
  <c r="A119" i="5" l="1"/>
  <c r="C120" i="5"/>
  <c r="R29" i="5"/>
  <c r="C121" i="5" l="1"/>
  <c r="R30" i="5"/>
  <c r="A120" i="5"/>
  <c r="A121" i="5" l="1"/>
  <c r="C122" i="5"/>
  <c r="R31" i="5"/>
  <c r="Q31" i="5" s="1"/>
  <c r="H32" i="5" s="1"/>
  <c r="I32" i="5" s="1"/>
  <c r="L32" i="5" l="1"/>
  <c r="K32" i="5"/>
  <c r="C123" i="5"/>
  <c r="A122" i="5"/>
  <c r="C124" i="5" l="1"/>
  <c r="N32" i="5"/>
  <c r="A123" i="5"/>
  <c r="P35" i="5" l="1"/>
  <c r="F35" i="5" s="1"/>
  <c r="G35" i="5" s="1"/>
  <c r="A124" i="5"/>
  <c r="O32" i="5"/>
  <c r="C125" i="5"/>
  <c r="C126" i="5" l="1"/>
  <c r="R32" i="5"/>
  <c r="Q32" i="5" s="1"/>
  <c r="H33" i="5" s="1"/>
  <c r="I33" i="5" s="1"/>
  <c r="A125" i="5"/>
  <c r="A126" i="5" l="1"/>
  <c r="K33" i="5"/>
  <c r="L33" i="5"/>
  <c r="C127" i="5"/>
  <c r="N33" i="5" l="1"/>
  <c r="A127" i="5"/>
  <c r="C128" i="5"/>
  <c r="P36" i="5" l="1"/>
  <c r="F36" i="5" s="1"/>
  <c r="G36" i="5" s="1"/>
  <c r="C129" i="5"/>
  <c r="A128" i="5"/>
  <c r="O33" i="5"/>
  <c r="R33" i="5" l="1"/>
  <c r="Q33" i="5" s="1"/>
  <c r="H34" i="5" s="1"/>
  <c r="I34" i="5" s="1"/>
  <c r="A129" i="5"/>
  <c r="C130" i="5"/>
  <c r="C131" i="5" l="1"/>
  <c r="A130" i="5"/>
  <c r="L34" i="5"/>
  <c r="K34" i="5"/>
  <c r="N34" i="5" l="1"/>
  <c r="A131" i="5"/>
  <c r="C132" i="5"/>
  <c r="P37" i="5" l="1"/>
  <c r="F37" i="5" s="1"/>
  <c r="G37" i="5" s="1"/>
  <c r="C133" i="5"/>
  <c r="A132" i="5"/>
  <c r="O34" i="5"/>
  <c r="R34" i="5" l="1"/>
  <c r="Q34" i="5" s="1"/>
  <c r="H35" i="5" s="1"/>
  <c r="I35" i="5" s="1"/>
  <c r="A133" i="5"/>
  <c r="C134" i="5"/>
  <c r="C135" i="5" l="1"/>
  <c r="A134" i="5"/>
  <c r="L35" i="5"/>
  <c r="K35" i="5"/>
  <c r="N35" i="5" l="1"/>
  <c r="O35" i="5"/>
  <c r="A135" i="5"/>
  <c r="C136" i="5"/>
  <c r="P38" i="5" l="1"/>
  <c r="F38" i="5" s="1"/>
  <c r="G38" i="5" s="1"/>
  <c r="C137" i="5"/>
  <c r="A136" i="5"/>
  <c r="R35" i="5"/>
  <c r="Q35" i="5" s="1"/>
  <c r="H36" i="5" s="1"/>
  <c r="I36" i="5" s="1"/>
  <c r="K36" i="5" l="1"/>
  <c r="L36" i="5"/>
  <c r="A137" i="5"/>
  <c r="C138" i="5"/>
  <c r="C139" i="5" l="1"/>
  <c r="A138" i="5"/>
  <c r="N36" i="5"/>
  <c r="P39" i="5" l="1"/>
  <c r="F39" i="5" s="1"/>
  <c r="G39" i="5" s="1"/>
  <c r="O36" i="5"/>
  <c r="A139" i="5"/>
  <c r="C140" i="5"/>
  <c r="C141" i="5" l="1"/>
  <c r="A140" i="5"/>
  <c r="Q36" i="5"/>
  <c r="H37" i="5" s="1"/>
  <c r="I37" i="5" s="1"/>
  <c r="R36" i="5"/>
  <c r="K37" i="5" l="1"/>
  <c r="L37" i="5"/>
  <c r="A141" i="5"/>
  <c r="C142" i="5"/>
  <c r="C143" i="5" l="1"/>
  <c r="A142" i="5"/>
  <c r="N37" i="5"/>
  <c r="P40" i="5" l="1"/>
  <c r="F40" i="5" s="1"/>
  <c r="G40" i="5" s="1"/>
  <c r="O37" i="5"/>
  <c r="A143" i="5"/>
  <c r="C144" i="5"/>
  <c r="C145" i="5" l="1"/>
  <c r="A144" i="5"/>
  <c r="Q37" i="5"/>
  <c r="H38" i="5" s="1"/>
  <c r="I38" i="5" s="1"/>
  <c r="R37" i="5"/>
  <c r="K38" i="5" l="1"/>
  <c r="L38" i="5"/>
  <c r="A145" i="5"/>
  <c r="C146" i="5"/>
  <c r="C147" i="5" l="1"/>
  <c r="A146" i="5"/>
  <c r="N38" i="5"/>
  <c r="P41" i="5" l="1"/>
  <c r="F41" i="5" s="1"/>
  <c r="G41" i="5" s="1"/>
  <c r="O38" i="5"/>
  <c r="A147" i="5"/>
  <c r="C148" i="5"/>
  <c r="C149" i="5" l="1"/>
  <c r="A148" i="5"/>
  <c r="Q38" i="5"/>
  <c r="H39" i="5" s="1"/>
  <c r="I39" i="5" s="1"/>
  <c r="R38" i="5"/>
  <c r="K39" i="5" l="1"/>
  <c r="L39" i="5"/>
  <c r="A149" i="5"/>
  <c r="C150" i="5"/>
  <c r="C151" i="5" l="1"/>
  <c r="A150" i="5"/>
  <c r="N39" i="5"/>
  <c r="P42" i="5" l="1"/>
  <c r="F42" i="5" s="1"/>
  <c r="G42" i="5" s="1"/>
  <c r="O39" i="5"/>
  <c r="A151" i="5"/>
  <c r="C152" i="5"/>
  <c r="C153" i="5" l="1"/>
  <c r="A152" i="5"/>
  <c r="Q39" i="5"/>
  <c r="H40" i="5" s="1"/>
  <c r="I40" i="5" s="1"/>
  <c r="R39" i="5"/>
  <c r="K40" i="5" l="1"/>
  <c r="L40" i="5"/>
  <c r="A153" i="5"/>
  <c r="C154" i="5"/>
  <c r="C155" i="5" l="1"/>
  <c r="A154" i="5"/>
  <c r="N40" i="5"/>
  <c r="P43" i="5" l="1"/>
  <c r="F43" i="5" s="1"/>
  <c r="G43" i="5" s="1"/>
  <c r="O40" i="5"/>
  <c r="A155" i="5"/>
  <c r="C156" i="5"/>
  <c r="C157" i="5" l="1"/>
  <c r="A156" i="5"/>
  <c r="Q40" i="5"/>
  <c r="H41" i="5" s="1"/>
  <c r="I41" i="5" s="1"/>
  <c r="R40" i="5"/>
  <c r="L41" i="5" l="1"/>
  <c r="K41" i="5"/>
  <c r="A157" i="5"/>
  <c r="C158" i="5"/>
  <c r="N41" i="5" l="1"/>
  <c r="C159" i="5"/>
  <c r="A158" i="5"/>
  <c r="P44" i="5" l="1"/>
  <c r="F44" i="5" s="1"/>
  <c r="G44" i="5" s="1"/>
  <c r="O41" i="5"/>
  <c r="Q41" i="5" s="1"/>
  <c r="H42" i="5" s="1"/>
  <c r="I42" i="5" s="1"/>
  <c r="A159" i="5"/>
  <c r="C160" i="5"/>
  <c r="R41" i="5" l="1"/>
  <c r="C161" i="5"/>
  <c r="K42" i="5"/>
  <c r="L42" i="5"/>
  <c r="A160" i="5"/>
  <c r="A161" i="5" l="1"/>
  <c r="N42" i="5"/>
  <c r="C162" i="5"/>
  <c r="P45" i="5" l="1"/>
  <c r="F45" i="5" s="1"/>
  <c r="G45" i="5" s="1"/>
  <c r="C163" i="5"/>
  <c r="O42" i="5"/>
  <c r="A162" i="5"/>
  <c r="A163" i="5" l="1"/>
  <c r="Q42" i="5"/>
  <c r="H43" i="5" s="1"/>
  <c r="I43" i="5" s="1"/>
  <c r="R42" i="5"/>
  <c r="C164" i="5"/>
  <c r="L43" i="5" l="1"/>
  <c r="K43" i="5"/>
  <c r="C165" i="5"/>
  <c r="A164" i="5"/>
  <c r="N43" i="5" l="1"/>
  <c r="A165" i="5"/>
  <c r="C166" i="5"/>
  <c r="P46" i="5" l="1"/>
  <c r="F46" i="5" s="1"/>
  <c r="G46" i="5" s="1"/>
  <c r="C167" i="5"/>
  <c r="A166" i="5"/>
  <c r="O43" i="5"/>
  <c r="Q43" i="5" l="1"/>
  <c r="H44" i="5" s="1"/>
  <c r="I44" i="5" s="1"/>
  <c r="R43" i="5"/>
  <c r="A167" i="5"/>
  <c r="C168" i="5"/>
  <c r="C169" i="5" l="1"/>
  <c r="A168" i="5"/>
  <c r="L44" i="5"/>
  <c r="K44" i="5"/>
  <c r="N44" i="5" l="1"/>
  <c r="A169" i="5"/>
  <c r="C170" i="5"/>
  <c r="P47" i="5" l="1"/>
  <c r="F47" i="5" s="1"/>
  <c r="G47" i="5" s="1"/>
  <c r="O44" i="5"/>
  <c r="Q44" i="5" s="1"/>
  <c r="H45" i="5" s="1"/>
  <c r="I45" i="5" s="1"/>
  <c r="C171" i="5"/>
  <c r="A170" i="5"/>
  <c r="R44" i="5" l="1"/>
  <c r="L45" i="5"/>
  <c r="K45" i="5"/>
  <c r="A171" i="5"/>
  <c r="C172" i="5"/>
  <c r="A172" i="5" l="1"/>
  <c r="C173" i="5"/>
  <c r="N45" i="5"/>
  <c r="P48" i="5" l="1"/>
  <c r="F48" i="5" s="1"/>
  <c r="G48" i="5" s="1"/>
  <c r="C174" i="5"/>
  <c r="A173" i="5"/>
  <c r="O45" i="5"/>
  <c r="Q45" i="5" l="1"/>
  <c r="H46" i="5" s="1"/>
  <c r="I46" i="5" s="1"/>
  <c r="R45" i="5"/>
  <c r="A174" i="5"/>
  <c r="C175" i="5"/>
  <c r="C176" i="5" l="1"/>
  <c r="A175" i="5"/>
  <c r="L46" i="5"/>
  <c r="K46" i="5"/>
  <c r="N46" i="5" l="1"/>
  <c r="O46" i="5"/>
  <c r="C177" i="5"/>
  <c r="A176" i="5"/>
  <c r="P49" i="5" l="1"/>
  <c r="F49" i="5" s="1"/>
  <c r="G49" i="5" s="1"/>
  <c r="A177" i="5"/>
  <c r="C178" i="5"/>
  <c r="Q46" i="5"/>
  <c r="H47" i="5" s="1"/>
  <c r="I47" i="5" s="1"/>
  <c r="R46" i="5"/>
  <c r="C179" i="5" l="1"/>
  <c r="L47" i="5"/>
  <c r="K47" i="5"/>
  <c r="A178" i="5"/>
  <c r="A179" i="5" l="1"/>
  <c r="N47" i="5"/>
  <c r="C180" i="5"/>
  <c r="P50" i="5" l="1"/>
  <c r="F50" i="5" s="1"/>
  <c r="G50" i="5" s="1"/>
  <c r="C181" i="5"/>
  <c r="O47" i="5"/>
  <c r="A180" i="5"/>
  <c r="A181" i="5" l="1"/>
  <c r="Q47" i="5"/>
  <c r="H48" i="5" s="1"/>
  <c r="I48" i="5" s="1"/>
  <c r="R47" i="5"/>
  <c r="C182" i="5"/>
  <c r="C183" i="5" l="1"/>
  <c r="K48" i="5"/>
  <c r="L48" i="5"/>
  <c r="A182" i="5"/>
  <c r="A183" i="5" l="1"/>
  <c r="N48" i="5"/>
  <c r="C184" i="5"/>
  <c r="P51" i="5" l="1"/>
  <c r="F51" i="5" s="1"/>
  <c r="G51" i="5" s="1"/>
  <c r="C185" i="5"/>
  <c r="O48" i="5"/>
  <c r="A184" i="5"/>
  <c r="A185" i="5" l="1"/>
  <c r="Q48" i="5"/>
  <c r="H49" i="5" s="1"/>
  <c r="I49" i="5" s="1"/>
  <c r="R48" i="5"/>
  <c r="C186" i="5"/>
  <c r="C187" i="5" l="1"/>
  <c r="A186" i="5"/>
  <c r="L49" i="5"/>
  <c r="K49" i="5"/>
  <c r="N49" i="5" l="1"/>
  <c r="O49" i="5"/>
  <c r="A187" i="5"/>
  <c r="C188" i="5"/>
  <c r="P52" i="5" l="1"/>
  <c r="F52" i="5" s="1"/>
  <c r="G52" i="5" s="1"/>
  <c r="C189" i="5"/>
  <c r="A188" i="5"/>
  <c r="Q49" i="5"/>
  <c r="H50" i="5" s="1"/>
  <c r="I50" i="5" s="1"/>
  <c r="R49" i="5"/>
  <c r="K50" i="5" l="1"/>
  <c r="L50" i="5"/>
  <c r="A189" i="5"/>
  <c r="C190" i="5"/>
  <c r="C191" i="5" l="1"/>
  <c r="A190" i="5"/>
  <c r="N50" i="5"/>
  <c r="P53" i="5" l="1"/>
  <c r="F53" i="5" s="1"/>
  <c r="G53" i="5" s="1"/>
  <c r="O50" i="5"/>
  <c r="A191" i="5"/>
  <c r="C192" i="5"/>
  <c r="C193" i="5" l="1"/>
  <c r="A192" i="5"/>
  <c r="Q50" i="5"/>
  <c r="H51" i="5" s="1"/>
  <c r="I51" i="5" s="1"/>
  <c r="R50" i="5"/>
  <c r="L51" i="5" l="1"/>
  <c r="K51" i="5"/>
  <c r="A193" i="5"/>
  <c r="C194" i="5"/>
  <c r="C195" i="5" l="1"/>
  <c r="A194" i="5"/>
  <c r="N51" i="5"/>
  <c r="P54" i="5" l="1"/>
  <c r="F54" i="5" s="1"/>
  <c r="G54" i="5" s="1"/>
  <c r="A195" i="5"/>
  <c r="C196" i="5"/>
  <c r="O51" i="5"/>
  <c r="Q51" i="5" l="1"/>
  <c r="H52" i="5" s="1"/>
  <c r="I52" i="5" s="1"/>
  <c r="R51" i="5"/>
  <c r="A196" i="5"/>
  <c r="C197" i="5"/>
  <c r="A197" i="5" l="1"/>
  <c r="C198" i="5"/>
  <c r="L52" i="5"/>
  <c r="K52" i="5"/>
  <c r="A198" i="5" l="1"/>
  <c r="N52" i="5"/>
  <c r="O52" i="5"/>
  <c r="C199" i="5"/>
  <c r="P55" i="5" l="1"/>
  <c r="F55" i="5" s="1"/>
  <c r="G55" i="5" s="1"/>
  <c r="C200" i="5"/>
  <c r="Q52" i="5"/>
  <c r="H53" i="5" s="1"/>
  <c r="I53" i="5" s="1"/>
  <c r="R52" i="5"/>
  <c r="A199" i="5"/>
  <c r="A200" i="5" l="1"/>
  <c r="L53" i="5"/>
  <c r="K53" i="5"/>
  <c r="C201" i="5"/>
  <c r="N53" i="5" l="1"/>
  <c r="A201" i="5"/>
  <c r="C202" i="5"/>
  <c r="P56" i="5" l="1"/>
  <c r="F56" i="5" s="1"/>
  <c r="G56" i="5" s="1"/>
  <c r="C203" i="5"/>
  <c r="A202" i="5"/>
  <c r="O53" i="5"/>
  <c r="Q53" i="5" l="1"/>
  <c r="H54" i="5" s="1"/>
  <c r="I54" i="5" s="1"/>
  <c r="R53" i="5"/>
  <c r="A203" i="5"/>
  <c r="C204" i="5"/>
  <c r="A204" i="5" l="1"/>
  <c r="C205" i="5"/>
  <c r="L54" i="5"/>
  <c r="K54" i="5"/>
  <c r="A205" i="5" l="1"/>
  <c r="N54" i="5"/>
  <c r="C206" i="5"/>
  <c r="P57" i="5" l="1"/>
  <c r="F57" i="5" s="1"/>
  <c r="G57" i="5" s="1"/>
  <c r="A206" i="5"/>
  <c r="C207" i="5"/>
  <c r="O54" i="5"/>
  <c r="C208" i="5" l="1"/>
  <c r="Q54" i="5"/>
  <c r="H55" i="5" s="1"/>
  <c r="I55" i="5" s="1"/>
  <c r="R54" i="5"/>
  <c r="A207" i="5"/>
  <c r="A208" i="5" l="1"/>
  <c r="K55" i="5"/>
  <c r="L55" i="5"/>
  <c r="C209" i="5"/>
  <c r="C210" i="5" l="1"/>
  <c r="N55" i="5"/>
  <c r="O55" i="5"/>
  <c r="A209" i="5"/>
  <c r="P58" i="5" l="1"/>
  <c r="F58" i="5" s="1"/>
  <c r="G58" i="5" s="1"/>
  <c r="Q55" i="5"/>
  <c r="H56" i="5" s="1"/>
  <c r="I56" i="5" s="1"/>
  <c r="R55" i="5"/>
  <c r="A210" i="5"/>
  <c r="C211" i="5"/>
  <c r="A211" i="5" l="1"/>
  <c r="K56" i="5"/>
  <c r="L56" i="5"/>
  <c r="N56" i="5" l="1"/>
  <c r="P59" i="5" l="1"/>
  <c r="F59" i="5" s="1"/>
  <c r="G59" i="5" s="1"/>
  <c r="O56" i="5"/>
  <c r="Q56" i="5" l="1"/>
  <c r="H57" i="5" s="1"/>
  <c r="I57" i="5" s="1"/>
  <c r="R56" i="5"/>
  <c r="K57" i="5" l="1"/>
  <c r="L57" i="5"/>
  <c r="N57" i="5" l="1"/>
  <c r="P60" i="5" l="1"/>
  <c r="F60" i="5" s="1"/>
  <c r="G60" i="5" s="1"/>
  <c r="O57" i="5"/>
  <c r="Q57" i="5" l="1"/>
  <c r="H58" i="5" s="1"/>
  <c r="I58" i="5" s="1"/>
  <c r="R57" i="5"/>
  <c r="L58" i="5" l="1"/>
  <c r="K58" i="5"/>
  <c r="N58" i="5" l="1"/>
  <c r="P61" i="5" l="1"/>
  <c r="F61" i="5" s="1"/>
  <c r="G61" i="5" s="1"/>
  <c r="O58" i="5"/>
  <c r="Q58" i="5" l="1"/>
  <c r="H59" i="5" s="1"/>
  <c r="I59" i="5" s="1"/>
  <c r="R58" i="5"/>
  <c r="L59" i="5" l="1"/>
  <c r="K59" i="5"/>
  <c r="N59" i="5" l="1"/>
  <c r="O59" i="5"/>
  <c r="P62" i="5" l="1"/>
  <c r="F62" i="5" s="1"/>
  <c r="G62" i="5" s="1"/>
  <c r="Q59" i="5"/>
  <c r="H60" i="5" s="1"/>
  <c r="I60" i="5" s="1"/>
  <c r="R59" i="5"/>
  <c r="K60" i="5" l="1"/>
  <c r="L60" i="5"/>
  <c r="N60" i="5" l="1"/>
  <c r="P63" i="5" l="1"/>
  <c r="F63" i="5" s="1"/>
  <c r="G63" i="5" s="1"/>
  <c r="O60" i="5"/>
  <c r="Q60" i="5" l="1"/>
  <c r="H61" i="5" s="1"/>
  <c r="I61" i="5" s="1"/>
  <c r="R60" i="5"/>
  <c r="L61" i="5" l="1"/>
  <c r="K61" i="5"/>
  <c r="N61" i="5" l="1"/>
  <c r="P64" i="5" l="1"/>
  <c r="F64" i="5" s="1"/>
  <c r="G64" i="5" s="1"/>
  <c r="O61" i="5"/>
  <c r="Q61" i="5" l="1"/>
  <c r="H62" i="5" s="1"/>
  <c r="I62" i="5" s="1"/>
  <c r="R61" i="5"/>
  <c r="K62" i="5" l="1"/>
  <c r="L62" i="5"/>
  <c r="N62" i="5" l="1"/>
  <c r="P65" i="5" l="1"/>
  <c r="F65" i="5" s="1"/>
  <c r="G65" i="5" s="1"/>
  <c r="O62" i="5"/>
  <c r="Q62" i="5" l="1"/>
  <c r="H63" i="5" s="1"/>
  <c r="I63" i="5" s="1"/>
  <c r="R62" i="5"/>
  <c r="L63" i="5" l="1"/>
  <c r="K63" i="5"/>
  <c r="N63" i="5" l="1"/>
  <c r="P66" i="5" l="1"/>
  <c r="F66" i="5" s="1"/>
  <c r="G66" i="5" s="1"/>
  <c r="O63" i="5"/>
  <c r="Q63" i="5" l="1"/>
  <c r="H64" i="5" s="1"/>
  <c r="I64" i="5" s="1"/>
  <c r="R63" i="5"/>
  <c r="L64" i="5" l="1"/>
  <c r="K64" i="5"/>
  <c r="N64" i="5" l="1"/>
  <c r="P67" i="5" l="1"/>
  <c r="F67" i="5" s="1"/>
  <c r="G67" i="5" s="1"/>
  <c r="O64" i="5"/>
  <c r="Q64" i="5"/>
  <c r="H65" i="5" s="1"/>
  <c r="I65" i="5" s="1"/>
  <c r="R64" i="5"/>
  <c r="K65" i="5" l="1"/>
  <c r="L65" i="5"/>
  <c r="N65" i="5" l="1"/>
  <c r="O65" i="5" s="1"/>
  <c r="P68" i="5" l="1"/>
  <c r="F68" i="5" s="1"/>
  <c r="G68" i="5" s="1"/>
  <c r="Q65" i="5"/>
  <c r="H66" i="5" s="1"/>
  <c r="I66" i="5" s="1"/>
  <c r="R65" i="5"/>
  <c r="K66" i="5" l="1"/>
  <c r="L66" i="5"/>
  <c r="N66" i="5" l="1"/>
  <c r="P69" i="5" l="1"/>
  <c r="F69" i="5" s="1"/>
  <c r="G69" i="5" s="1"/>
  <c r="O66" i="5"/>
  <c r="Q66" i="5"/>
  <c r="H67" i="5" s="1"/>
  <c r="I67" i="5" s="1"/>
  <c r="R66" i="5"/>
  <c r="L67" i="5" l="1"/>
  <c r="K67" i="5"/>
  <c r="N67" i="5" l="1"/>
  <c r="O67" i="5" s="1"/>
  <c r="P70" i="5" l="1"/>
  <c r="F70" i="5" s="1"/>
  <c r="G70" i="5" s="1"/>
  <c r="Q67" i="5"/>
  <c r="H68" i="5" s="1"/>
  <c r="I68" i="5" s="1"/>
  <c r="R67" i="5"/>
  <c r="K68" i="5" l="1"/>
  <c r="L68" i="5"/>
  <c r="N68" i="5" l="1"/>
  <c r="P71" i="5" l="1"/>
  <c r="F71" i="5" s="1"/>
  <c r="G71" i="5" s="1"/>
  <c r="O68" i="5"/>
  <c r="Q68" i="5" l="1"/>
  <c r="H69" i="5" s="1"/>
  <c r="I69" i="5" s="1"/>
  <c r="R68" i="5"/>
  <c r="L69" i="5" l="1"/>
  <c r="K69" i="5"/>
  <c r="N69" i="5" l="1"/>
  <c r="P72" i="5" l="1"/>
  <c r="F72" i="5" s="1"/>
  <c r="G72" i="5" s="1"/>
  <c r="O69" i="5"/>
  <c r="Q69" i="5" l="1"/>
  <c r="H70" i="5" s="1"/>
  <c r="I70" i="5" s="1"/>
  <c r="R69" i="5"/>
  <c r="L70" i="5" l="1"/>
  <c r="K70" i="5"/>
  <c r="N70" i="5" l="1"/>
  <c r="O70" i="5"/>
  <c r="P73" i="5" l="1"/>
  <c r="F73" i="5" s="1"/>
  <c r="G73" i="5" s="1"/>
  <c r="Q70" i="5"/>
  <c r="H71" i="5" s="1"/>
  <c r="I71" i="5" s="1"/>
  <c r="R70" i="5"/>
  <c r="L71" i="5" l="1"/>
  <c r="K71" i="5"/>
  <c r="N71" i="5" l="1"/>
  <c r="O71" i="5"/>
  <c r="P74" i="5" l="1"/>
  <c r="F74" i="5" s="1"/>
  <c r="G74" i="5" s="1"/>
  <c r="Q71" i="5"/>
  <c r="H72" i="5" s="1"/>
  <c r="I72" i="5" s="1"/>
  <c r="R71" i="5"/>
  <c r="L72" i="5" l="1"/>
  <c r="K72" i="5"/>
  <c r="N72" i="5" l="1"/>
  <c r="P75" i="5" l="1"/>
  <c r="F75" i="5" s="1"/>
  <c r="G75" i="5" s="1"/>
  <c r="O72" i="5"/>
  <c r="Q72" i="5" l="1"/>
  <c r="H73" i="5" s="1"/>
  <c r="I73" i="5" s="1"/>
  <c r="R72" i="5"/>
  <c r="L73" i="5" l="1"/>
  <c r="K73" i="5"/>
  <c r="N73" i="5" l="1"/>
  <c r="O73" i="5" s="1"/>
  <c r="P76" i="5" l="1"/>
  <c r="F76" i="5" s="1"/>
  <c r="G76" i="5" s="1"/>
  <c r="Q73" i="5"/>
  <c r="H74" i="5" s="1"/>
  <c r="I74" i="5" s="1"/>
  <c r="R73" i="5"/>
  <c r="L74" i="5" l="1"/>
  <c r="K74" i="5"/>
  <c r="N74" i="5" l="1"/>
  <c r="P77" i="5" l="1"/>
  <c r="F77" i="5" s="1"/>
  <c r="G77" i="5" s="1"/>
  <c r="O74" i="5"/>
  <c r="Q74" i="5" l="1"/>
  <c r="H75" i="5" s="1"/>
  <c r="I75" i="5" s="1"/>
  <c r="R74" i="5"/>
  <c r="K75" i="5" l="1"/>
  <c r="L75" i="5"/>
  <c r="N75" i="5" l="1"/>
  <c r="P78" i="5" l="1"/>
  <c r="F78" i="5" s="1"/>
  <c r="G78" i="5" s="1"/>
  <c r="O75" i="5"/>
  <c r="Q75" i="5" l="1"/>
  <c r="H76" i="5" s="1"/>
  <c r="I76" i="5" s="1"/>
  <c r="R75" i="5"/>
  <c r="L76" i="5" l="1"/>
  <c r="K76" i="5"/>
  <c r="N76" i="5" l="1"/>
  <c r="P79" i="5" l="1"/>
  <c r="F79" i="5" s="1"/>
  <c r="G79" i="5" s="1"/>
  <c r="O76" i="5"/>
  <c r="Q76" i="5" l="1"/>
  <c r="H77" i="5" s="1"/>
  <c r="I77" i="5" s="1"/>
  <c r="R76" i="5"/>
  <c r="L77" i="5" l="1"/>
  <c r="K77" i="5"/>
  <c r="N77" i="5" l="1"/>
  <c r="P80" i="5" l="1"/>
  <c r="F80" i="5" s="1"/>
  <c r="G80" i="5" s="1"/>
  <c r="O77" i="5"/>
  <c r="Q77" i="5" s="1"/>
  <c r="H78" i="5" s="1"/>
  <c r="I78" i="5" s="1"/>
  <c r="R77" i="5"/>
  <c r="L78" i="5" l="1"/>
  <c r="K78" i="5"/>
  <c r="N78" i="5" l="1"/>
  <c r="P81" i="5" l="1"/>
  <c r="F81" i="5" s="1"/>
  <c r="G81" i="5" s="1"/>
  <c r="O78" i="5"/>
  <c r="Q78" i="5" l="1"/>
  <c r="H79" i="5" s="1"/>
  <c r="I79" i="5" s="1"/>
  <c r="R78" i="5"/>
  <c r="K79" i="5" l="1"/>
  <c r="L79" i="5"/>
  <c r="N79" i="5" l="1"/>
  <c r="P82" i="5" l="1"/>
  <c r="F82" i="5" s="1"/>
  <c r="G82" i="5" s="1"/>
  <c r="O79" i="5"/>
  <c r="Q79" i="5" l="1"/>
  <c r="H80" i="5" s="1"/>
  <c r="I80" i="5" s="1"/>
  <c r="R79" i="5"/>
  <c r="K80" i="5" l="1"/>
  <c r="L80" i="5"/>
  <c r="N80" i="5" l="1"/>
  <c r="P83" i="5" l="1"/>
  <c r="F83" i="5" s="1"/>
  <c r="G83" i="5" s="1"/>
  <c r="O80" i="5"/>
  <c r="Q80" i="5" l="1"/>
  <c r="H81" i="5" s="1"/>
  <c r="I81" i="5" s="1"/>
  <c r="R80" i="5"/>
  <c r="L81" i="5" l="1"/>
  <c r="K81" i="5"/>
  <c r="N81" i="5" l="1"/>
  <c r="P84" i="5" l="1"/>
  <c r="F84" i="5" s="1"/>
  <c r="G84" i="5" s="1"/>
  <c r="O81" i="5"/>
  <c r="Q81" i="5" l="1"/>
  <c r="H82" i="5" s="1"/>
  <c r="I82" i="5" s="1"/>
  <c r="R81" i="5"/>
  <c r="L82" i="5" l="1"/>
  <c r="K82" i="5"/>
  <c r="N82" i="5" l="1"/>
  <c r="P85" i="5" l="1"/>
  <c r="F85" i="5" s="1"/>
  <c r="G85" i="5" s="1"/>
  <c r="O82" i="5"/>
  <c r="Q82" i="5" l="1"/>
  <c r="H83" i="5" s="1"/>
  <c r="I83" i="5" s="1"/>
  <c r="R82" i="5"/>
  <c r="K83" i="5" l="1"/>
  <c r="L83" i="5"/>
  <c r="N83" i="5" l="1"/>
  <c r="P86" i="5" l="1"/>
  <c r="F86" i="5" s="1"/>
  <c r="G86" i="5" s="1"/>
  <c r="O83" i="5"/>
  <c r="Q83" i="5" l="1"/>
  <c r="H84" i="5" s="1"/>
  <c r="I84" i="5" s="1"/>
  <c r="R83" i="5"/>
  <c r="L84" i="5" l="1"/>
  <c r="K84" i="5"/>
  <c r="N84" i="5" l="1"/>
  <c r="P87" i="5" l="1"/>
  <c r="F87" i="5" s="1"/>
  <c r="G87" i="5" s="1"/>
  <c r="O84" i="5"/>
  <c r="Q84" i="5" l="1"/>
  <c r="H85" i="5" s="1"/>
  <c r="I85" i="5" s="1"/>
  <c r="R84" i="5"/>
  <c r="K85" i="5" l="1"/>
  <c r="L85" i="5"/>
  <c r="N85" i="5" l="1"/>
  <c r="P88" i="5" l="1"/>
  <c r="F88" i="5" s="1"/>
  <c r="G88" i="5" s="1"/>
  <c r="O85" i="5"/>
  <c r="Q85" i="5" l="1"/>
  <c r="H86" i="5" s="1"/>
  <c r="I86" i="5" s="1"/>
  <c r="R85" i="5"/>
  <c r="L86" i="5" l="1"/>
  <c r="K86" i="5"/>
  <c r="N86" i="5" l="1"/>
  <c r="P89" i="5" l="1"/>
  <c r="F89" i="5" s="1"/>
  <c r="G89" i="5" s="1"/>
  <c r="O86" i="5"/>
  <c r="Q86" i="5" l="1"/>
  <c r="H87" i="5" s="1"/>
  <c r="I87" i="5" s="1"/>
  <c r="R86" i="5"/>
  <c r="L87" i="5" l="1"/>
  <c r="K87" i="5"/>
  <c r="N87" i="5" l="1"/>
  <c r="P90" i="5" l="1"/>
  <c r="F90" i="5" s="1"/>
  <c r="G90" i="5" s="1"/>
  <c r="O87" i="5"/>
  <c r="Q87" i="5" l="1"/>
  <c r="H88" i="5" s="1"/>
  <c r="I88" i="5" s="1"/>
  <c r="R87" i="5"/>
  <c r="K88" i="5" l="1"/>
  <c r="L88" i="5"/>
  <c r="N88" i="5" l="1"/>
  <c r="P91" i="5" l="1"/>
  <c r="F91" i="5" s="1"/>
  <c r="G91" i="5" s="1"/>
  <c r="O88" i="5"/>
  <c r="Q88" i="5" l="1"/>
  <c r="H89" i="5" s="1"/>
  <c r="I89" i="5" s="1"/>
  <c r="R88" i="5"/>
  <c r="L89" i="5" l="1"/>
  <c r="K89" i="5"/>
  <c r="N89" i="5" l="1"/>
  <c r="P92" i="5" l="1"/>
  <c r="F92" i="5" s="1"/>
  <c r="G92" i="5" s="1"/>
  <c r="O89" i="5"/>
  <c r="Q89" i="5" l="1"/>
  <c r="H90" i="5" s="1"/>
  <c r="I90" i="5" s="1"/>
  <c r="R89" i="5"/>
  <c r="L90" i="5" l="1"/>
  <c r="K90" i="5"/>
  <c r="N90" i="5" l="1"/>
  <c r="P93" i="5" l="1"/>
  <c r="F93" i="5" s="1"/>
  <c r="G93" i="5" s="1"/>
  <c r="O90" i="5"/>
  <c r="Q90" i="5" l="1"/>
  <c r="H91" i="5" s="1"/>
  <c r="I91" i="5" s="1"/>
  <c r="R90" i="5"/>
  <c r="K91" i="5" l="1"/>
  <c r="L91" i="5"/>
  <c r="N91" i="5" l="1"/>
  <c r="O91" i="5"/>
  <c r="P94" i="5" l="1"/>
  <c r="F94" i="5" s="1"/>
  <c r="G94" i="5" s="1"/>
  <c r="Q91" i="5"/>
  <c r="H92" i="5" s="1"/>
  <c r="I92" i="5" s="1"/>
  <c r="R91" i="5"/>
  <c r="K92" i="5" l="1"/>
  <c r="L92" i="5"/>
  <c r="N92" i="5" l="1"/>
  <c r="P95" i="5" l="1"/>
  <c r="F95" i="5" s="1"/>
  <c r="G95" i="5" s="1"/>
  <c r="O92" i="5"/>
  <c r="Q92" i="5" l="1"/>
  <c r="H93" i="5" s="1"/>
  <c r="I93" i="5" s="1"/>
  <c r="R92" i="5"/>
  <c r="K93" i="5" l="1"/>
  <c r="L93" i="5"/>
  <c r="N93" i="5" l="1"/>
  <c r="P96" i="5" l="1"/>
  <c r="F96" i="5" s="1"/>
  <c r="G96" i="5" s="1"/>
  <c r="O93" i="5"/>
  <c r="Q93" i="5" s="1"/>
  <c r="H94" i="5" s="1"/>
  <c r="I94" i="5" s="1"/>
  <c r="R93" i="5"/>
  <c r="L94" i="5" l="1"/>
  <c r="K94" i="5"/>
  <c r="N94" i="5" l="1"/>
  <c r="P97" i="5" l="1"/>
  <c r="F97" i="5" s="1"/>
  <c r="G97" i="5" s="1"/>
  <c r="O94" i="5"/>
  <c r="Q94" i="5" s="1"/>
  <c r="H95" i="5" s="1"/>
  <c r="I95" i="5" s="1"/>
  <c r="R94" i="5" l="1"/>
  <c r="K95" i="5"/>
  <c r="L95" i="5"/>
  <c r="N95" i="5" l="1"/>
  <c r="P98" i="5" l="1"/>
  <c r="F98" i="5" s="1"/>
  <c r="G98" i="5" s="1"/>
  <c r="O95" i="5"/>
  <c r="Q95" i="5" s="1"/>
  <c r="H96" i="5" s="1"/>
  <c r="I96" i="5" s="1"/>
  <c r="R95" i="5" l="1"/>
  <c r="L96" i="5"/>
  <c r="K96" i="5"/>
  <c r="N96" i="5" l="1"/>
  <c r="O96" i="5"/>
  <c r="P99" i="5" l="1"/>
  <c r="F99" i="5" s="1"/>
  <c r="G99" i="5" s="1"/>
  <c r="Q96" i="5"/>
  <c r="H97" i="5" s="1"/>
  <c r="I97" i="5" s="1"/>
  <c r="R96" i="5"/>
  <c r="K97" i="5" l="1"/>
  <c r="L97" i="5"/>
  <c r="N97" i="5" l="1"/>
  <c r="P100" i="5" l="1"/>
  <c r="F100" i="5" s="1"/>
  <c r="G100" i="5" s="1"/>
  <c r="O97" i="5"/>
  <c r="Q97" i="5" s="1"/>
  <c r="H98" i="5" s="1"/>
  <c r="I98" i="5" s="1"/>
  <c r="R97" i="5" l="1"/>
  <c r="L98" i="5"/>
  <c r="K98" i="5"/>
  <c r="N98" i="5" l="1"/>
  <c r="O98" i="5"/>
  <c r="P101" i="5" l="1"/>
  <c r="F101" i="5" s="1"/>
  <c r="G101" i="5" s="1"/>
  <c r="Q98" i="5"/>
  <c r="H99" i="5" s="1"/>
  <c r="I99" i="5" s="1"/>
  <c r="R98" i="5"/>
  <c r="K99" i="5" l="1"/>
  <c r="L99" i="5"/>
  <c r="N99" i="5" l="1"/>
  <c r="O99" i="5"/>
  <c r="P102" i="5" l="1"/>
  <c r="F102" i="5" s="1"/>
  <c r="G102" i="5" s="1"/>
  <c r="Q99" i="5"/>
  <c r="H100" i="5" s="1"/>
  <c r="I100" i="5" s="1"/>
  <c r="R99" i="5"/>
  <c r="K100" i="5" l="1"/>
  <c r="L100" i="5"/>
  <c r="N100" i="5" l="1"/>
  <c r="P103" i="5" l="1"/>
  <c r="F103" i="5" s="1"/>
  <c r="G103" i="5" s="1"/>
  <c r="O100" i="5"/>
  <c r="Q100" i="5" l="1"/>
  <c r="H101" i="5" s="1"/>
  <c r="I101" i="5" s="1"/>
  <c r="R100" i="5"/>
  <c r="K101" i="5" l="1"/>
  <c r="L101" i="5"/>
  <c r="N101" i="5" l="1"/>
  <c r="P104" i="5" l="1"/>
  <c r="F104" i="5" s="1"/>
  <c r="G104" i="5" s="1"/>
  <c r="O101" i="5"/>
  <c r="Q101" i="5" l="1"/>
  <c r="H102" i="5" s="1"/>
  <c r="I102" i="5" s="1"/>
  <c r="R101" i="5"/>
  <c r="L102" i="5" l="1"/>
  <c r="K102" i="5"/>
  <c r="N102" i="5" l="1"/>
  <c r="O102" i="5" s="1"/>
  <c r="P105" i="5" l="1"/>
  <c r="F105" i="5" s="1"/>
  <c r="G105" i="5" s="1"/>
  <c r="Q102" i="5"/>
  <c r="H103" i="5" s="1"/>
  <c r="I103" i="5" s="1"/>
  <c r="R102" i="5"/>
  <c r="L103" i="5" l="1"/>
  <c r="K103" i="5"/>
  <c r="N103" i="5" l="1"/>
  <c r="P106" i="5" l="1"/>
  <c r="F106" i="5" s="1"/>
  <c r="G106" i="5" s="1"/>
  <c r="O103" i="5"/>
  <c r="Q103" i="5" s="1"/>
  <c r="H104" i="5" s="1"/>
  <c r="I104" i="5" s="1"/>
  <c r="R103" i="5" l="1"/>
  <c r="L104" i="5"/>
  <c r="K104" i="5"/>
  <c r="N104" i="5" l="1"/>
  <c r="P107" i="5" l="1"/>
  <c r="F107" i="5" s="1"/>
  <c r="G107" i="5" s="1"/>
  <c r="O104" i="5"/>
  <c r="Q104" i="5" l="1"/>
  <c r="H105" i="5" s="1"/>
  <c r="I105" i="5" s="1"/>
  <c r="R104" i="5"/>
  <c r="K105" i="5" l="1"/>
  <c r="L105" i="5"/>
  <c r="N105" i="5" l="1"/>
  <c r="P108" i="5" l="1"/>
  <c r="F108" i="5" s="1"/>
  <c r="G108" i="5" s="1"/>
  <c r="O105" i="5"/>
  <c r="Q105" i="5" l="1"/>
  <c r="H106" i="5" s="1"/>
  <c r="I106" i="5" s="1"/>
  <c r="R105" i="5"/>
  <c r="L106" i="5" l="1"/>
  <c r="K106" i="5"/>
  <c r="N106" i="5" l="1"/>
  <c r="P109" i="5" l="1"/>
  <c r="F109" i="5" s="1"/>
  <c r="G109" i="5" s="1"/>
  <c r="O106" i="5"/>
  <c r="Q106" i="5" l="1"/>
  <c r="H107" i="5" s="1"/>
  <c r="I107" i="5" s="1"/>
  <c r="R106" i="5"/>
  <c r="K107" i="5" l="1"/>
  <c r="L107" i="5"/>
  <c r="N107" i="5" l="1"/>
  <c r="P110" i="5" l="1"/>
  <c r="F110" i="5" s="1"/>
  <c r="G110" i="5" s="1"/>
  <c r="O107" i="5"/>
  <c r="Q107" i="5" l="1"/>
  <c r="H108" i="5" s="1"/>
  <c r="I108" i="5" s="1"/>
  <c r="R107" i="5"/>
  <c r="K108" i="5" l="1"/>
  <c r="L108" i="5"/>
  <c r="N108" i="5" l="1"/>
  <c r="P111" i="5" l="1"/>
  <c r="F111" i="5" s="1"/>
  <c r="G111" i="5" s="1"/>
  <c r="O108" i="5"/>
  <c r="Q108" i="5" l="1"/>
  <c r="H109" i="5" s="1"/>
  <c r="I109" i="5" s="1"/>
  <c r="R108" i="5"/>
  <c r="K109" i="5" l="1"/>
  <c r="L109" i="5"/>
  <c r="N109" i="5" l="1"/>
  <c r="P112" i="5" l="1"/>
  <c r="F112" i="5" s="1"/>
  <c r="G112" i="5" s="1"/>
  <c r="O109" i="5"/>
  <c r="Q109" i="5"/>
  <c r="H110" i="5" s="1"/>
  <c r="I110" i="5" s="1"/>
  <c r="R109" i="5"/>
  <c r="L110" i="5" l="1"/>
  <c r="K110" i="5"/>
  <c r="N110" i="5" l="1"/>
  <c r="O110" i="5"/>
  <c r="P113" i="5" l="1"/>
  <c r="F113" i="5" s="1"/>
  <c r="G113" i="5" s="1"/>
  <c r="Q110" i="5"/>
  <c r="H111" i="5" s="1"/>
  <c r="I111" i="5" s="1"/>
  <c r="R110" i="5"/>
  <c r="K111" i="5" l="1"/>
  <c r="L111" i="5"/>
  <c r="N111" i="5" l="1"/>
  <c r="P114" i="5" l="1"/>
  <c r="F114" i="5" s="1"/>
  <c r="G114" i="5" s="1"/>
  <c r="O111" i="5"/>
  <c r="Q111" i="5" l="1"/>
  <c r="H112" i="5" s="1"/>
  <c r="I112" i="5" s="1"/>
  <c r="R111" i="5"/>
  <c r="L112" i="5" l="1"/>
  <c r="K112" i="5"/>
  <c r="N112" i="5" l="1"/>
  <c r="P115" i="5" l="1"/>
  <c r="F115" i="5" s="1"/>
  <c r="G115" i="5" s="1"/>
  <c r="O112" i="5"/>
  <c r="Q112" i="5" s="1"/>
  <c r="H113" i="5" s="1"/>
  <c r="I113" i="5" s="1"/>
  <c r="R112" i="5"/>
  <c r="L113" i="5" l="1"/>
  <c r="K113" i="5"/>
  <c r="N113" i="5" l="1"/>
  <c r="O113" i="5"/>
  <c r="P116" i="5" l="1"/>
  <c r="F116" i="5" s="1"/>
  <c r="G116" i="5" s="1"/>
  <c r="Q113" i="5"/>
  <c r="H114" i="5" s="1"/>
  <c r="I114" i="5" s="1"/>
  <c r="R113" i="5"/>
  <c r="K114" i="5" l="1"/>
  <c r="L114" i="5"/>
  <c r="N114" i="5" l="1"/>
  <c r="P117" i="5" l="1"/>
  <c r="F117" i="5" s="1"/>
  <c r="G117" i="5" s="1"/>
  <c r="O114" i="5"/>
  <c r="Q114" i="5" l="1"/>
  <c r="H115" i="5" s="1"/>
  <c r="I115" i="5" s="1"/>
  <c r="R114" i="5"/>
  <c r="L115" i="5" l="1"/>
  <c r="K115" i="5"/>
  <c r="N115" i="5" l="1"/>
  <c r="P118" i="5" l="1"/>
  <c r="F118" i="5" s="1"/>
  <c r="G118" i="5" s="1"/>
  <c r="O115" i="5"/>
  <c r="Q115" i="5" s="1"/>
  <c r="H116" i="5" s="1"/>
  <c r="I116" i="5" s="1"/>
  <c r="R115" i="5" l="1"/>
  <c r="L116" i="5"/>
  <c r="K116" i="5"/>
  <c r="N116" i="5" l="1"/>
  <c r="P119" i="5" l="1"/>
  <c r="F119" i="5" s="1"/>
  <c r="G119" i="5" s="1"/>
  <c r="O116" i="5"/>
  <c r="Q116" i="5" l="1"/>
  <c r="H117" i="5" s="1"/>
  <c r="I117" i="5" s="1"/>
  <c r="R116" i="5"/>
  <c r="L117" i="5" l="1"/>
  <c r="K117" i="5"/>
  <c r="N117" i="5" l="1"/>
  <c r="O117" i="5"/>
  <c r="P120" i="5" l="1"/>
  <c r="F120" i="5" s="1"/>
  <c r="G120" i="5" s="1"/>
  <c r="Q117" i="5"/>
  <c r="H118" i="5" s="1"/>
  <c r="I118" i="5" s="1"/>
  <c r="R117" i="5"/>
  <c r="K118" i="5" l="1"/>
  <c r="L118" i="5"/>
  <c r="N118" i="5" l="1"/>
  <c r="O118" i="5"/>
  <c r="P121" i="5" l="1"/>
  <c r="F121" i="5" s="1"/>
  <c r="G121" i="5" s="1"/>
  <c r="Q118" i="5"/>
  <c r="H119" i="5" s="1"/>
  <c r="I119" i="5" s="1"/>
  <c r="R118" i="5"/>
  <c r="L119" i="5" l="1"/>
  <c r="K119" i="5"/>
  <c r="N119" i="5" l="1"/>
  <c r="P122" i="5" l="1"/>
  <c r="F122" i="5" s="1"/>
  <c r="G122" i="5" s="1"/>
  <c r="O119" i="5"/>
  <c r="Q119" i="5"/>
  <c r="H120" i="5" s="1"/>
  <c r="I120" i="5" s="1"/>
  <c r="R119" i="5"/>
  <c r="K120" i="5" l="1"/>
  <c r="L120" i="5"/>
  <c r="N120" i="5" l="1"/>
  <c r="P123" i="5" l="1"/>
  <c r="F123" i="5" s="1"/>
  <c r="G123" i="5" s="1"/>
  <c r="O120" i="5"/>
  <c r="Q120" i="5" l="1"/>
  <c r="H121" i="5" s="1"/>
  <c r="I121" i="5" s="1"/>
  <c r="R120" i="5"/>
  <c r="L121" i="5" l="1"/>
  <c r="K121" i="5"/>
  <c r="N121" i="5" l="1"/>
  <c r="P124" i="5" l="1"/>
  <c r="F124" i="5" s="1"/>
  <c r="G124" i="5" s="1"/>
  <c r="O121" i="5"/>
  <c r="Q121" i="5"/>
  <c r="H122" i="5" s="1"/>
  <c r="I122" i="5" s="1"/>
  <c r="R121" i="5"/>
  <c r="K122" i="5" l="1"/>
  <c r="L122" i="5"/>
  <c r="N122" i="5" l="1"/>
  <c r="P125" i="5" l="1"/>
  <c r="F125" i="5" s="1"/>
  <c r="G125" i="5" s="1"/>
  <c r="O122" i="5"/>
  <c r="Q122" i="5" l="1"/>
  <c r="H123" i="5" s="1"/>
  <c r="I123" i="5" s="1"/>
  <c r="R122" i="5"/>
  <c r="L123" i="5" l="1"/>
  <c r="K123" i="5"/>
  <c r="N123" i="5" l="1"/>
  <c r="P126" i="5" l="1"/>
  <c r="F126" i="5" s="1"/>
  <c r="G126" i="5" s="1"/>
  <c r="O123" i="5"/>
  <c r="Q123" i="5" s="1"/>
  <c r="H124" i="5" s="1"/>
  <c r="I124" i="5" s="1"/>
  <c r="R123" i="5" l="1"/>
  <c r="L124" i="5"/>
  <c r="K124" i="5"/>
  <c r="N124" i="5" l="1"/>
  <c r="P127" i="5" l="1"/>
  <c r="F127" i="5" s="1"/>
  <c r="G127" i="5" s="1"/>
  <c r="O124" i="5"/>
  <c r="Q124" i="5" l="1"/>
  <c r="H125" i="5" s="1"/>
  <c r="I125" i="5" s="1"/>
  <c r="R124" i="5"/>
  <c r="L125" i="5" l="1"/>
  <c r="K125" i="5"/>
  <c r="N125" i="5" l="1"/>
  <c r="P128" i="5" l="1"/>
  <c r="F128" i="5" s="1"/>
  <c r="G128" i="5" s="1"/>
  <c r="O125" i="5"/>
  <c r="Q125" i="5" s="1"/>
  <c r="H126" i="5" s="1"/>
  <c r="I126" i="5" s="1"/>
  <c r="R125" i="5" l="1"/>
  <c r="K126" i="5"/>
  <c r="L126" i="5"/>
  <c r="N126" i="5" l="1"/>
  <c r="P129" i="5" l="1"/>
  <c r="F129" i="5" s="1"/>
  <c r="G129" i="5" s="1"/>
  <c r="O126" i="5"/>
  <c r="Q126" i="5" s="1"/>
  <c r="H127" i="5" s="1"/>
  <c r="I127" i="5" s="1"/>
  <c r="R126" i="5" l="1"/>
  <c r="L127" i="5"/>
  <c r="K127" i="5"/>
  <c r="N127" i="5" l="1"/>
  <c r="P130" i="5" l="1"/>
  <c r="F130" i="5" s="1"/>
  <c r="G130" i="5" s="1"/>
  <c r="O127" i="5"/>
  <c r="Q127" i="5" s="1"/>
  <c r="H128" i="5" s="1"/>
  <c r="I128" i="5" s="1"/>
  <c r="R127" i="5" l="1"/>
  <c r="L128" i="5"/>
  <c r="K128" i="5"/>
  <c r="N128" i="5" l="1"/>
  <c r="P131" i="5" l="1"/>
  <c r="F131" i="5" s="1"/>
  <c r="G131" i="5" s="1"/>
  <c r="O128" i="5"/>
  <c r="Q128" i="5"/>
  <c r="H129" i="5" s="1"/>
  <c r="I129" i="5" s="1"/>
  <c r="R128" i="5"/>
  <c r="L129" i="5" l="1"/>
  <c r="K129" i="5"/>
  <c r="N129" i="5" l="1"/>
  <c r="P132" i="5" l="1"/>
  <c r="F132" i="5" s="1"/>
  <c r="G132" i="5" s="1"/>
  <c r="O129" i="5"/>
  <c r="Q129" i="5"/>
  <c r="H130" i="5" s="1"/>
  <c r="I130" i="5" s="1"/>
  <c r="R129" i="5"/>
  <c r="K130" i="5" l="1"/>
  <c r="L130" i="5"/>
  <c r="N130" i="5" l="1"/>
  <c r="P133" i="5" l="1"/>
  <c r="F133" i="5" s="1"/>
  <c r="G133" i="5" s="1"/>
  <c r="O130" i="5"/>
  <c r="Q130" i="5" l="1"/>
  <c r="H131" i="5" s="1"/>
  <c r="I131" i="5" s="1"/>
  <c r="R130" i="5"/>
  <c r="L131" i="5" l="1"/>
  <c r="K131" i="5"/>
  <c r="N131" i="5" l="1"/>
  <c r="O131" i="5"/>
  <c r="P134" i="5" l="1"/>
  <c r="F134" i="5" s="1"/>
  <c r="G134" i="5" s="1"/>
  <c r="Q131" i="5"/>
  <c r="H132" i="5" s="1"/>
  <c r="I132" i="5" s="1"/>
  <c r="R131" i="5"/>
  <c r="K132" i="5" l="1"/>
  <c r="L132" i="5"/>
  <c r="N132" i="5" l="1"/>
  <c r="P135" i="5" l="1"/>
  <c r="F135" i="5" s="1"/>
  <c r="G135" i="5" s="1"/>
  <c r="O132" i="5"/>
  <c r="Q132" i="5" l="1"/>
  <c r="H133" i="5" s="1"/>
  <c r="I133" i="5" s="1"/>
  <c r="R132" i="5"/>
  <c r="L133" i="5" l="1"/>
  <c r="K133" i="5"/>
  <c r="N133" i="5" l="1"/>
  <c r="O133" i="5"/>
  <c r="P136" i="5" l="1"/>
  <c r="F136" i="5" s="1"/>
  <c r="G136" i="5" s="1"/>
  <c r="Q133" i="5"/>
  <c r="H134" i="5" s="1"/>
  <c r="I134" i="5" s="1"/>
  <c r="R133" i="5"/>
  <c r="L134" i="5" l="1"/>
  <c r="K134" i="5"/>
  <c r="N134" i="5" l="1"/>
  <c r="O134" i="5"/>
  <c r="P137" i="5" l="1"/>
  <c r="F137" i="5" s="1"/>
  <c r="G137" i="5" s="1"/>
  <c r="Q134" i="5"/>
  <c r="H135" i="5" s="1"/>
  <c r="I135" i="5" s="1"/>
  <c r="R134" i="5"/>
  <c r="K135" i="5" l="1"/>
  <c r="L135" i="5"/>
  <c r="N135" i="5" l="1"/>
  <c r="P138" i="5" l="1"/>
  <c r="F138" i="5" s="1"/>
  <c r="G138" i="5" s="1"/>
  <c r="O135" i="5"/>
  <c r="Q135" i="5" l="1"/>
  <c r="H136" i="5" s="1"/>
  <c r="I136" i="5" s="1"/>
  <c r="R135" i="5"/>
  <c r="L136" i="5" l="1"/>
  <c r="K136" i="5"/>
  <c r="N136" i="5" l="1"/>
  <c r="O136" i="5"/>
  <c r="P139" i="5" l="1"/>
  <c r="F139" i="5" s="1"/>
  <c r="G139" i="5" s="1"/>
  <c r="Q136" i="5"/>
  <c r="H137" i="5" s="1"/>
  <c r="I137" i="5" s="1"/>
  <c r="R136" i="5"/>
  <c r="L137" i="5" l="1"/>
  <c r="K137" i="5"/>
  <c r="N137" i="5" l="1"/>
  <c r="O137" i="5"/>
  <c r="P140" i="5" l="1"/>
  <c r="F140" i="5" s="1"/>
  <c r="G140" i="5" s="1"/>
  <c r="Q137" i="5"/>
  <c r="H138" i="5" s="1"/>
  <c r="I138" i="5" s="1"/>
  <c r="R137" i="5"/>
  <c r="L138" i="5" l="1"/>
  <c r="K138" i="5"/>
  <c r="N138" i="5" l="1"/>
  <c r="O138" i="5"/>
  <c r="P141" i="5" l="1"/>
  <c r="F141" i="5" s="1"/>
  <c r="G141" i="5" s="1"/>
  <c r="Q138" i="5"/>
  <c r="H139" i="5" s="1"/>
  <c r="I139" i="5" s="1"/>
  <c r="R138" i="5"/>
  <c r="L139" i="5" l="1"/>
  <c r="K139" i="5"/>
  <c r="N139" i="5" l="1"/>
  <c r="O139" i="5" s="1"/>
  <c r="P142" i="5" l="1"/>
  <c r="F142" i="5" s="1"/>
  <c r="G142" i="5" s="1"/>
  <c r="Q139" i="5"/>
  <c r="H140" i="5" s="1"/>
  <c r="I140" i="5" s="1"/>
  <c r="R139" i="5"/>
  <c r="K140" i="5" l="1"/>
  <c r="L140" i="5"/>
  <c r="N140" i="5" l="1"/>
  <c r="O140" i="5"/>
  <c r="P143" i="5" l="1"/>
  <c r="F143" i="5" s="1"/>
  <c r="G143" i="5" s="1"/>
  <c r="Q140" i="5"/>
  <c r="H141" i="5" s="1"/>
  <c r="I141" i="5" s="1"/>
  <c r="R140" i="5"/>
  <c r="L141" i="5" l="1"/>
  <c r="K141" i="5"/>
  <c r="N141" i="5" l="1"/>
  <c r="O141" i="5"/>
  <c r="P144" i="5" l="1"/>
  <c r="F144" i="5" s="1"/>
  <c r="G144" i="5" s="1"/>
  <c r="Q141" i="5"/>
  <c r="H142" i="5" s="1"/>
  <c r="I142" i="5" s="1"/>
  <c r="R141" i="5"/>
  <c r="L142" i="5" l="1"/>
  <c r="K142" i="5"/>
  <c r="N142" i="5" l="1"/>
  <c r="O142" i="5"/>
  <c r="P145" i="5" l="1"/>
  <c r="F145" i="5" s="1"/>
  <c r="G145" i="5" s="1"/>
  <c r="Q142" i="5"/>
  <c r="H143" i="5" s="1"/>
  <c r="I143" i="5" s="1"/>
  <c r="R142" i="5"/>
  <c r="L143" i="5" l="1"/>
  <c r="K143" i="5"/>
  <c r="N143" i="5" l="1"/>
  <c r="O143" i="5"/>
  <c r="P146" i="5" l="1"/>
  <c r="F146" i="5" s="1"/>
  <c r="G146" i="5" s="1"/>
  <c r="Q143" i="5"/>
  <c r="H144" i="5" s="1"/>
  <c r="I144" i="5" s="1"/>
  <c r="R143" i="5"/>
  <c r="L144" i="5" l="1"/>
  <c r="K144" i="5"/>
  <c r="N144" i="5" l="1"/>
  <c r="P147" i="5" l="1"/>
  <c r="F147" i="5" s="1"/>
  <c r="G147" i="5" s="1"/>
  <c r="O144" i="5"/>
  <c r="Q144" i="5" l="1"/>
  <c r="H145" i="5" s="1"/>
  <c r="I145" i="5" s="1"/>
  <c r="R144" i="5"/>
  <c r="L145" i="5" l="1"/>
  <c r="K145" i="5"/>
  <c r="N145" i="5" l="1"/>
  <c r="P148" i="5" l="1"/>
  <c r="F148" i="5" s="1"/>
  <c r="G148" i="5" s="1"/>
  <c r="O145" i="5"/>
  <c r="Q145" i="5" l="1"/>
  <c r="H146" i="5" s="1"/>
  <c r="I146" i="5" s="1"/>
  <c r="R145" i="5"/>
  <c r="L146" i="5" l="1"/>
  <c r="K146" i="5"/>
  <c r="N146" i="5" l="1"/>
  <c r="O146" i="5"/>
  <c r="P149" i="5" l="1"/>
  <c r="F149" i="5" s="1"/>
  <c r="G149" i="5" s="1"/>
  <c r="Q146" i="5"/>
  <c r="H147" i="5" s="1"/>
  <c r="I147" i="5" s="1"/>
  <c r="R146" i="5"/>
  <c r="K147" i="5" l="1"/>
  <c r="L147" i="5"/>
  <c r="N147" i="5" l="1"/>
  <c r="O147" i="5"/>
  <c r="P150" i="5" l="1"/>
  <c r="F150" i="5" s="1"/>
  <c r="G150" i="5" s="1"/>
  <c r="Q147" i="5"/>
  <c r="H148" i="5" s="1"/>
  <c r="I148" i="5" s="1"/>
  <c r="R147" i="5"/>
  <c r="L148" i="5" l="1"/>
  <c r="K148" i="5"/>
  <c r="N148" i="5" l="1"/>
  <c r="P151" i="5" l="1"/>
  <c r="F151" i="5" s="1"/>
  <c r="G151" i="5" s="1"/>
  <c r="O148" i="5"/>
  <c r="Q148" i="5" s="1"/>
  <c r="H149" i="5" s="1"/>
  <c r="I149" i="5" s="1"/>
  <c r="R148" i="5" l="1"/>
  <c r="L149" i="5"/>
  <c r="K149" i="5"/>
  <c r="N149" i="5" l="1"/>
  <c r="O149" i="5"/>
  <c r="P152" i="5" l="1"/>
  <c r="F152" i="5" s="1"/>
  <c r="G152" i="5" s="1"/>
  <c r="Q149" i="5"/>
  <c r="H150" i="5" s="1"/>
  <c r="I150" i="5" s="1"/>
  <c r="R149" i="5"/>
  <c r="L150" i="5" l="1"/>
  <c r="K150" i="5"/>
  <c r="N150" i="5" l="1"/>
  <c r="P153" i="5" l="1"/>
  <c r="F153" i="5" s="1"/>
  <c r="G153" i="5" s="1"/>
  <c r="O150" i="5"/>
  <c r="Q150" i="5" s="1"/>
  <c r="H151" i="5" s="1"/>
  <c r="I151" i="5" s="1"/>
  <c r="R150" i="5" l="1"/>
  <c r="K151" i="5"/>
  <c r="L151" i="5"/>
  <c r="N151" i="5" l="1"/>
  <c r="O151" i="5"/>
  <c r="P154" i="5" l="1"/>
  <c r="F154" i="5" s="1"/>
  <c r="G154" i="5" s="1"/>
  <c r="Q151" i="5"/>
  <c r="H152" i="5" s="1"/>
  <c r="I152" i="5" s="1"/>
  <c r="R151" i="5"/>
  <c r="L152" i="5" l="1"/>
  <c r="K152" i="5"/>
  <c r="N152" i="5" l="1"/>
  <c r="O152" i="5"/>
  <c r="P155" i="5" l="1"/>
  <c r="F155" i="5" s="1"/>
  <c r="G155" i="5" s="1"/>
  <c r="Q152" i="5"/>
  <c r="H153" i="5" s="1"/>
  <c r="I153" i="5" s="1"/>
  <c r="R152" i="5"/>
  <c r="K153" i="5" l="1"/>
  <c r="L153" i="5"/>
  <c r="N153" i="5" l="1"/>
  <c r="O153" i="5"/>
  <c r="P156" i="5" l="1"/>
  <c r="F156" i="5" s="1"/>
  <c r="G156" i="5" s="1"/>
  <c r="Q153" i="5"/>
  <c r="H154" i="5" s="1"/>
  <c r="I154" i="5" s="1"/>
  <c r="R153" i="5"/>
  <c r="L154" i="5" l="1"/>
  <c r="K154" i="5"/>
  <c r="N154" i="5" l="1"/>
  <c r="O154" i="5"/>
  <c r="P157" i="5" l="1"/>
  <c r="F157" i="5" s="1"/>
  <c r="G157" i="5" s="1"/>
  <c r="Q154" i="5"/>
  <c r="H155" i="5" s="1"/>
  <c r="I155" i="5" s="1"/>
  <c r="R154" i="5"/>
  <c r="K155" i="5" l="1"/>
  <c r="L155" i="5"/>
  <c r="N155" i="5" l="1"/>
  <c r="O155" i="5"/>
  <c r="P158" i="5" l="1"/>
  <c r="F158" i="5" s="1"/>
  <c r="G158" i="5" s="1"/>
  <c r="Q155" i="5"/>
  <c r="H156" i="5" s="1"/>
  <c r="I156" i="5" s="1"/>
  <c r="R155" i="5"/>
  <c r="L156" i="5" l="1"/>
  <c r="K156" i="5"/>
  <c r="N156" i="5" l="1"/>
  <c r="P159" i="5" l="1"/>
  <c r="F159" i="5" s="1"/>
  <c r="G159" i="5" s="1"/>
  <c r="O156" i="5"/>
  <c r="Q156" i="5" l="1"/>
  <c r="H157" i="5" s="1"/>
  <c r="I157" i="5" s="1"/>
  <c r="R156" i="5"/>
  <c r="L157" i="5" l="1"/>
  <c r="K157" i="5"/>
  <c r="N157" i="5" l="1"/>
  <c r="P160" i="5" l="1"/>
  <c r="F160" i="5" s="1"/>
  <c r="G160" i="5" s="1"/>
  <c r="O157" i="5"/>
  <c r="Q157" i="5" l="1"/>
  <c r="H158" i="5" s="1"/>
  <c r="I158" i="5" s="1"/>
  <c r="R157" i="5"/>
  <c r="L158" i="5" l="1"/>
  <c r="K158" i="5"/>
  <c r="N158" i="5" l="1"/>
  <c r="P161" i="5" l="1"/>
  <c r="F161" i="5" s="1"/>
  <c r="G161" i="5" s="1"/>
  <c r="O158" i="5"/>
  <c r="Q158" i="5" l="1"/>
  <c r="H159" i="5" s="1"/>
  <c r="I159" i="5" s="1"/>
  <c r="R158" i="5"/>
  <c r="L159" i="5" l="1"/>
  <c r="K159" i="5"/>
  <c r="N159" i="5" l="1"/>
  <c r="P162" i="5" l="1"/>
  <c r="F162" i="5" s="1"/>
  <c r="G162" i="5" s="1"/>
  <c r="O159" i="5"/>
  <c r="Q159" i="5" l="1"/>
  <c r="H160" i="5" s="1"/>
  <c r="I160" i="5" s="1"/>
  <c r="R159" i="5"/>
  <c r="L160" i="5" l="1"/>
  <c r="K160" i="5"/>
  <c r="N160" i="5" l="1"/>
  <c r="P163" i="5" l="1"/>
  <c r="F163" i="5" s="1"/>
  <c r="G163" i="5" s="1"/>
  <c r="O160" i="5"/>
  <c r="Q160" i="5" l="1"/>
  <c r="H161" i="5" s="1"/>
  <c r="I161" i="5" s="1"/>
  <c r="R160" i="5"/>
  <c r="L161" i="5" l="1"/>
  <c r="K161" i="5"/>
  <c r="N161" i="5" l="1"/>
  <c r="O161" i="5"/>
  <c r="P164" i="5" l="1"/>
  <c r="F164" i="5" s="1"/>
  <c r="G164" i="5" s="1"/>
  <c r="Q161" i="5"/>
  <c r="H162" i="5" s="1"/>
  <c r="I162" i="5" s="1"/>
  <c r="R161" i="5"/>
  <c r="L162" i="5" l="1"/>
  <c r="K162" i="5"/>
  <c r="N162" i="5" l="1"/>
  <c r="P165" i="5" l="1"/>
  <c r="F165" i="5" s="1"/>
  <c r="G165" i="5" s="1"/>
  <c r="O162" i="5"/>
  <c r="Q162" i="5" l="1"/>
  <c r="H163" i="5" s="1"/>
  <c r="I163" i="5" s="1"/>
  <c r="R162" i="5"/>
  <c r="L163" i="5" l="1"/>
  <c r="K163" i="5"/>
  <c r="N163" i="5" l="1"/>
  <c r="P166" i="5" l="1"/>
  <c r="F166" i="5" s="1"/>
  <c r="G166" i="5" s="1"/>
  <c r="O163" i="5"/>
  <c r="Q163" i="5" l="1"/>
  <c r="H164" i="5" s="1"/>
  <c r="I164" i="5" s="1"/>
  <c r="R163" i="5"/>
  <c r="L164" i="5" l="1"/>
  <c r="K164" i="5"/>
  <c r="N164" i="5" l="1"/>
  <c r="P167" i="5" l="1"/>
  <c r="F167" i="5" s="1"/>
  <c r="G167" i="5" s="1"/>
  <c r="O164" i="5"/>
  <c r="Q164" i="5" s="1"/>
  <c r="H165" i="5" s="1"/>
  <c r="I165" i="5" s="1"/>
  <c r="R164" i="5"/>
  <c r="K165" i="5" l="1"/>
  <c r="L165" i="5"/>
  <c r="N165" i="5" l="1"/>
  <c r="P168" i="5" l="1"/>
  <c r="F168" i="5" s="1"/>
  <c r="G168" i="5" s="1"/>
  <c r="O165" i="5"/>
  <c r="Q165" i="5" l="1"/>
  <c r="H166" i="5" s="1"/>
  <c r="I166" i="5" s="1"/>
  <c r="R165" i="5"/>
  <c r="L166" i="5" l="1"/>
  <c r="K166" i="5"/>
  <c r="N166" i="5" l="1"/>
  <c r="P169" i="5" l="1"/>
  <c r="F169" i="5" s="1"/>
  <c r="G169" i="5" s="1"/>
  <c r="O166" i="5"/>
  <c r="Q166" i="5" l="1"/>
  <c r="H167" i="5" s="1"/>
  <c r="I167" i="5" s="1"/>
  <c r="R166" i="5"/>
  <c r="L167" i="5" l="1"/>
  <c r="K167" i="5"/>
  <c r="N167" i="5" l="1"/>
  <c r="P170" i="5" l="1"/>
  <c r="F170" i="5" s="1"/>
  <c r="G170" i="5" s="1"/>
  <c r="O167" i="5"/>
  <c r="Q167" i="5" s="1"/>
  <c r="H168" i="5" s="1"/>
  <c r="I168" i="5" s="1"/>
  <c r="R167" i="5" l="1"/>
  <c r="L168" i="5"/>
  <c r="K168" i="5"/>
  <c r="N168" i="5" l="1"/>
  <c r="O168" i="5"/>
  <c r="P171" i="5" l="1"/>
  <c r="F171" i="5" s="1"/>
  <c r="G171" i="5" s="1"/>
  <c r="Q168" i="5"/>
  <c r="H169" i="5" s="1"/>
  <c r="I169" i="5" s="1"/>
  <c r="R168" i="5"/>
  <c r="L169" i="5" l="1"/>
  <c r="K169" i="5"/>
  <c r="N169" i="5" l="1"/>
  <c r="P172" i="5" l="1"/>
  <c r="F172" i="5" s="1"/>
  <c r="G172" i="5" s="1"/>
  <c r="O169" i="5"/>
  <c r="Q169" i="5" l="1"/>
  <c r="H170" i="5" s="1"/>
  <c r="I170" i="5" s="1"/>
  <c r="R169" i="5"/>
  <c r="K170" i="5" l="1"/>
  <c r="L170" i="5"/>
  <c r="N170" i="5" l="1"/>
  <c r="P173" i="5" l="1"/>
  <c r="F173" i="5" s="1"/>
  <c r="G173" i="5" s="1"/>
  <c r="O170" i="5"/>
  <c r="Q170" i="5" s="1"/>
  <c r="H171" i="5" s="1"/>
  <c r="I171" i="5" s="1"/>
  <c r="R170" i="5" l="1"/>
  <c r="K171" i="5"/>
  <c r="L171" i="5"/>
  <c r="N171" i="5" l="1"/>
  <c r="O171" i="5"/>
  <c r="P174" i="5" l="1"/>
  <c r="F174" i="5" s="1"/>
  <c r="G174" i="5" s="1"/>
  <c r="Q171" i="5"/>
  <c r="H172" i="5" s="1"/>
  <c r="I172" i="5" s="1"/>
  <c r="R171" i="5"/>
  <c r="K172" i="5" l="1"/>
  <c r="L172" i="5"/>
  <c r="N172" i="5" l="1"/>
  <c r="P175" i="5" l="1"/>
  <c r="F175" i="5" s="1"/>
  <c r="G175" i="5" s="1"/>
  <c r="O172" i="5"/>
  <c r="Q172" i="5" l="1"/>
  <c r="H173" i="5" s="1"/>
  <c r="I173" i="5" s="1"/>
  <c r="R172" i="5"/>
  <c r="L173" i="5" l="1"/>
  <c r="K173" i="5"/>
  <c r="N173" i="5" l="1"/>
  <c r="O173" i="5"/>
  <c r="P176" i="5" l="1"/>
  <c r="F176" i="5" s="1"/>
  <c r="G176" i="5" s="1"/>
  <c r="Q173" i="5"/>
  <c r="H174" i="5" s="1"/>
  <c r="I174" i="5" s="1"/>
  <c r="R173" i="5"/>
  <c r="K174" i="5" l="1"/>
  <c r="L174" i="5"/>
  <c r="N174" i="5" l="1"/>
  <c r="P177" i="5" l="1"/>
  <c r="F177" i="5" s="1"/>
  <c r="G177" i="5" s="1"/>
  <c r="O174" i="5"/>
  <c r="Q174" i="5" l="1"/>
  <c r="H175" i="5" s="1"/>
  <c r="I175" i="5" s="1"/>
  <c r="R174" i="5"/>
  <c r="K175" i="5" l="1"/>
  <c r="L175" i="5"/>
  <c r="N175" i="5" l="1"/>
  <c r="P178" i="5" l="1"/>
  <c r="F178" i="5" s="1"/>
  <c r="G178" i="5" s="1"/>
  <c r="O175" i="5"/>
  <c r="Q175" i="5" l="1"/>
  <c r="H176" i="5" s="1"/>
  <c r="I176" i="5" s="1"/>
  <c r="R175" i="5"/>
  <c r="K176" i="5" l="1"/>
  <c r="L176" i="5"/>
  <c r="N176" i="5" l="1"/>
  <c r="P179" i="5" l="1"/>
  <c r="F179" i="5" s="1"/>
  <c r="G179" i="5" s="1"/>
  <c r="O176" i="5"/>
  <c r="Q176" i="5" l="1"/>
  <c r="H177" i="5" s="1"/>
  <c r="I177" i="5" s="1"/>
  <c r="R176" i="5"/>
  <c r="K177" i="5" l="1"/>
  <c r="L177" i="5"/>
  <c r="N177" i="5" l="1"/>
  <c r="P180" i="5" l="1"/>
  <c r="F180" i="5" s="1"/>
  <c r="G180" i="5" s="1"/>
  <c r="O177" i="5"/>
  <c r="Q177" i="5" l="1"/>
  <c r="H178" i="5" s="1"/>
  <c r="I178" i="5" s="1"/>
  <c r="R177" i="5"/>
  <c r="K178" i="5" l="1"/>
  <c r="L178" i="5"/>
  <c r="N178" i="5" l="1"/>
  <c r="O178" i="5"/>
  <c r="P181" i="5" l="1"/>
  <c r="F181" i="5" s="1"/>
  <c r="G181" i="5" s="1"/>
  <c r="Q178" i="5"/>
  <c r="H179" i="5" s="1"/>
  <c r="I179" i="5" s="1"/>
  <c r="R178" i="5"/>
  <c r="K179" i="5" l="1"/>
  <c r="L179" i="5"/>
  <c r="N179" i="5" l="1"/>
  <c r="P182" i="5" l="1"/>
  <c r="F182" i="5" s="1"/>
  <c r="G182" i="5" s="1"/>
  <c r="O179" i="5"/>
  <c r="Q179" i="5" l="1"/>
  <c r="H180" i="5" s="1"/>
  <c r="I180" i="5" s="1"/>
  <c r="R179" i="5"/>
  <c r="K180" i="5" l="1"/>
  <c r="L180" i="5"/>
  <c r="N180" i="5" l="1"/>
  <c r="P183" i="5" l="1"/>
  <c r="F183" i="5" s="1"/>
  <c r="G183" i="5" s="1"/>
  <c r="O180" i="5"/>
  <c r="Q180" i="5" l="1"/>
  <c r="H181" i="5" s="1"/>
  <c r="I181" i="5" s="1"/>
  <c r="R180" i="5"/>
  <c r="K181" i="5" l="1"/>
  <c r="L181" i="5"/>
  <c r="N181" i="5" l="1"/>
  <c r="P184" i="5" l="1"/>
  <c r="F184" i="5" s="1"/>
  <c r="G184" i="5" s="1"/>
  <c r="O181" i="5"/>
  <c r="Q181" i="5" l="1"/>
  <c r="H182" i="5" s="1"/>
  <c r="I182" i="5" s="1"/>
  <c r="R181" i="5"/>
  <c r="K182" i="5" l="1"/>
  <c r="L182" i="5"/>
  <c r="N182" i="5" l="1"/>
  <c r="P185" i="5" l="1"/>
  <c r="F185" i="5" s="1"/>
  <c r="G185" i="5" s="1"/>
  <c r="O182" i="5"/>
  <c r="Q182" i="5" s="1"/>
  <c r="H183" i="5" s="1"/>
  <c r="I183" i="5" s="1"/>
  <c r="R182" i="5" l="1"/>
  <c r="K183" i="5"/>
  <c r="L183" i="5"/>
  <c r="N183" i="5" l="1"/>
  <c r="P186" i="5" l="1"/>
  <c r="F186" i="5" s="1"/>
  <c r="G186" i="5" s="1"/>
  <c r="O183" i="5"/>
  <c r="Q183" i="5" l="1"/>
  <c r="H184" i="5" s="1"/>
  <c r="I184" i="5" s="1"/>
  <c r="R183" i="5"/>
  <c r="K184" i="5" l="1"/>
  <c r="L184" i="5"/>
  <c r="N184" i="5" l="1"/>
  <c r="P187" i="5" l="1"/>
  <c r="F187" i="5" s="1"/>
  <c r="G187" i="5" s="1"/>
  <c r="O184" i="5"/>
  <c r="Q184" i="5" l="1"/>
  <c r="H185" i="5" s="1"/>
  <c r="I185" i="5" s="1"/>
  <c r="R184" i="5"/>
  <c r="K185" i="5" l="1"/>
  <c r="L185" i="5"/>
  <c r="N185" i="5" l="1"/>
  <c r="P188" i="5" l="1"/>
  <c r="F188" i="5" s="1"/>
  <c r="G188" i="5" s="1"/>
  <c r="O185" i="5"/>
  <c r="Q185" i="5" s="1"/>
  <c r="H186" i="5" s="1"/>
  <c r="I186" i="5" s="1"/>
  <c r="R185" i="5"/>
  <c r="K186" i="5" l="1"/>
  <c r="L186" i="5"/>
  <c r="N186" i="5" l="1"/>
  <c r="P189" i="5" l="1"/>
  <c r="F189" i="5" s="1"/>
  <c r="G189" i="5" s="1"/>
  <c r="O186" i="5"/>
  <c r="Q186" i="5" l="1"/>
  <c r="H187" i="5" s="1"/>
  <c r="I187" i="5" s="1"/>
  <c r="R186" i="5"/>
  <c r="K187" i="5" l="1"/>
  <c r="L187" i="5"/>
  <c r="N187" i="5" l="1"/>
  <c r="P190" i="5" l="1"/>
  <c r="F190" i="5" s="1"/>
  <c r="G190" i="5" s="1"/>
  <c r="O187" i="5"/>
  <c r="Q187" i="5"/>
  <c r="H188" i="5" s="1"/>
  <c r="I188" i="5" s="1"/>
  <c r="R187" i="5"/>
  <c r="K188" i="5" l="1"/>
  <c r="L188" i="5"/>
  <c r="N188" i="5" l="1"/>
  <c r="P191" i="5" l="1"/>
  <c r="F191" i="5" s="1"/>
  <c r="G191" i="5" s="1"/>
  <c r="O188" i="5"/>
  <c r="Q188" i="5" s="1"/>
  <c r="H189" i="5" s="1"/>
  <c r="I189" i="5" s="1"/>
  <c r="R188" i="5" l="1"/>
  <c r="K189" i="5"/>
  <c r="L189" i="5"/>
  <c r="N189" i="5" l="1"/>
  <c r="P192" i="5" l="1"/>
  <c r="F192" i="5" s="1"/>
  <c r="G192" i="5" s="1"/>
  <c r="O189" i="5"/>
  <c r="Q189" i="5" s="1"/>
  <c r="H190" i="5" s="1"/>
  <c r="I190" i="5" s="1"/>
  <c r="R189" i="5" l="1"/>
  <c r="K190" i="5"/>
  <c r="L190" i="5"/>
  <c r="N190" i="5" l="1"/>
  <c r="P193" i="5" l="1"/>
  <c r="F193" i="5" s="1"/>
  <c r="G193" i="5" s="1"/>
  <c r="O190" i="5"/>
  <c r="Q190" i="5" l="1"/>
  <c r="H191" i="5" s="1"/>
  <c r="I191" i="5" s="1"/>
  <c r="R190" i="5"/>
  <c r="K191" i="5" l="1"/>
  <c r="L191" i="5"/>
  <c r="N191" i="5" l="1"/>
  <c r="O191" i="5"/>
  <c r="P194" i="5" l="1"/>
  <c r="F194" i="5" s="1"/>
  <c r="G194" i="5" s="1"/>
  <c r="Q191" i="5"/>
  <c r="H192" i="5" s="1"/>
  <c r="I192" i="5" s="1"/>
  <c r="R191" i="5"/>
  <c r="K192" i="5" l="1"/>
  <c r="L192" i="5"/>
  <c r="N192" i="5" l="1"/>
  <c r="O192" i="5"/>
  <c r="P195" i="5" l="1"/>
  <c r="F195" i="5" s="1"/>
  <c r="G195" i="5" s="1"/>
  <c r="Q192" i="5"/>
  <c r="H193" i="5" s="1"/>
  <c r="I193" i="5" s="1"/>
  <c r="R192" i="5"/>
  <c r="K193" i="5" l="1"/>
  <c r="L193" i="5"/>
  <c r="N193" i="5" l="1"/>
  <c r="P196" i="5" l="1"/>
  <c r="F196" i="5" s="1"/>
  <c r="G196" i="5" s="1"/>
  <c r="O193" i="5"/>
  <c r="Q193" i="5" l="1"/>
  <c r="H194" i="5" s="1"/>
  <c r="I194" i="5" s="1"/>
  <c r="R193" i="5"/>
  <c r="K194" i="5" l="1"/>
  <c r="L194" i="5"/>
  <c r="N194" i="5" l="1"/>
  <c r="O194" i="5"/>
  <c r="P197" i="5" l="1"/>
  <c r="F197" i="5" s="1"/>
  <c r="G197" i="5" s="1"/>
  <c r="Q194" i="5"/>
  <c r="H195" i="5" s="1"/>
  <c r="I195" i="5" s="1"/>
  <c r="R194" i="5"/>
  <c r="K195" i="5" l="1"/>
  <c r="L195" i="5"/>
  <c r="N195" i="5" l="1"/>
  <c r="P198" i="5" l="1"/>
  <c r="F198" i="5" s="1"/>
  <c r="G198" i="5" s="1"/>
  <c r="O195" i="5"/>
  <c r="Q195" i="5" l="1"/>
  <c r="H196" i="5" s="1"/>
  <c r="I196" i="5" s="1"/>
  <c r="R195" i="5"/>
  <c r="K196" i="5" l="1"/>
  <c r="L196" i="5"/>
  <c r="N196" i="5" l="1"/>
  <c r="O196" i="5" s="1"/>
  <c r="P199" i="5" l="1"/>
  <c r="F199" i="5" s="1"/>
  <c r="G199" i="5" s="1"/>
  <c r="Q196" i="5"/>
  <c r="H197" i="5" s="1"/>
  <c r="I197" i="5" s="1"/>
  <c r="R196" i="5"/>
  <c r="K197" i="5" l="1"/>
  <c r="L197" i="5"/>
  <c r="N197" i="5" l="1"/>
  <c r="O197" i="5"/>
  <c r="P200" i="5" l="1"/>
  <c r="F200" i="5" s="1"/>
  <c r="G200" i="5" s="1"/>
  <c r="Q197" i="5"/>
  <c r="H198" i="5" s="1"/>
  <c r="I198" i="5" s="1"/>
  <c r="R197" i="5"/>
  <c r="K198" i="5" l="1"/>
  <c r="L198" i="5"/>
  <c r="N198" i="5" l="1"/>
  <c r="P201" i="5" l="1"/>
  <c r="F201" i="5" s="1"/>
  <c r="G201" i="5" s="1"/>
  <c r="O198" i="5"/>
  <c r="Q198" i="5"/>
  <c r="H199" i="5" s="1"/>
  <c r="I199" i="5" s="1"/>
  <c r="R198" i="5"/>
  <c r="K199" i="5" l="1"/>
  <c r="L199" i="5"/>
  <c r="N199" i="5" l="1"/>
  <c r="P202" i="5" l="1"/>
  <c r="F202" i="5" s="1"/>
  <c r="G202" i="5" s="1"/>
  <c r="O199" i="5"/>
  <c r="Q199" i="5" l="1"/>
  <c r="H200" i="5" s="1"/>
  <c r="I200" i="5" s="1"/>
  <c r="R199" i="5"/>
  <c r="K200" i="5" l="1"/>
  <c r="L200" i="5"/>
  <c r="N200" i="5" l="1"/>
  <c r="P203" i="5" l="1"/>
  <c r="F203" i="5" s="1"/>
  <c r="G203" i="5" s="1"/>
  <c r="O200" i="5"/>
  <c r="Q200" i="5" s="1"/>
  <c r="H201" i="5" s="1"/>
  <c r="I201" i="5" s="1"/>
  <c r="R200" i="5" l="1"/>
  <c r="K201" i="5"/>
  <c r="L201" i="5"/>
  <c r="N201" i="5" l="1"/>
  <c r="P204" i="5" l="1"/>
  <c r="F204" i="5" s="1"/>
  <c r="G204" i="5" s="1"/>
  <c r="O201" i="5"/>
  <c r="Q201" i="5" l="1"/>
  <c r="H202" i="5" s="1"/>
  <c r="I202" i="5" s="1"/>
  <c r="R201" i="5"/>
  <c r="K202" i="5" l="1"/>
  <c r="L202" i="5"/>
  <c r="N202" i="5" l="1"/>
  <c r="O202" i="5" s="1"/>
  <c r="P205" i="5" l="1"/>
  <c r="F205" i="5" s="1"/>
  <c r="G205" i="5" s="1"/>
  <c r="Q202" i="5"/>
  <c r="H203" i="5" s="1"/>
  <c r="I203" i="5" s="1"/>
  <c r="R202" i="5"/>
  <c r="K203" i="5" l="1"/>
  <c r="L203" i="5"/>
  <c r="N203" i="5" l="1"/>
  <c r="O203" i="5" s="1"/>
  <c r="P206" i="5" l="1"/>
  <c r="F206" i="5" s="1"/>
  <c r="G206" i="5" s="1"/>
  <c r="Q203" i="5"/>
  <c r="H204" i="5" s="1"/>
  <c r="I204" i="5" s="1"/>
  <c r="R203" i="5"/>
  <c r="K204" i="5" l="1"/>
  <c r="L204" i="5"/>
  <c r="N204" i="5" l="1"/>
  <c r="P207" i="5" l="1"/>
  <c r="F207" i="5" s="1"/>
  <c r="G207" i="5" s="1"/>
  <c r="O204" i="5"/>
  <c r="Q204" i="5" s="1"/>
  <c r="H205" i="5" s="1"/>
  <c r="I205" i="5" s="1"/>
  <c r="R204" i="5" l="1"/>
  <c r="K205" i="5"/>
  <c r="L205" i="5"/>
  <c r="N205" i="5" l="1"/>
  <c r="O205" i="5"/>
  <c r="P208" i="5" l="1"/>
  <c r="F208" i="5" s="1"/>
  <c r="G208" i="5" s="1"/>
  <c r="Q205" i="5"/>
  <c r="H206" i="5" s="1"/>
  <c r="I206" i="5" s="1"/>
  <c r="R205" i="5"/>
  <c r="K206" i="5" l="1"/>
  <c r="L206" i="5"/>
  <c r="N206" i="5" l="1"/>
  <c r="O206" i="5"/>
  <c r="P209" i="5" l="1"/>
  <c r="F209" i="5" s="1"/>
  <c r="G209" i="5" s="1"/>
  <c r="Q206" i="5"/>
  <c r="H207" i="5" s="1"/>
  <c r="I207" i="5" s="1"/>
  <c r="R206" i="5"/>
  <c r="K207" i="5" l="1"/>
  <c r="L207" i="5"/>
  <c r="N207" i="5" l="1"/>
  <c r="O207" i="5"/>
  <c r="P210" i="5" l="1"/>
  <c r="F210" i="5" s="1"/>
  <c r="G210" i="5" s="1"/>
  <c r="Q207" i="5"/>
  <c r="H208" i="5" s="1"/>
  <c r="I208" i="5" s="1"/>
  <c r="R207" i="5"/>
  <c r="K208" i="5" l="1"/>
  <c r="L208" i="5"/>
  <c r="N208" i="5" l="1"/>
  <c r="P211" i="5" s="1"/>
  <c r="F211" i="5" s="1"/>
  <c r="G211" i="5" s="1"/>
  <c r="O208" i="5" l="1"/>
  <c r="I15" i="5"/>
  <c r="I14" i="5"/>
  <c r="Q208" i="5"/>
  <c r="H209" i="5" s="1"/>
  <c r="I209" i="5" s="1"/>
  <c r="R208" i="5"/>
  <c r="G14" i="5" l="1"/>
  <c r="L209" i="5"/>
  <c r="K209" i="5"/>
  <c r="N209" i="5" l="1"/>
  <c r="O209" i="5"/>
  <c r="Q209" i="5" l="1"/>
  <c r="H210" i="5" s="1"/>
  <c r="I210" i="5" s="1"/>
  <c r="R209" i="5"/>
  <c r="L210" i="5" l="1"/>
  <c r="K210" i="5"/>
  <c r="N210" i="5" l="1"/>
  <c r="O210" i="5"/>
  <c r="Q210" i="5" l="1"/>
  <c r="H211" i="5" s="1"/>
  <c r="I211" i="5" s="1"/>
  <c r="R210" i="5"/>
  <c r="L211" i="5" l="1"/>
  <c r="K211" i="5"/>
  <c r="N211" i="5" l="1"/>
  <c r="G16" i="5"/>
  <c r="O211" i="5"/>
  <c r="Q211" i="5" l="1"/>
  <c r="R211" i="5"/>
  <c r="B31" i="1" l="1"/>
  <c r="B32" i="1"/>
  <c r="B30" i="1"/>
  <c r="B8" i="2"/>
  <c r="B9" i="2" s="1"/>
  <c r="B10" i="2" s="1"/>
  <c r="B11" i="2" s="1"/>
  <c r="B12" i="2" s="1"/>
  <c r="B13" i="2" s="1"/>
  <c r="B14" i="2" s="1"/>
  <c r="B15" i="2" s="1"/>
  <c r="B16" i="2" s="1"/>
  <c r="A20" i="1"/>
  <c r="O19" i="1" l="1"/>
  <c r="F20" i="1" s="1"/>
  <c r="F19" i="1"/>
  <c r="E19" i="1"/>
  <c r="B34" i="1" l="1"/>
  <c r="B35" i="1"/>
  <c r="B36" i="1"/>
  <c r="B33" i="1"/>
  <c r="B37" i="1" l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21" i="1" l="1"/>
  <c r="B22" i="1"/>
  <c r="B23" i="1"/>
  <c r="B24" i="1"/>
  <c r="B25" i="1"/>
  <c r="B26" i="1"/>
  <c r="B27" i="1"/>
  <c r="B28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0" i="1"/>
  <c r="C19" i="1"/>
  <c r="G19" i="1" s="1"/>
  <c r="N20" i="1"/>
  <c r="D20" i="1" s="1"/>
  <c r="A21" i="1"/>
  <c r="N21" i="1" s="1"/>
  <c r="D21" i="1" s="1"/>
  <c r="A22" i="1" l="1"/>
  <c r="C20" i="1"/>
  <c r="E20" i="1"/>
  <c r="E21" i="1" l="1"/>
  <c r="A23" i="1"/>
  <c r="C21" i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G20" i="1"/>
  <c r="A24" i="1" l="1"/>
  <c r="A25" i="1" s="1"/>
  <c r="A26" i="1" s="1"/>
  <c r="I20" i="1"/>
  <c r="J20" i="1"/>
  <c r="L20" i="1" l="1"/>
  <c r="A27" i="1"/>
  <c r="M20" i="1" l="1"/>
  <c r="O20" i="1" s="1"/>
  <c r="N22" i="1"/>
  <c r="D22" i="1" s="1"/>
  <c r="E22" i="1" s="1"/>
  <c r="A28" i="1"/>
  <c r="F21" i="1" l="1"/>
  <c r="G21" i="1" s="1"/>
  <c r="I21" i="1" s="1"/>
  <c r="L21" i="1" s="1"/>
  <c r="A29" i="1"/>
  <c r="J21" i="1" l="1"/>
  <c r="M21" i="1"/>
  <c r="O21" i="1" s="1"/>
  <c r="N23" i="1"/>
  <c r="D23" i="1" s="1"/>
  <c r="E23" i="1" s="1"/>
  <c r="A30" i="1"/>
  <c r="F22" i="1" l="1"/>
  <c r="A31" i="1"/>
  <c r="G22" i="1" l="1"/>
  <c r="N24" i="1"/>
  <c r="D24" i="1" s="1"/>
  <c r="E24" i="1" s="1"/>
  <c r="A32" i="1"/>
  <c r="I22" i="1" l="1"/>
  <c r="J22" i="1"/>
  <c r="A33" i="1"/>
  <c r="L22" i="1" l="1"/>
  <c r="M22" i="1" s="1"/>
  <c r="O22" i="1" s="1"/>
  <c r="N25" i="1"/>
  <c r="D25" i="1" s="1"/>
  <c r="E25" i="1" s="1"/>
  <c r="A34" i="1"/>
  <c r="F23" i="1" l="1"/>
  <c r="A35" i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G23" i="1" l="1"/>
  <c r="N26" i="1"/>
  <c r="D26" i="1" s="1"/>
  <c r="E26" i="1" s="1"/>
  <c r="I23" i="1" l="1"/>
  <c r="J23" i="1"/>
  <c r="L23" i="1" l="1"/>
  <c r="M23" i="1" s="1"/>
  <c r="O23" i="1" l="1"/>
  <c r="F24" i="1" l="1"/>
  <c r="G24" i="1" l="1"/>
  <c r="I24" i="1" l="1"/>
  <c r="J24" i="1"/>
  <c r="L24" i="1" l="1"/>
  <c r="M24" i="1" s="1"/>
  <c r="O24" i="1" l="1"/>
  <c r="F25" i="1" l="1"/>
  <c r="G25" i="1" l="1"/>
  <c r="J25" i="1" l="1"/>
  <c r="I25" i="1"/>
  <c r="L25" i="1" l="1"/>
  <c r="N27" i="1" s="1"/>
  <c r="D27" i="1" s="1"/>
  <c r="E27" i="1" s="1"/>
  <c r="M25" i="1" l="1"/>
  <c r="O25" i="1" l="1"/>
  <c r="F26" i="1" l="1"/>
  <c r="G26" i="1" l="1"/>
  <c r="J26" i="1" s="1"/>
  <c r="I26" i="1" l="1"/>
  <c r="L26" i="1" s="1"/>
  <c r="N28" i="1" s="1"/>
  <c r="D28" i="1" s="1"/>
  <c r="E28" i="1" s="1"/>
  <c r="M26" i="1" l="1"/>
  <c r="O26" i="1" l="1"/>
  <c r="F27" i="1" l="1"/>
  <c r="G27" i="1" s="1"/>
  <c r="I27" i="1" l="1"/>
  <c r="J27" i="1"/>
  <c r="L27" i="1" l="1"/>
  <c r="N29" i="1" s="1"/>
  <c r="D29" i="1" s="1"/>
  <c r="E29" i="1" s="1"/>
  <c r="M27" i="1" l="1"/>
  <c r="O27" i="1" l="1"/>
  <c r="F28" i="1" l="1"/>
  <c r="G28" i="1" l="1"/>
  <c r="J28" i="1" s="1"/>
  <c r="I28" i="1" l="1"/>
  <c r="L28" i="1" s="1"/>
  <c r="N30" i="1" s="1"/>
  <c r="D30" i="1" s="1"/>
  <c r="E30" i="1" s="1"/>
  <c r="M28" i="1" l="1"/>
  <c r="O28" i="1" s="1"/>
  <c r="F29" i="1" l="1"/>
  <c r="G29" i="1" s="1"/>
  <c r="I29" i="1" l="1"/>
  <c r="J29" i="1"/>
  <c r="L29" i="1" l="1"/>
  <c r="N31" i="1" s="1"/>
  <c r="D31" i="1" s="1"/>
  <c r="E31" i="1" s="1"/>
  <c r="M29" i="1" l="1"/>
  <c r="O29" i="1" l="1"/>
  <c r="F30" i="1" l="1"/>
  <c r="G30" i="1" s="1"/>
  <c r="I30" i="1" l="1"/>
  <c r="J30" i="1"/>
  <c r="L30" i="1" l="1"/>
  <c r="N32" i="1" s="1"/>
  <c r="D32" i="1" s="1"/>
  <c r="E32" i="1" s="1"/>
  <c r="M30" i="1" l="1"/>
  <c r="O30" i="1" l="1"/>
  <c r="F31" i="1" l="1"/>
  <c r="G31" i="1" l="1"/>
  <c r="I31" i="1" s="1"/>
  <c r="J31" i="1" l="1"/>
  <c r="L31" i="1"/>
  <c r="N33" i="1" s="1"/>
  <c r="D33" i="1" s="1"/>
  <c r="E33" i="1" s="1"/>
  <c r="M31" i="1" l="1"/>
  <c r="O31" i="1" l="1"/>
  <c r="F32" i="1" l="1"/>
  <c r="G32" i="1" l="1"/>
  <c r="I32" i="1" l="1"/>
  <c r="J32" i="1"/>
  <c r="L32" i="1" l="1"/>
  <c r="N34" i="1" s="1"/>
  <c r="D34" i="1" s="1"/>
  <c r="E34" i="1" s="1"/>
  <c r="M32" i="1" l="1"/>
  <c r="O32" i="1" l="1"/>
  <c r="F33" i="1" l="1"/>
  <c r="G33" i="1" l="1"/>
  <c r="J33" i="1" s="1"/>
  <c r="I33" i="1" l="1"/>
  <c r="L33" i="1" s="1"/>
  <c r="N35" i="1" l="1"/>
  <c r="D35" i="1" s="1"/>
  <c r="E35" i="1" s="1"/>
  <c r="M33" i="1"/>
  <c r="O33" i="1" s="1"/>
  <c r="F34" i="1" l="1"/>
  <c r="G34" i="1" s="1"/>
  <c r="I34" i="1" l="1"/>
  <c r="J34" i="1"/>
  <c r="L34" i="1" l="1"/>
  <c r="N36" i="1" s="1"/>
  <c r="D36" i="1" s="1"/>
  <c r="E36" i="1" s="1"/>
  <c r="M34" i="1" l="1"/>
  <c r="O34" i="1" l="1"/>
  <c r="F35" i="1" l="1"/>
  <c r="G35" i="1" s="1"/>
  <c r="I35" i="1" l="1"/>
  <c r="J35" i="1"/>
  <c r="L35" i="1" l="1"/>
  <c r="N37" i="1" s="1"/>
  <c r="D37" i="1" s="1"/>
  <c r="E37" i="1" s="1"/>
  <c r="M35" i="1" l="1"/>
  <c r="O35" i="1" s="1"/>
  <c r="F36" i="1" l="1"/>
  <c r="G36" i="1" s="1"/>
  <c r="I36" i="1" l="1"/>
  <c r="J36" i="1"/>
  <c r="L36" i="1" l="1"/>
  <c r="N38" i="1" s="1"/>
  <c r="D38" i="1" s="1"/>
  <c r="E38" i="1" s="1"/>
  <c r="M36" i="1" l="1"/>
  <c r="O36" i="1" s="1"/>
  <c r="F37" i="1" l="1"/>
  <c r="G37" i="1" s="1"/>
  <c r="I37" i="1" l="1"/>
  <c r="J37" i="1"/>
  <c r="L37" i="1" l="1"/>
  <c r="N39" i="1" s="1"/>
  <c r="D39" i="1" s="1"/>
  <c r="E39" i="1" s="1"/>
  <c r="M37" i="1" l="1"/>
  <c r="O37" i="1" l="1"/>
  <c r="F38" i="1" l="1"/>
  <c r="G38" i="1" s="1"/>
  <c r="J38" i="1" l="1"/>
  <c r="I38" i="1"/>
  <c r="L38" i="1" l="1"/>
  <c r="N40" i="1" s="1"/>
  <c r="D40" i="1" s="1"/>
  <c r="E40" i="1" s="1"/>
  <c r="M38" i="1" l="1"/>
  <c r="O38" i="1" s="1"/>
  <c r="F39" i="1" l="1"/>
  <c r="G39" i="1" l="1"/>
  <c r="J39" i="1" s="1"/>
  <c r="I39" i="1" l="1"/>
  <c r="L39" i="1" s="1"/>
  <c r="N41" i="1" s="1"/>
  <c r="D41" i="1" s="1"/>
  <c r="E41" i="1" s="1"/>
  <c r="M39" i="1" l="1"/>
  <c r="O39" i="1" s="1"/>
  <c r="F40" i="1" l="1"/>
  <c r="G40" i="1" l="1"/>
  <c r="I40" i="1" s="1"/>
  <c r="J40" i="1" l="1"/>
  <c r="L40" i="1"/>
  <c r="N42" i="1" s="1"/>
  <c r="D42" i="1" s="1"/>
  <c r="E42" i="1" s="1"/>
  <c r="M40" i="1" l="1"/>
  <c r="O40" i="1" s="1"/>
  <c r="F41" i="1" l="1"/>
  <c r="G41" i="1" l="1"/>
  <c r="I41" i="1" s="1"/>
  <c r="J41" i="1" l="1"/>
  <c r="L41" i="1"/>
  <c r="N43" i="1" s="1"/>
  <c r="D43" i="1" s="1"/>
  <c r="E43" i="1" s="1"/>
  <c r="M41" i="1" l="1"/>
  <c r="O41" i="1" s="1"/>
  <c r="F42" i="1" l="1"/>
  <c r="G42" i="1"/>
  <c r="J42" i="1" l="1"/>
  <c r="I42" i="1"/>
  <c r="L42" i="1" l="1"/>
  <c r="N44" i="1" s="1"/>
  <c r="D44" i="1" s="1"/>
  <c r="E44" i="1" s="1"/>
  <c r="M42" i="1" l="1"/>
  <c r="O42" i="1" s="1"/>
  <c r="F43" i="1" l="1"/>
  <c r="G43" i="1" s="1"/>
  <c r="J43" i="1" l="1"/>
  <c r="I43" i="1"/>
  <c r="L43" i="1" l="1"/>
  <c r="N45" i="1" s="1"/>
  <c r="D45" i="1" s="1"/>
  <c r="E45" i="1" s="1"/>
  <c r="M43" i="1" l="1"/>
  <c r="O43" i="1" s="1"/>
  <c r="F44" i="1" l="1"/>
  <c r="G44" i="1" l="1"/>
  <c r="I44" i="1" s="1"/>
  <c r="J44" i="1" l="1"/>
  <c r="L44" i="1"/>
  <c r="N46" i="1" s="1"/>
  <c r="D46" i="1" s="1"/>
  <c r="E46" i="1" s="1"/>
  <c r="M44" i="1" l="1"/>
  <c r="O44" i="1" s="1"/>
  <c r="F45" i="1" l="1"/>
  <c r="G45" i="1" s="1"/>
  <c r="J45" i="1" l="1"/>
  <c r="I45" i="1"/>
  <c r="L45" i="1" l="1"/>
  <c r="N47" i="1" s="1"/>
  <c r="D47" i="1" s="1"/>
  <c r="E47" i="1" s="1"/>
  <c r="M45" i="1" l="1"/>
  <c r="O45" i="1" s="1"/>
  <c r="F46" i="1" l="1"/>
  <c r="G46" i="1" s="1"/>
  <c r="I46" i="1" l="1"/>
  <c r="J46" i="1"/>
  <c r="L46" i="1" l="1"/>
  <c r="N48" i="1" s="1"/>
  <c r="D48" i="1" s="1"/>
  <c r="E48" i="1" s="1"/>
  <c r="M46" i="1" l="1"/>
  <c r="O46" i="1" s="1"/>
  <c r="F47" i="1" l="1"/>
  <c r="G47" i="1" l="1"/>
  <c r="J47" i="1" s="1"/>
  <c r="I47" i="1" l="1"/>
  <c r="L47" i="1" s="1"/>
  <c r="N49" i="1" s="1"/>
  <c r="D49" i="1" s="1"/>
  <c r="E49" i="1" s="1"/>
  <c r="M47" i="1" l="1"/>
  <c r="O47" i="1" s="1"/>
  <c r="F48" i="1" l="1"/>
  <c r="G48" i="1" s="1"/>
  <c r="I48" i="1" l="1"/>
  <c r="J48" i="1"/>
  <c r="L48" i="1" l="1"/>
  <c r="N50" i="1" s="1"/>
  <c r="D50" i="1" s="1"/>
  <c r="E50" i="1" s="1"/>
  <c r="M48" i="1" l="1"/>
  <c r="O48" i="1" s="1"/>
  <c r="F49" i="1" l="1"/>
  <c r="G49" i="1" s="1"/>
  <c r="J49" i="1" l="1"/>
  <c r="I49" i="1"/>
  <c r="L49" i="1" l="1"/>
  <c r="N51" i="1" s="1"/>
  <c r="D51" i="1" s="1"/>
  <c r="E51" i="1" s="1"/>
  <c r="M49" i="1" l="1"/>
  <c r="O49" i="1" s="1"/>
  <c r="F50" i="1" l="1"/>
  <c r="G50" i="1" s="1"/>
  <c r="I50" i="1" l="1"/>
  <c r="J50" i="1"/>
  <c r="L50" i="1" l="1"/>
  <c r="N52" i="1" s="1"/>
  <c r="D52" i="1" s="1"/>
  <c r="E52" i="1" s="1"/>
  <c r="M50" i="1" l="1"/>
  <c r="O50" i="1"/>
  <c r="F51" i="1" l="1"/>
  <c r="G51" i="1" s="1"/>
  <c r="I51" i="1" l="1"/>
  <c r="J51" i="1"/>
  <c r="L51" i="1" l="1"/>
  <c r="N53" i="1" s="1"/>
  <c r="D53" i="1" s="1"/>
  <c r="E53" i="1" s="1"/>
  <c r="M51" i="1" l="1"/>
  <c r="O51" i="1" s="1"/>
  <c r="F52" i="1" l="1"/>
  <c r="G52" i="1" s="1"/>
  <c r="I52" i="1" l="1"/>
  <c r="J52" i="1"/>
  <c r="L52" i="1" l="1"/>
  <c r="N54" i="1" s="1"/>
  <c r="D54" i="1" s="1"/>
  <c r="E54" i="1" s="1"/>
  <c r="M52" i="1" l="1"/>
  <c r="O52" i="1" s="1"/>
  <c r="F53" i="1" l="1"/>
  <c r="G53" i="1" l="1"/>
  <c r="I53" i="1"/>
  <c r="J53" i="1"/>
  <c r="L53" i="1" l="1"/>
  <c r="N55" i="1" s="1"/>
  <c r="D55" i="1" s="1"/>
  <c r="E55" i="1" s="1"/>
  <c r="M53" i="1" l="1"/>
  <c r="O53" i="1" l="1"/>
  <c r="F54" i="1" l="1"/>
  <c r="G54" i="1" l="1"/>
  <c r="I54" i="1" s="1"/>
  <c r="J54" i="1" l="1"/>
  <c r="L54" i="1"/>
  <c r="N56" i="1" s="1"/>
  <c r="D56" i="1" s="1"/>
  <c r="E56" i="1" s="1"/>
  <c r="M54" i="1" l="1"/>
  <c r="O54" i="1" s="1"/>
  <c r="F55" i="1" l="1"/>
  <c r="G55" i="1" s="1"/>
  <c r="J55" i="1" l="1"/>
  <c r="I55" i="1"/>
  <c r="L55" i="1" l="1"/>
  <c r="N57" i="1" s="1"/>
  <c r="D57" i="1" s="1"/>
  <c r="E57" i="1" s="1"/>
  <c r="M55" i="1" l="1"/>
  <c r="O55" i="1" s="1"/>
  <c r="F56" i="1" l="1"/>
  <c r="G56" i="1" s="1"/>
  <c r="J56" i="1" l="1"/>
  <c r="I56" i="1"/>
  <c r="L56" i="1" l="1"/>
  <c r="N58" i="1" s="1"/>
  <c r="D58" i="1" s="1"/>
  <c r="E58" i="1" s="1"/>
  <c r="M56" i="1" l="1"/>
  <c r="O56" i="1" s="1"/>
  <c r="F57" i="1" l="1"/>
  <c r="G57" i="1" l="1"/>
  <c r="J57" i="1"/>
  <c r="I57" i="1"/>
  <c r="L57" i="1" l="1"/>
  <c r="N59" i="1" s="1"/>
  <c r="D59" i="1" s="1"/>
  <c r="E59" i="1" s="1"/>
  <c r="M57" i="1" l="1"/>
  <c r="O57" i="1" s="1"/>
  <c r="F58" i="1" l="1"/>
  <c r="G58" i="1" s="1"/>
  <c r="I58" i="1" l="1"/>
  <c r="J58" i="1"/>
  <c r="L58" i="1" l="1"/>
  <c r="N60" i="1" s="1"/>
  <c r="D60" i="1" s="1"/>
  <c r="E60" i="1" s="1"/>
  <c r="M58" i="1" l="1"/>
  <c r="O58" i="1" s="1"/>
  <c r="F59" i="1" l="1"/>
  <c r="G59" i="1" l="1"/>
  <c r="I59" i="1"/>
  <c r="J59" i="1"/>
  <c r="L59" i="1" l="1"/>
  <c r="N61" i="1" s="1"/>
  <c r="D61" i="1" s="1"/>
  <c r="E61" i="1" s="1"/>
  <c r="M59" i="1" l="1"/>
  <c r="O59" i="1" s="1"/>
  <c r="F60" i="1" l="1"/>
  <c r="G60" i="1"/>
  <c r="I60" i="1" l="1"/>
  <c r="J60" i="1"/>
  <c r="L60" i="1" l="1"/>
  <c r="N62" i="1" s="1"/>
  <c r="D62" i="1" s="1"/>
  <c r="E62" i="1" s="1"/>
  <c r="M60" i="1" l="1"/>
  <c r="O60" i="1" l="1"/>
  <c r="F61" i="1" l="1"/>
  <c r="G61" i="1" l="1"/>
  <c r="I61" i="1" s="1"/>
  <c r="J61" i="1" l="1"/>
  <c r="L61" i="1"/>
  <c r="N63" i="1" s="1"/>
  <c r="D63" i="1" s="1"/>
  <c r="E63" i="1" s="1"/>
  <c r="M61" i="1" l="1"/>
  <c r="O61" i="1" s="1"/>
  <c r="F62" i="1" l="1"/>
  <c r="G62" i="1" s="1"/>
  <c r="J62" i="1" l="1"/>
  <c r="I62" i="1"/>
  <c r="L62" i="1" l="1"/>
  <c r="N64" i="1" s="1"/>
  <c r="D64" i="1" s="1"/>
  <c r="E64" i="1" s="1"/>
  <c r="M62" i="1" l="1"/>
  <c r="O62" i="1" s="1"/>
  <c r="F63" i="1" l="1"/>
  <c r="G63" i="1" s="1"/>
  <c r="J63" i="1" l="1"/>
  <c r="I63" i="1"/>
  <c r="L63" i="1" l="1"/>
  <c r="N65" i="1" s="1"/>
  <c r="D65" i="1" s="1"/>
  <c r="E65" i="1" s="1"/>
  <c r="M63" i="1" l="1"/>
  <c r="O63" i="1" s="1"/>
  <c r="F64" i="1" l="1"/>
  <c r="G64" i="1" s="1"/>
  <c r="I64" i="1" l="1"/>
  <c r="J64" i="1"/>
  <c r="L64" i="1" l="1"/>
  <c r="N66" i="1" s="1"/>
  <c r="D66" i="1" s="1"/>
  <c r="E66" i="1" s="1"/>
  <c r="M64" i="1" l="1"/>
  <c r="O64" i="1" l="1"/>
  <c r="F65" i="1" l="1"/>
  <c r="G65" i="1" l="1"/>
  <c r="I65" i="1" s="1"/>
  <c r="J65" i="1" l="1"/>
  <c r="L65" i="1"/>
  <c r="N67" i="1" s="1"/>
  <c r="D67" i="1" s="1"/>
  <c r="E67" i="1" s="1"/>
  <c r="M65" i="1" l="1"/>
  <c r="O65" i="1" s="1"/>
  <c r="F66" i="1" l="1"/>
  <c r="G66" i="1" s="1"/>
  <c r="J66" i="1" l="1"/>
  <c r="I66" i="1"/>
  <c r="L66" i="1" l="1"/>
  <c r="N68" i="1" s="1"/>
  <c r="D68" i="1" s="1"/>
  <c r="E68" i="1" s="1"/>
  <c r="M66" i="1" l="1"/>
  <c r="O66" i="1" l="1"/>
  <c r="F67" i="1" l="1"/>
  <c r="G67" i="1" l="1"/>
  <c r="I67" i="1" l="1"/>
  <c r="J67" i="1"/>
  <c r="L67" i="1" l="1"/>
  <c r="N69" i="1" s="1"/>
  <c r="D69" i="1" s="1"/>
  <c r="E69" i="1" s="1"/>
  <c r="M67" i="1" l="1"/>
  <c r="O67" i="1" l="1"/>
  <c r="F68" i="1" l="1"/>
  <c r="G68" i="1" l="1"/>
  <c r="I68" i="1" s="1"/>
  <c r="J68" i="1" l="1"/>
  <c r="L68" i="1"/>
  <c r="N70" i="1" s="1"/>
  <c r="D70" i="1" s="1"/>
  <c r="E70" i="1" s="1"/>
  <c r="M68" i="1" l="1"/>
  <c r="O68" i="1" l="1"/>
  <c r="F69" i="1" l="1"/>
  <c r="G69" i="1" l="1"/>
  <c r="I69" i="1" s="1"/>
  <c r="J69" i="1" l="1"/>
  <c r="L69" i="1"/>
  <c r="N71" i="1" s="1"/>
  <c r="D71" i="1" s="1"/>
  <c r="E71" i="1" s="1"/>
  <c r="M69" i="1" l="1"/>
  <c r="O69" i="1" s="1"/>
  <c r="F70" i="1" l="1"/>
  <c r="G70" i="1"/>
  <c r="I70" i="1" l="1"/>
  <c r="J70" i="1"/>
  <c r="L70" i="1" l="1"/>
  <c r="N72" i="1" s="1"/>
  <c r="D72" i="1" s="1"/>
  <c r="E72" i="1" s="1"/>
  <c r="M70" i="1"/>
  <c r="O70" i="1" l="1"/>
  <c r="F71" i="1" l="1"/>
  <c r="G71" i="1" l="1"/>
  <c r="I71" i="1" s="1"/>
  <c r="J71" i="1" l="1"/>
  <c r="L71" i="1"/>
  <c r="N73" i="1" s="1"/>
  <c r="D73" i="1" s="1"/>
  <c r="E73" i="1" s="1"/>
  <c r="M71" i="1" l="1"/>
  <c r="O71" i="1" s="1"/>
  <c r="F72" i="1" l="1"/>
  <c r="G72" i="1" s="1"/>
  <c r="I72" i="1" l="1"/>
  <c r="J72" i="1"/>
  <c r="L72" i="1" l="1"/>
  <c r="N74" i="1" s="1"/>
  <c r="D74" i="1" s="1"/>
  <c r="E74" i="1" s="1"/>
  <c r="M72" i="1" l="1"/>
  <c r="O72" i="1" s="1"/>
  <c r="F73" i="1" l="1"/>
  <c r="G73" i="1" s="1"/>
  <c r="J73" i="1" l="1"/>
  <c r="I73" i="1"/>
  <c r="L73" i="1" l="1"/>
  <c r="N75" i="1" s="1"/>
  <c r="D75" i="1" s="1"/>
  <c r="E75" i="1" s="1"/>
  <c r="M73" i="1" l="1"/>
  <c r="O73" i="1" l="1"/>
  <c r="F74" i="1" l="1"/>
  <c r="G74" i="1" l="1"/>
  <c r="I74" i="1" l="1"/>
  <c r="J74" i="1"/>
  <c r="L74" i="1" l="1"/>
  <c r="N76" i="1" s="1"/>
  <c r="D76" i="1" s="1"/>
  <c r="E76" i="1" s="1"/>
  <c r="M74" i="1" l="1"/>
  <c r="O74" i="1" l="1"/>
  <c r="F75" i="1" l="1"/>
  <c r="G75" i="1" l="1"/>
  <c r="I75" i="1" l="1"/>
  <c r="J75" i="1"/>
  <c r="L75" i="1" l="1"/>
  <c r="N77" i="1" s="1"/>
  <c r="D77" i="1" s="1"/>
  <c r="E77" i="1" s="1"/>
  <c r="M75" i="1" l="1"/>
  <c r="O75" i="1" s="1"/>
  <c r="F76" i="1" l="1"/>
  <c r="G76" i="1" s="1"/>
  <c r="J76" i="1" l="1"/>
  <c r="I76" i="1"/>
  <c r="L76" i="1" l="1"/>
  <c r="N78" i="1" s="1"/>
  <c r="D78" i="1" s="1"/>
  <c r="E78" i="1" s="1"/>
  <c r="M76" i="1" l="1"/>
  <c r="O76" i="1" s="1"/>
  <c r="F77" i="1" l="1"/>
  <c r="G77" i="1" s="1"/>
  <c r="J77" i="1" l="1"/>
  <c r="I77" i="1"/>
  <c r="L77" i="1" l="1"/>
  <c r="N79" i="1" s="1"/>
  <c r="D79" i="1" s="1"/>
  <c r="E79" i="1" s="1"/>
  <c r="M77" i="1" l="1"/>
  <c r="O77" i="1" s="1"/>
  <c r="F78" i="1" l="1"/>
  <c r="G78" i="1" l="1"/>
  <c r="I78" i="1" s="1"/>
  <c r="J78" i="1" l="1"/>
  <c r="L78" i="1"/>
  <c r="N80" i="1" s="1"/>
  <c r="D80" i="1" s="1"/>
  <c r="E80" i="1" s="1"/>
  <c r="M78" i="1" l="1"/>
  <c r="O78" i="1" s="1"/>
  <c r="F79" i="1" l="1"/>
  <c r="G79" i="1" l="1"/>
  <c r="J79" i="1" s="1"/>
  <c r="I79" i="1" l="1"/>
  <c r="L79" i="1" s="1"/>
  <c r="N81" i="1" s="1"/>
  <c r="D81" i="1" s="1"/>
  <c r="E81" i="1" s="1"/>
  <c r="M79" i="1" l="1"/>
  <c r="O79" i="1" s="1"/>
  <c r="F80" i="1" l="1"/>
  <c r="G80" i="1" s="1"/>
  <c r="J80" i="1" l="1"/>
  <c r="I80" i="1"/>
  <c r="L80" i="1" l="1"/>
  <c r="N82" i="1" s="1"/>
  <c r="D82" i="1" s="1"/>
  <c r="E82" i="1" s="1"/>
  <c r="M80" i="1" l="1"/>
  <c r="O80" i="1" l="1"/>
  <c r="F81" i="1" l="1"/>
  <c r="G81" i="1" l="1"/>
  <c r="J81" i="1" s="1"/>
  <c r="I81" i="1" l="1"/>
  <c r="L81" i="1" s="1"/>
  <c r="N83" i="1" s="1"/>
  <c r="D83" i="1" s="1"/>
  <c r="E83" i="1" s="1"/>
  <c r="M81" i="1" l="1"/>
  <c r="O81" i="1" s="1"/>
  <c r="F82" i="1" l="1"/>
  <c r="G82" i="1" l="1"/>
  <c r="I82" i="1" s="1"/>
  <c r="J82" i="1" l="1"/>
  <c r="L82" i="1"/>
  <c r="N84" i="1" s="1"/>
  <c r="D84" i="1" s="1"/>
  <c r="E84" i="1" s="1"/>
  <c r="M82" i="1" l="1"/>
  <c r="O82" i="1" l="1"/>
  <c r="F83" i="1" l="1"/>
  <c r="G83" i="1" l="1"/>
  <c r="I83" i="1" s="1"/>
  <c r="J83" i="1" l="1"/>
  <c r="L83" i="1"/>
  <c r="N85" i="1" s="1"/>
  <c r="D85" i="1" s="1"/>
  <c r="E85" i="1" s="1"/>
  <c r="M83" i="1" l="1"/>
  <c r="O83" i="1" s="1"/>
  <c r="F84" i="1" l="1"/>
  <c r="G84" i="1" s="1"/>
  <c r="I84" i="1" l="1"/>
  <c r="J84" i="1"/>
  <c r="L84" i="1" l="1"/>
  <c r="N86" i="1" s="1"/>
  <c r="D86" i="1" s="1"/>
  <c r="E86" i="1" s="1"/>
  <c r="M84" i="1" l="1"/>
  <c r="O84" i="1" s="1"/>
  <c r="F85" i="1" l="1"/>
  <c r="G85" i="1"/>
  <c r="J85" i="1" l="1"/>
  <c r="I85" i="1"/>
  <c r="L85" i="1" l="1"/>
  <c r="N87" i="1" s="1"/>
  <c r="D87" i="1" s="1"/>
  <c r="E87" i="1" s="1"/>
  <c r="M85" i="1" l="1"/>
  <c r="O85" i="1" l="1"/>
  <c r="F86" i="1" l="1"/>
  <c r="G86" i="1" l="1"/>
  <c r="I86" i="1" s="1"/>
  <c r="J86" i="1" l="1"/>
  <c r="L86" i="1"/>
  <c r="N88" i="1" s="1"/>
  <c r="D88" i="1" s="1"/>
  <c r="E88" i="1" s="1"/>
  <c r="M86" i="1" l="1"/>
  <c r="O86" i="1" l="1"/>
  <c r="F87" i="1" l="1"/>
  <c r="G87" i="1" l="1"/>
  <c r="J87" i="1" s="1"/>
  <c r="I87" i="1" l="1"/>
  <c r="L87" i="1" s="1"/>
  <c r="N89" i="1" s="1"/>
  <c r="D89" i="1" s="1"/>
  <c r="E89" i="1" s="1"/>
  <c r="M87" i="1" l="1"/>
  <c r="O87" i="1" l="1"/>
  <c r="F88" i="1" l="1"/>
  <c r="G88" i="1" l="1"/>
  <c r="I88" i="1" s="1"/>
  <c r="J88" i="1" l="1"/>
  <c r="L88" i="1"/>
  <c r="N90" i="1" s="1"/>
  <c r="D90" i="1" s="1"/>
  <c r="E90" i="1" s="1"/>
  <c r="M88" i="1" l="1"/>
  <c r="O88" i="1" s="1"/>
  <c r="F89" i="1" l="1"/>
  <c r="G89" i="1" s="1"/>
  <c r="J89" i="1" l="1"/>
  <c r="I89" i="1"/>
  <c r="L89" i="1" l="1"/>
  <c r="N91" i="1" s="1"/>
  <c r="D91" i="1" s="1"/>
  <c r="E91" i="1" s="1"/>
  <c r="M89" i="1" l="1"/>
  <c r="O89" i="1" s="1"/>
  <c r="F90" i="1" l="1"/>
  <c r="G90" i="1" l="1"/>
  <c r="I90" i="1" s="1"/>
  <c r="J90" i="1" l="1"/>
  <c r="L90" i="1"/>
  <c r="N92" i="1" s="1"/>
  <c r="D92" i="1" s="1"/>
  <c r="E92" i="1" s="1"/>
  <c r="M90" i="1" l="1"/>
  <c r="O90" i="1" l="1"/>
  <c r="F91" i="1" l="1"/>
  <c r="G91" i="1" s="1"/>
  <c r="I91" i="1" l="1"/>
  <c r="J91" i="1"/>
  <c r="L91" i="1" l="1"/>
  <c r="N93" i="1" s="1"/>
  <c r="D93" i="1" s="1"/>
  <c r="E93" i="1" s="1"/>
  <c r="M91" i="1" l="1"/>
  <c r="O91" i="1" s="1"/>
  <c r="F92" i="1" l="1"/>
  <c r="G92" i="1" s="1"/>
  <c r="I92" i="1" l="1"/>
  <c r="J92" i="1"/>
  <c r="L92" i="1" l="1"/>
  <c r="N94" i="1" s="1"/>
  <c r="D94" i="1" s="1"/>
  <c r="E94" i="1" s="1"/>
  <c r="M92" i="1" l="1"/>
  <c r="O92" i="1" s="1"/>
  <c r="F93" i="1" l="1"/>
  <c r="G93" i="1" l="1"/>
  <c r="I93" i="1" s="1"/>
  <c r="J93" i="1" l="1"/>
  <c r="L93" i="1"/>
  <c r="N95" i="1" s="1"/>
  <c r="D95" i="1" s="1"/>
  <c r="E95" i="1" s="1"/>
  <c r="M93" i="1" l="1"/>
  <c r="O93" i="1" l="1"/>
  <c r="F94" i="1" l="1"/>
  <c r="G94" i="1" s="1"/>
  <c r="I94" i="1" l="1"/>
  <c r="J94" i="1"/>
  <c r="L94" i="1" l="1"/>
  <c r="N96" i="1" s="1"/>
  <c r="D96" i="1" s="1"/>
  <c r="E96" i="1" s="1"/>
  <c r="M94" i="1" l="1"/>
  <c r="O94" i="1" l="1"/>
  <c r="F95" i="1" l="1"/>
  <c r="G95" i="1" s="1"/>
  <c r="I95" i="1" l="1"/>
  <c r="J95" i="1"/>
  <c r="L95" i="1" l="1"/>
  <c r="N97" i="1" s="1"/>
  <c r="D97" i="1" s="1"/>
  <c r="E97" i="1" s="1"/>
  <c r="M95" i="1" l="1"/>
  <c r="O95" i="1" s="1"/>
  <c r="F96" i="1" l="1"/>
  <c r="G96" i="1"/>
  <c r="J96" i="1" l="1"/>
  <c r="I96" i="1"/>
  <c r="L96" i="1" l="1"/>
  <c r="N98" i="1" s="1"/>
  <c r="D98" i="1" s="1"/>
  <c r="E98" i="1" s="1"/>
  <c r="M96" i="1" l="1"/>
  <c r="O96" i="1" l="1"/>
  <c r="F97" i="1" l="1"/>
  <c r="G97" i="1" l="1"/>
  <c r="I97" i="1" s="1"/>
  <c r="J97" i="1" l="1"/>
  <c r="L97" i="1"/>
  <c r="N99" i="1" s="1"/>
  <c r="D99" i="1" s="1"/>
  <c r="E99" i="1" s="1"/>
  <c r="M97" i="1" l="1"/>
  <c r="O97" i="1" l="1"/>
  <c r="F98" i="1" l="1"/>
  <c r="G98" i="1" s="1"/>
  <c r="J98" i="1" l="1"/>
  <c r="I98" i="1"/>
  <c r="L98" i="1" l="1"/>
  <c r="N100" i="1" s="1"/>
  <c r="D100" i="1" s="1"/>
  <c r="E100" i="1" s="1"/>
  <c r="M98" i="1" l="1"/>
  <c r="O98" i="1" s="1"/>
  <c r="F99" i="1" l="1"/>
  <c r="G99" i="1" l="1"/>
  <c r="J99" i="1" s="1"/>
  <c r="I99" i="1" l="1"/>
  <c r="L99" i="1"/>
  <c r="N101" i="1" s="1"/>
  <c r="D101" i="1" s="1"/>
  <c r="E101" i="1" s="1"/>
  <c r="M99" i="1" l="1"/>
  <c r="O99" i="1" l="1"/>
  <c r="F100" i="1" l="1"/>
  <c r="G100" i="1" l="1"/>
  <c r="I100" i="1" l="1"/>
  <c r="J100" i="1"/>
  <c r="L100" i="1" l="1"/>
  <c r="N102" i="1" s="1"/>
  <c r="D102" i="1" s="1"/>
  <c r="E102" i="1" s="1"/>
  <c r="M100" i="1" l="1"/>
  <c r="O100" i="1" l="1"/>
  <c r="F101" i="1" l="1"/>
  <c r="G101" i="1" s="1"/>
  <c r="I101" i="1" l="1"/>
  <c r="J101" i="1"/>
  <c r="L101" i="1" l="1"/>
  <c r="N103" i="1" s="1"/>
  <c r="D103" i="1" s="1"/>
  <c r="E103" i="1" s="1"/>
  <c r="M101" i="1" l="1"/>
  <c r="O101" i="1" l="1"/>
  <c r="F102" i="1" l="1"/>
  <c r="G102" i="1" s="1"/>
  <c r="I102" i="1" l="1"/>
  <c r="J102" i="1"/>
  <c r="L102" i="1" l="1"/>
  <c r="N104" i="1" s="1"/>
  <c r="D104" i="1" s="1"/>
  <c r="E104" i="1" s="1"/>
  <c r="M102" i="1" l="1"/>
  <c r="O102" i="1" l="1"/>
  <c r="F103" i="1" l="1"/>
  <c r="G103" i="1"/>
  <c r="J103" i="1" l="1"/>
  <c r="I103" i="1"/>
  <c r="L103" i="1" l="1"/>
  <c r="N105" i="1" s="1"/>
  <c r="D105" i="1" s="1"/>
  <c r="E105" i="1" s="1"/>
  <c r="M103" i="1" l="1"/>
  <c r="O103" i="1" s="1"/>
  <c r="F104" i="1" l="1"/>
  <c r="G104" i="1" s="1"/>
  <c r="I104" i="1" l="1"/>
  <c r="J104" i="1"/>
  <c r="L104" i="1" l="1"/>
  <c r="N106" i="1" s="1"/>
  <c r="D106" i="1" s="1"/>
  <c r="E106" i="1" s="1"/>
  <c r="M104" i="1" l="1"/>
  <c r="O104" i="1" s="1"/>
  <c r="F105" i="1" l="1"/>
  <c r="G105" i="1" l="1"/>
  <c r="J105" i="1" s="1"/>
  <c r="I105" i="1" l="1"/>
  <c r="L105" i="1" s="1"/>
  <c r="N107" i="1" s="1"/>
  <c r="D107" i="1" s="1"/>
  <c r="E107" i="1" s="1"/>
  <c r="M105" i="1" l="1"/>
  <c r="O105" i="1" s="1"/>
  <c r="F106" i="1" l="1"/>
  <c r="G106" i="1" l="1"/>
  <c r="J106" i="1" s="1"/>
  <c r="I106" i="1" l="1"/>
  <c r="L106" i="1" s="1"/>
  <c r="N108" i="1" s="1"/>
  <c r="D108" i="1" s="1"/>
  <c r="E108" i="1" s="1"/>
  <c r="M106" i="1" l="1"/>
  <c r="O106" i="1" l="1"/>
  <c r="F107" i="1" l="1"/>
  <c r="G107" i="1" l="1"/>
  <c r="I107" i="1" s="1"/>
  <c r="J107" i="1" l="1"/>
  <c r="L107" i="1"/>
  <c r="N109" i="1" s="1"/>
  <c r="D109" i="1" s="1"/>
  <c r="E109" i="1" s="1"/>
  <c r="M107" i="1"/>
  <c r="O107" i="1" l="1"/>
  <c r="F108" i="1" l="1"/>
  <c r="G108" i="1" s="1"/>
  <c r="I108" i="1" l="1"/>
  <c r="J108" i="1"/>
  <c r="L108" i="1" l="1"/>
  <c r="N110" i="1" s="1"/>
  <c r="D110" i="1" s="1"/>
  <c r="E110" i="1" s="1"/>
  <c r="M108" i="1" l="1"/>
  <c r="O108" i="1"/>
  <c r="F109" i="1" l="1"/>
  <c r="G109" i="1"/>
  <c r="I109" i="1" l="1"/>
  <c r="J109" i="1"/>
  <c r="L109" i="1" l="1"/>
  <c r="N111" i="1" s="1"/>
  <c r="D111" i="1" s="1"/>
  <c r="E111" i="1" s="1"/>
  <c r="M109" i="1" l="1"/>
  <c r="O109" i="1" l="1"/>
  <c r="F110" i="1" l="1"/>
  <c r="G110" i="1"/>
  <c r="J110" i="1" l="1"/>
  <c r="I110" i="1"/>
  <c r="L110" i="1" l="1"/>
  <c r="N112" i="1" s="1"/>
  <c r="D112" i="1" s="1"/>
  <c r="E112" i="1" s="1"/>
  <c r="M110" i="1" l="1"/>
  <c r="O110" i="1" s="1"/>
  <c r="F111" i="1" l="1"/>
  <c r="G111" i="1"/>
  <c r="J111" i="1" l="1"/>
  <c r="I111" i="1"/>
  <c r="L111" i="1" l="1"/>
  <c r="N113" i="1" s="1"/>
  <c r="D113" i="1" s="1"/>
  <c r="E113" i="1" s="1"/>
  <c r="M111" i="1" l="1"/>
  <c r="O111" i="1"/>
  <c r="F112" i="1" l="1"/>
  <c r="G112" i="1"/>
  <c r="I112" i="1" l="1"/>
  <c r="J112" i="1"/>
  <c r="L112" i="1" l="1"/>
  <c r="N114" i="1" s="1"/>
  <c r="D114" i="1" s="1"/>
  <c r="E114" i="1" s="1"/>
  <c r="M112" i="1" l="1"/>
  <c r="O112" i="1" l="1"/>
  <c r="F113" i="1" l="1"/>
  <c r="G113" i="1"/>
  <c r="J113" i="1" l="1"/>
  <c r="I113" i="1"/>
  <c r="L113" i="1" l="1"/>
  <c r="N115" i="1" s="1"/>
  <c r="D115" i="1" s="1"/>
  <c r="E115" i="1" s="1"/>
  <c r="M113" i="1" l="1"/>
  <c r="O113" i="1" s="1"/>
  <c r="F114" i="1" l="1"/>
  <c r="G114" i="1"/>
  <c r="J114" i="1" l="1"/>
  <c r="I114" i="1"/>
  <c r="L114" i="1" l="1"/>
  <c r="N116" i="1" s="1"/>
  <c r="D116" i="1" s="1"/>
  <c r="E116" i="1" s="1"/>
  <c r="M114" i="1" l="1"/>
  <c r="O114" i="1"/>
  <c r="F115" i="1" l="1"/>
  <c r="G115" i="1" s="1"/>
  <c r="I115" i="1" l="1"/>
  <c r="J115" i="1"/>
  <c r="L115" i="1" l="1"/>
  <c r="N117" i="1" s="1"/>
  <c r="D117" i="1" s="1"/>
  <c r="E117" i="1" s="1"/>
  <c r="M115" i="1" l="1"/>
  <c r="O115" i="1" s="1"/>
  <c r="F116" i="1" l="1"/>
  <c r="G116" i="1" s="1"/>
  <c r="J116" i="1" l="1"/>
  <c r="I116" i="1"/>
  <c r="L116" i="1" l="1"/>
  <c r="N118" i="1" s="1"/>
  <c r="D118" i="1" s="1"/>
  <c r="E118" i="1" s="1"/>
  <c r="M116" i="1" l="1"/>
  <c r="O116" i="1" s="1"/>
  <c r="F117" i="1" l="1"/>
  <c r="G117" i="1" s="1"/>
  <c r="I117" i="1" l="1"/>
  <c r="J117" i="1"/>
  <c r="L117" i="1" l="1"/>
  <c r="N119" i="1" s="1"/>
  <c r="D119" i="1" s="1"/>
  <c r="E119" i="1" s="1"/>
  <c r="M117" i="1" l="1"/>
  <c r="O117" i="1" s="1"/>
  <c r="F118" i="1" l="1"/>
  <c r="G118" i="1" s="1"/>
  <c r="J118" i="1" l="1"/>
  <c r="I118" i="1"/>
  <c r="L118" i="1" l="1"/>
  <c r="N120" i="1" s="1"/>
  <c r="D120" i="1" s="1"/>
  <c r="E120" i="1" s="1"/>
  <c r="M118" i="1" l="1"/>
  <c r="O118" i="1"/>
  <c r="F119" i="1" l="1"/>
  <c r="G119" i="1" s="1"/>
  <c r="I119" i="1" l="1"/>
  <c r="J119" i="1"/>
  <c r="L119" i="1" l="1"/>
  <c r="N121" i="1" s="1"/>
  <c r="D121" i="1" s="1"/>
  <c r="E121" i="1" s="1"/>
  <c r="M119" i="1" l="1"/>
  <c r="O119" i="1" s="1"/>
  <c r="F120" i="1" l="1"/>
  <c r="G120" i="1" s="1"/>
  <c r="I120" i="1" l="1"/>
  <c r="J120" i="1"/>
  <c r="L120" i="1" l="1"/>
  <c r="N122" i="1" s="1"/>
  <c r="D122" i="1" s="1"/>
  <c r="E122" i="1" s="1"/>
  <c r="M120" i="1" l="1"/>
  <c r="O120" i="1" s="1"/>
  <c r="F121" i="1" l="1"/>
  <c r="G121" i="1" s="1"/>
  <c r="I121" i="1" l="1"/>
  <c r="J121" i="1"/>
  <c r="L121" i="1" l="1"/>
  <c r="N123" i="1" s="1"/>
  <c r="D123" i="1" s="1"/>
  <c r="E123" i="1" s="1"/>
  <c r="M121" i="1" l="1"/>
  <c r="O121" i="1" l="1"/>
  <c r="F122" i="1" l="1"/>
  <c r="G122" i="1"/>
  <c r="I122" i="1" l="1"/>
  <c r="J122" i="1"/>
  <c r="L122" i="1" l="1"/>
  <c r="N124" i="1" s="1"/>
  <c r="D124" i="1" s="1"/>
  <c r="E124" i="1" s="1"/>
  <c r="M122" i="1" l="1"/>
  <c r="O122" i="1"/>
  <c r="F123" i="1" l="1"/>
  <c r="G123" i="1" s="1"/>
  <c r="J123" i="1" l="1"/>
  <c r="I123" i="1"/>
  <c r="L123" i="1" l="1"/>
  <c r="N125" i="1" s="1"/>
  <c r="D125" i="1" s="1"/>
  <c r="E125" i="1" s="1"/>
  <c r="M123" i="1" l="1"/>
  <c r="O123" i="1" s="1"/>
  <c r="F124" i="1" l="1"/>
  <c r="G124" i="1" s="1"/>
  <c r="J124" i="1" l="1"/>
  <c r="I124" i="1"/>
  <c r="L124" i="1" l="1"/>
  <c r="N126" i="1" s="1"/>
  <c r="D126" i="1" s="1"/>
  <c r="E126" i="1" s="1"/>
  <c r="M124" i="1" l="1"/>
  <c r="O124" i="1" s="1"/>
  <c r="F125" i="1" l="1"/>
  <c r="G125" i="1" s="1"/>
  <c r="I125" i="1" l="1"/>
  <c r="J125" i="1"/>
  <c r="L125" i="1" l="1"/>
  <c r="N127" i="1" s="1"/>
  <c r="D127" i="1" s="1"/>
  <c r="E127" i="1" s="1"/>
  <c r="M125" i="1" l="1"/>
  <c r="O125" i="1" s="1"/>
  <c r="F126" i="1" l="1"/>
  <c r="G126" i="1" s="1"/>
  <c r="I126" i="1" l="1"/>
  <c r="J126" i="1"/>
  <c r="L126" i="1" l="1"/>
  <c r="N128" i="1" s="1"/>
  <c r="D128" i="1" s="1"/>
  <c r="E128" i="1" s="1"/>
  <c r="M126" i="1" l="1"/>
  <c r="O126" i="1" s="1"/>
  <c r="F127" i="1" l="1"/>
  <c r="G127" i="1" s="1"/>
  <c r="I127" i="1" l="1"/>
  <c r="J127" i="1"/>
  <c r="L127" i="1" l="1"/>
  <c r="N129" i="1" s="1"/>
  <c r="D129" i="1" s="1"/>
  <c r="E129" i="1" s="1"/>
  <c r="M127" i="1" l="1"/>
  <c r="O127" i="1" l="1"/>
  <c r="F128" i="1" l="1"/>
  <c r="G128" i="1" s="1"/>
  <c r="J128" i="1" l="1"/>
  <c r="I128" i="1"/>
  <c r="L128" i="1" l="1"/>
  <c r="N130" i="1" s="1"/>
  <c r="D130" i="1" s="1"/>
  <c r="E130" i="1" s="1"/>
  <c r="M128" i="1" l="1"/>
  <c r="O128" i="1" s="1"/>
  <c r="F129" i="1" l="1"/>
  <c r="G129" i="1"/>
  <c r="I129" i="1" l="1"/>
  <c r="J129" i="1"/>
  <c r="L129" i="1" l="1"/>
  <c r="N131" i="1" s="1"/>
  <c r="D131" i="1" s="1"/>
  <c r="E131" i="1" s="1"/>
  <c r="M129" i="1" l="1"/>
  <c r="O129" i="1" s="1"/>
  <c r="F130" i="1" l="1"/>
  <c r="G130" i="1" s="1"/>
  <c r="I130" i="1" l="1"/>
  <c r="J130" i="1"/>
  <c r="L130" i="1" l="1"/>
  <c r="N132" i="1" s="1"/>
  <c r="D132" i="1" s="1"/>
  <c r="E132" i="1" s="1"/>
  <c r="M130" i="1" l="1"/>
  <c r="O130" i="1" s="1"/>
  <c r="F131" i="1" l="1"/>
  <c r="G131" i="1" s="1"/>
  <c r="J131" i="1" l="1"/>
  <c r="I131" i="1"/>
  <c r="L131" i="1" l="1"/>
  <c r="N133" i="1" s="1"/>
  <c r="D133" i="1" s="1"/>
  <c r="E133" i="1" s="1"/>
  <c r="M131" i="1" l="1"/>
  <c r="O131" i="1" l="1"/>
  <c r="F132" i="1" l="1"/>
  <c r="G132" i="1" s="1"/>
  <c r="J132" i="1" l="1"/>
  <c r="I132" i="1"/>
  <c r="L132" i="1" l="1"/>
  <c r="N134" i="1" s="1"/>
  <c r="D134" i="1" s="1"/>
  <c r="E134" i="1" s="1"/>
  <c r="M132" i="1" l="1"/>
  <c r="O132" i="1" s="1"/>
  <c r="F133" i="1" l="1"/>
  <c r="G133" i="1" s="1"/>
  <c r="I133" i="1" l="1"/>
  <c r="J133" i="1"/>
  <c r="L133" i="1" l="1"/>
  <c r="N135" i="1" s="1"/>
  <c r="D135" i="1" s="1"/>
  <c r="E135" i="1" s="1"/>
  <c r="M133" i="1" l="1"/>
  <c r="O133" i="1" s="1"/>
  <c r="F134" i="1" l="1"/>
  <c r="G134" i="1" s="1"/>
  <c r="J134" i="1" l="1"/>
  <c r="I134" i="1"/>
  <c r="L134" i="1" l="1"/>
  <c r="N136" i="1" s="1"/>
  <c r="D136" i="1" s="1"/>
  <c r="E136" i="1" s="1"/>
  <c r="M134" i="1" l="1"/>
  <c r="O134" i="1" s="1"/>
  <c r="F135" i="1" l="1"/>
  <c r="G135" i="1" s="1"/>
  <c r="J135" i="1" l="1"/>
  <c r="I135" i="1"/>
  <c r="L135" i="1" l="1"/>
  <c r="N137" i="1" s="1"/>
  <c r="D137" i="1" s="1"/>
  <c r="E137" i="1" s="1"/>
  <c r="M135" i="1" l="1"/>
  <c r="O135" i="1" l="1"/>
  <c r="F136" i="1" l="1"/>
  <c r="G136" i="1" s="1"/>
  <c r="I136" i="1" l="1"/>
  <c r="J136" i="1"/>
  <c r="L136" i="1" l="1"/>
  <c r="N138" i="1" s="1"/>
  <c r="D138" i="1" s="1"/>
  <c r="E138" i="1" s="1"/>
  <c r="M136" i="1" l="1"/>
  <c r="O136" i="1" s="1"/>
  <c r="F137" i="1" l="1"/>
  <c r="G137" i="1" s="1"/>
  <c r="J137" i="1" l="1"/>
  <c r="I137" i="1"/>
  <c r="L137" i="1" l="1"/>
  <c r="N139" i="1" s="1"/>
  <c r="D139" i="1" s="1"/>
  <c r="E139" i="1" s="1"/>
  <c r="M137" i="1" l="1"/>
  <c r="O137" i="1" s="1"/>
  <c r="F138" i="1" l="1"/>
  <c r="G138" i="1" s="1"/>
  <c r="I138" i="1" l="1"/>
  <c r="J138" i="1"/>
  <c r="L138" i="1" l="1"/>
  <c r="N140" i="1" s="1"/>
  <c r="D140" i="1" s="1"/>
  <c r="E140" i="1" s="1"/>
  <c r="M138" i="1" l="1"/>
  <c r="O138" i="1" l="1"/>
  <c r="F139" i="1" l="1"/>
  <c r="G139" i="1" s="1"/>
  <c r="J139" i="1" l="1"/>
  <c r="I139" i="1"/>
  <c r="L139" i="1" l="1"/>
  <c r="N141" i="1" s="1"/>
  <c r="D141" i="1" s="1"/>
  <c r="E141" i="1" s="1"/>
  <c r="M139" i="1" l="1"/>
  <c r="O139" i="1" s="1"/>
  <c r="F140" i="1" l="1"/>
  <c r="G140" i="1" s="1"/>
  <c r="I140" i="1" l="1"/>
  <c r="J140" i="1"/>
  <c r="L140" i="1" l="1"/>
  <c r="N142" i="1" s="1"/>
  <c r="D142" i="1" s="1"/>
  <c r="E142" i="1" s="1"/>
  <c r="M140" i="1" l="1"/>
  <c r="O140" i="1" s="1"/>
  <c r="F141" i="1" l="1"/>
  <c r="G141" i="1" s="1"/>
  <c r="I141" i="1" l="1"/>
  <c r="J141" i="1"/>
  <c r="L141" i="1" l="1"/>
  <c r="N143" i="1" s="1"/>
  <c r="D143" i="1" s="1"/>
  <c r="E143" i="1" s="1"/>
  <c r="M141" i="1" l="1"/>
  <c r="O141" i="1" l="1"/>
  <c r="F142" i="1" l="1"/>
  <c r="G142" i="1" s="1"/>
  <c r="J142" i="1" l="1"/>
  <c r="I142" i="1"/>
  <c r="L142" i="1" l="1"/>
  <c r="N144" i="1" s="1"/>
  <c r="D144" i="1" s="1"/>
  <c r="E144" i="1" s="1"/>
  <c r="M142" i="1" l="1"/>
  <c r="O142" i="1" s="1"/>
  <c r="F143" i="1" l="1"/>
  <c r="G143" i="1"/>
  <c r="J143" i="1" l="1"/>
  <c r="I143" i="1"/>
  <c r="L143" i="1" l="1"/>
  <c r="N145" i="1" s="1"/>
  <c r="D145" i="1" s="1"/>
  <c r="E145" i="1" s="1"/>
  <c r="M143" i="1" l="1"/>
  <c r="O143" i="1"/>
  <c r="F144" i="1" l="1"/>
  <c r="G144" i="1" s="1"/>
  <c r="I144" i="1" l="1"/>
  <c r="J144" i="1"/>
  <c r="L144" i="1" l="1"/>
  <c r="N146" i="1" s="1"/>
  <c r="D146" i="1" s="1"/>
  <c r="E146" i="1" s="1"/>
  <c r="M144" i="1" l="1"/>
  <c r="O144" i="1" s="1"/>
  <c r="F145" i="1" l="1"/>
  <c r="G145" i="1" s="1"/>
  <c r="J145" i="1" l="1"/>
  <c r="I145" i="1"/>
  <c r="L145" i="1" l="1"/>
  <c r="N147" i="1" s="1"/>
  <c r="D147" i="1" s="1"/>
  <c r="E147" i="1" s="1"/>
  <c r="M145" i="1" l="1"/>
  <c r="O145" i="1" s="1"/>
  <c r="F146" i="1" l="1"/>
  <c r="G146" i="1" s="1"/>
  <c r="I146" i="1" l="1"/>
  <c r="J146" i="1"/>
  <c r="L146" i="1" l="1"/>
  <c r="N148" i="1" s="1"/>
  <c r="D148" i="1" s="1"/>
  <c r="E148" i="1" s="1"/>
  <c r="M146" i="1"/>
  <c r="O146" i="1" l="1"/>
  <c r="F147" i="1" l="1"/>
  <c r="G147" i="1"/>
  <c r="I147" i="1" l="1"/>
  <c r="J147" i="1"/>
  <c r="L147" i="1" l="1"/>
  <c r="N149" i="1" s="1"/>
  <c r="D149" i="1" s="1"/>
  <c r="E149" i="1" s="1"/>
  <c r="M147" i="1" l="1"/>
  <c r="O147" i="1"/>
  <c r="F148" i="1" l="1"/>
  <c r="G148" i="1" s="1"/>
  <c r="I148" i="1" l="1"/>
  <c r="J148" i="1"/>
  <c r="L148" i="1" l="1"/>
  <c r="N150" i="1" s="1"/>
  <c r="D150" i="1" s="1"/>
  <c r="E150" i="1" s="1"/>
  <c r="M148" i="1" l="1"/>
  <c r="O148" i="1" l="1"/>
  <c r="F149" i="1" l="1"/>
  <c r="G149" i="1" s="1"/>
  <c r="I149" i="1" l="1"/>
  <c r="J149" i="1"/>
  <c r="L149" i="1" l="1"/>
  <c r="N151" i="1" s="1"/>
  <c r="D151" i="1" s="1"/>
  <c r="E151" i="1" s="1"/>
  <c r="M149" i="1" l="1"/>
  <c r="O149" i="1" s="1"/>
  <c r="F150" i="1" l="1"/>
  <c r="G150" i="1"/>
  <c r="I150" i="1" l="1"/>
  <c r="J150" i="1"/>
  <c r="L150" i="1" l="1"/>
  <c r="N152" i="1" s="1"/>
  <c r="D152" i="1" s="1"/>
  <c r="E152" i="1" s="1"/>
  <c r="M150" i="1" l="1"/>
  <c r="O150" i="1" l="1"/>
  <c r="F151" i="1" l="1"/>
  <c r="G151" i="1" s="1"/>
  <c r="I151" i="1" l="1"/>
  <c r="J151" i="1"/>
  <c r="L151" i="1" l="1"/>
  <c r="N153" i="1" s="1"/>
  <c r="D153" i="1" s="1"/>
  <c r="E153" i="1" s="1"/>
  <c r="M151" i="1" l="1"/>
  <c r="O151" i="1" s="1"/>
  <c r="F152" i="1" l="1"/>
  <c r="G152" i="1" s="1"/>
  <c r="J152" i="1" l="1"/>
  <c r="I152" i="1"/>
  <c r="L152" i="1" l="1"/>
  <c r="N154" i="1" s="1"/>
  <c r="D154" i="1" s="1"/>
  <c r="E154" i="1" s="1"/>
  <c r="M152" i="1" l="1"/>
  <c r="O152" i="1" s="1"/>
  <c r="F153" i="1" l="1"/>
  <c r="G153" i="1" s="1"/>
  <c r="I153" i="1" l="1"/>
  <c r="J153" i="1"/>
  <c r="L153" i="1" l="1"/>
  <c r="N155" i="1" s="1"/>
  <c r="D155" i="1" s="1"/>
  <c r="E155" i="1" s="1"/>
  <c r="M153" i="1" l="1"/>
  <c r="O153" i="1" s="1"/>
  <c r="F154" i="1" l="1"/>
  <c r="G154" i="1" s="1"/>
  <c r="J154" i="1" l="1"/>
  <c r="I154" i="1"/>
  <c r="L154" i="1" l="1"/>
  <c r="N156" i="1" s="1"/>
  <c r="D156" i="1" s="1"/>
  <c r="E156" i="1" s="1"/>
  <c r="M154" i="1" l="1"/>
  <c r="O154" i="1"/>
  <c r="F155" i="1" l="1"/>
  <c r="G155" i="1" s="1"/>
  <c r="I155" i="1" l="1"/>
  <c r="J155" i="1"/>
  <c r="L155" i="1" l="1"/>
  <c r="N157" i="1" s="1"/>
  <c r="D157" i="1" s="1"/>
  <c r="E157" i="1" s="1"/>
  <c r="M155" i="1" l="1"/>
  <c r="O155" i="1" s="1"/>
  <c r="F156" i="1" l="1"/>
  <c r="G156" i="1" s="1"/>
  <c r="I156" i="1" l="1"/>
  <c r="J156" i="1"/>
  <c r="L156" i="1" l="1"/>
  <c r="N158" i="1" s="1"/>
  <c r="D158" i="1" s="1"/>
  <c r="E158" i="1" s="1"/>
  <c r="M156" i="1" l="1"/>
  <c r="O156" i="1"/>
  <c r="F157" i="1" l="1"/>
  <c r="G157" i="1"/>
  <c r="J157" i="1" l="1"/>
  <c r="I157" i="1"/>
  <c r="L157" i="1" l="1"/>
  <c r="N159" i="1" s="1"/>
  <c r="D159" i="1" s="1"/>
  <c r="E159" i="1" s="1"/>
  <c r="M157" i="1" l="1"/>
  <c r="O157" i="1" s="1"/>
  <c r="F158" i="1" l="1"/>
  <c r="G158" i="1"/>
  <c r="I158" i="1" l="1"/>
  <c r="J158" i="1"/>
  <c r="L158" i="1" l="1"/>
  <c r="N160" i="1" s="1"/>
  <c r="D160" i="1" s="1"/>
  <c r="E160" i="1" s="1"/>
  <c r="M158" i="1" l="1"/>
  <c r="O158" i="1" l="1"/>
  <c r="F159" i="1" l="1"/>
  <c r="G159" i="1"/>
  <c r="I159" i="1" l="1"/>
  <c r="J159" i="1"/>
  <c r="L159" i="1" l="1"/>
  <c r="N161" i="1" s="1"/>
  <c r="D161" i="1" s="1"/>
  <c r="E161" i="1" s="1"/>
  <c r="M159" i="1" l="1"/>
  <c r="O159" i="1" s="1"/>
  <c r="F160" i="1" l="1"/>
  <c r="G160" i="1"/>
  <c r="I160" i="1" l="1"/>
  <c r="J160" i="1"/>
  <c r="L160" i="1" l="1"/>
  <c r="N162" i="1" s="1"/>
  <c r="D162" i="1" s="1"/>
  <c r="E162" i="1" s="1"/>
  <c r="M160" i="1" l="1"/>
  <c r="O160" i="1" s="1"/>
  <c r="F161" i="1" l="1"/>
  <c r="G161" i="1"/>
  <c r="J161" i="1" l="1"/>
  <c r="I161" i="1"/>
  <c r="L161" i="1" l="1"/>
  <c r="N163" i="1" s="1"/>
  <c r="D163" i="1" s="1"/>
  <c r="E163" i="1" s="1"/>
  <c r="M161" i="1" l="1"/>
  <c r="O161" i="1" l="1"/>
  <c r="F162" i="1" l="1"/>
  <c r="G162" i="1"/>
  <c r="J162" i="1" l="1"/>
  <c r="I162" i="1"/>
  <c r="L162" i="1" l="1"/>
  <c r="N164" i="1" s="1"/>
  <c r="D164" i="1" s="1"/>
  <c r="E164" i="1" s="1"/>
  <c r="M162" i="1" l="1"/>
  <c r="O162" i="1" s="1"/>
  <c r="F163" i="1" l="1"/>
  <c r="G163" i="1"/>
  <c r="I163" i="1" l="1"/>
  <c r="J163" i="1"/>
  <c r="L163" i="1" l="1"/>
  <c r="N165" i="1" s="1"/>
  <c r="D165" i="1" s="1"/>
  <c r="E165" i="1" s="1"/>
  <c r="M163" i="1" l="1"/>
  <c r="O163" i="1" l="1"/>
  <c r="F164" i="1" l="1"/>
  <c r="G164" i="1" s="1"/>
  <c r="J164" i="1" l="1"/>
  <c r="I164" i="1"/>
  <c r="L164" i="1" l="1"/>
  <c r="N166" i="1" s="1"/>
  <c r="D166" i="1" s="1"/>
  <c r="E166" i="1" s="1"/>
  <c r="M164" i="1" l="1"/>
  <c r="O164" i="1" s="1"/>
  <c r="F165" i="1" l="1"/>
  <c r="G165" i="1"/>
  <c r="I165" i="1" l="1"/>
  <c r="J165" i="1"/>
  <c r="L165" i="1" l="1"/>
  <c r="N167" i="1" s="1"/>
  <c r="D167" i="1" s="1"/>
  <c r="E167" i="1" s="1"/>
  <c r="M165" i="1" l="1"/>
  <c r="O165" i="1" s="1"/>
  <c r="F166" i="1" l="1"/>
  <c r="G166" i="1"/>
  <c r="I166" i="1" l="1"/>
  <c r="J166" i="1"/>
  <c r="L166" i="1" l="1"/>
  <c r="N168" i="1" s="1"/>
  <c r="D168" i="1" s="1"/>
  <c r="E168" i="1" s="1"/>
  <c r="M166" i="1" l="1"/>
  <c r="O166" i="1" s="1"/>
  <c r="F167" i="1" l="1"/>
  <c r="G167" i="1" s="1"/>
  <c r="J167" i="1" l="1"/>
  <c r="I167" i="1"/>
  <c r="L167" i="1" l="1"/>
  <c r="N169" i="1" s="1"/>
  <c r="D169" i="1" s="1"/>
  <c r="E169" i="1" s="1"/>
  <c r="M167" i="1" l="1"/>
  <c r="O167" i="1" s="1"/>
  <c r="F168" i="1" l="1"/>
  <c r="G168" i="1"/>
  <c r="J168" i="1" l="1"/>
  <c r="I168" i="1"/>
  <c r="L168" i="1" l="1"/>
  <c r="N170" i="1" s="1"/>
  <c r="D170" i="1" s="1"/>
  <c r="E170" i="1" s="1"/>
  <c r="M168" i="1" l="1"/>
  <c r="O168" i="1" s="1"/>
  <c r="F169" i="1" l="1"/>
  <c r="G169" i="1"/>
  <c r="J169" i="1" l="1"/>
  <c r="I169" i="1"/>
  <c r="L169" i="1" l="1"/>
  <c r="N171" i="1" s="1"/>
  <c r="D171" i="1" s="1"/>
  <c r="E171" i="1" s="1"/>
  <c r="M169" i="1" l="1"/>
  <c r="O169" i="1" s="1"/>
  <c r="F170" i="1" l="1"/>
  <c r="G170" i="1"/>
  <c r="J170" i="1" l="1"/>
  <c r="I170" i="1"/>
  <c r="L170" i="1" l="1"/>
  <c r="N172" i="1" s="1"/>
  <c r="D172" i="1" s="1"/>
  <c r="E172" i="1" s="1"/>
  <c r="M170" i="1" l="1"/>
  <c r="O170" i="1" l="1"/>
  <c r="F171" i="1" l="1"/>
  <c r="G171" i="1"/>
  <c r="I171" i="1" l="1"/>
  <c r="J171" i="1"/>
  <c r="L171" i="1" l="1"/>
  <c r="N173" i="1" s="1"/>
  <c r="D173" i="1" s="1"/>
  <c r="E173" i="1" s="1"/>
  <c r="M171" i="1" l="1"/>
  <c r="O171" i="1" s="1"/>
  <c r="F172" i="1" l="1"/>
  <c r="G172" i="1"/>
  <c r="I172" i="1" l="1"/>
  <c r="J172" i="1"/>
  <c r="L172" i="1" l="1"/>
  <c r="N174" i="1" s="1"/>
  <c r="D174" i="1" s="1"/>
  <c r="E174" i="1" s="1"/>
  <c r="M172" i="1" l="1"/>
  <c r="O172" i="1" s="1"/>
  <c r="F173" i="1" l="1"/>
  <c r="G173" i="1"/>
  <c r="J173" i="1" l="1"/>
  <c r="I173" i="1"/>
  <c r="L173" i="1" l="1"/>
  <c r="N175" i="1" s="1"/>
  <c r="D175" i="1" s="1"/>
  <c r="E175" i="1" s="1"/>
  <c r="M173" i="1" l="1"/>
  <c r="O173" i="1" s="1"/>
  <c r="F174" i="1" l="1"/>
  <c r="G174" i="1" l="1"/>
  <c r="J174" i="1"/>
  <c r="I174" i="1"/>
  <c r="L174" i="1" l="1"/>
  <c r="N176" i="1" s="1"/>
  <c r="D176" i="1" s="1"/>
  <c r="E176" i="1" s="1"/>
  <c r="M174" i="1" l="1"/>
  <c r="O174" i="1" s="1"/>
  <c r="F175" i="1" l="1"/>
  <c r="G175" i="1"/>
  <c r="I175" i="1" l="1"/>
  <c r="J175" i="1"/>
  <c r="L175" i="1" l="1"/>
  <c r="N177" i="1" s="1"/>
  <c r="D177" i="1" s="1"/>
  <c r="E177" i="1" s="1"/>
  <c r="M175" i="1" l="1"/>
  <c r="O175" i="1" l="1"/>
  <c r="F176" i="1" l="1"/>
  <c r="G176" i="1"/>
  <c r="I176" i="1" l="1"/>
  <c r="J176" i="1"/>
  <c r="L176" i="1" l="1"/>
  <c r="N178" i="1" s="1"/>
  <c r="D178" i="1" s="1"/>
  <c r="E178" i="1" s="1"/>
  <c r="M176" i="1" l="1"/>
  <c r="O176" i="1"/>
  <c r="F177" i="1" l="1"/>
  <c r="G177" i="1"/>
  <c r="J177" i="1" l="1"/>
  <c r="I177" i="1"/>
  <c r="L177" i="1" l="1"/>
  <c r="N179" i="1" s="1"/>
  <c r="D179" i="1" s="1"/>
  <c r="E179" i="1" s="1"/>
  <c r="M177" i="1" l="1"/>
  <c r="O177" i="1" s="1"/>
  <c r="F178" i="1" l="1"/>
  <c r="G178" i="1" s="1"/>
  <c r="I178" i="1" l="1"/>
  <c r="J178" i="1"/>
  <c r="L178" i="1" l="1"/>
  <c r="N180" i="1" s="1"/>
  <c r="D180" i="1" s="1"/>
  <c r="E180" i="1" s="1"/>
  <c r="M178" i="1" l="1"/>
  <c r="O178" i="1" s="1"/>
  <c r="F179" i="1" l="1"/>
  <c r="G179" i="1"/>
  <c r="I179" i="1" l="1"/>
  <c r="J179" i="1"/>
  <c r="L179" i="1" l="1"/>
  <c r="N181" i="1" s="1"/>
  <c r="D181" i="1" s="1"/>
  <c r="E181" i="1" s="1"/>
  <c r="M179" i="1" l="1"/>
  <c r="O179" i="1" l="1"/>
  <c r="F180" i="1" l="1"/>
  <c r="G180" i="1" s="1"/>
  <c r="I180" i="1" l="1"/>
  <c r="J180" i="1"/>
  <c r="L180" i="1" l="1"/>
  <c r="N182" i="1" s="1"/>
  <c r="D182" i="1" s="1"/>
  <c r="E182" i="1" s="1"/>
  <c r="M180" i="1" l="1"/>
  <c r="O180" i="1" l="1"/>
  <c r="F181" i="1" l="1"/>
  <c r="G181" i="1" s="1"/>
  <c r="I181" i="1" l="1"/>
  <c r="J181" i="1"/>
  <c r="L181" i="1" l="1"/>
  <c r="N183" i="1" s="1"/>
  <c r="D183" i="1" s="1"/>
  <c r="E183" i="1" s="1"/>
  <c r="M181" i="1" l="1"/>
  <c r="O181" i="1" l="1"/>
  <c r="F182" i="1" l="1"/>
  <c r="G182" i="1" s="1"/>
  <c r="J182" i="1" l="1"/>
  <c r="I182" i="1"/>
  <c r="L182" i="1" l="1"/>
  <c r="N184" i="1" s="1"/>
  <c r="D184" i="1" s="1"/>
  <c r="E184" i="1" s="1"/>
  <c r="M182" i="1" l="1"/>
  <c r="O182" i="1" s="1"/>
  <c r="F183" i="1" l="1"/>
  <c r="G183" i="1" s="1"/>
  <c r="J183" i="1" l="1"/>
  <c r="I183" i="1"/>
  <c r="L183" i="1" l="1"/>
  <c r="N185" i="1" s="1"/>
  <c r="D185" i="1" s="1"/>
  <c r="E185" i="1" s="1"/>
  <c r="M183" i="1" l="1"/>
  <c r="O183" i="1" s="1"/>
  <c r="F184" i="1" l="1"/>
  <c r="G184" i="1" s="1"/>
  <c r="I184" i="1" l="1"/>
  <c r="J184" i="1"/>
  <c r="L184" i="1" l="1"/>
  <c r="N186" i="1" s="1"/>
  <c r="D186" i="1" s="1"/>
  <c r="E186" i="1" s="1"/>
  <c r="M184" i="1" l="1"/>
  <c r="O184" i="1" s="1"/>
  <c r="F185" i="1" l="1"/>
  <c r="G185" i="1" l="1"/>
  <c r="I185" i="1" s="1"/>
  <c r="J185" i="1" l="1"/>
  <c r="L185" i="1"/>
  <c r="N187" i="1" s="1"/>
  <c r="D187" i="1" s="1"/>
  <c r="E187" i="1" s="1"/>
  <c r="M185" i="1" l="1"/>
  <c r="O185" i="1" l="1"/>
  <c r="F186" i="1" l="1"/>
  <c r="G186" i="1" s="1"/>
  <c r="J186" i="1" l="1"/>
  <c r="I186" i="1"/>
  <c r="L186" i="1" l="1"/>
  <c r="N188" i="1" s="1"/>
  <c r="D188" i="1" s="1"/>
  <c r="E188" i="1" s="1"/>
  <c r="M186" i="1" l="1"/>
  <c r="O186" i="1" s="1"/>
  <c r="F187" i="1" l="1"/>
  <c r="G187" i="1" s="1"/>
  <c r="J187" i="1" l="1"/>
  <c r="I187" i="1"/>
  <c r="L187" i="1" l="1"/>
  <c r="N189" i="1" s="1"/>
  <c r="D189" i="1" s="1"/>
  <c r="E189" i="1" s="1"/>
  <c r="M187" i="1" l="1"/>
  <c r="O187" i="1" s="1"/>
  <c r="F188" i="1" l="1"/>
  <c r="G188" i="1" s="1"/>
  <c r="I188" i="1" l="1"/>
  <c r="J188" i="1"/>
  <c r="L188" i="1" l="1"/>
  <c r="N190" i="1" s="1"/>
  <c r="D190" i="1" s="1"/>
  <c r="E190" i="1" s="1"/>
  <c r="M188" i="1" l="1"/>
  <c r="O188" i="1" s="1"/>
  <c r="F189" i="1" l="1"/>
  <c r="G189" i="1" s="1"/>
  <c r="I189" i="1" l="1"/>
  <c r="J189" i="1"/>
  <c r="L189" i="1" l="1"/>
  <c r="N191" i="1" s="1"/>
  <c r="D191" i="1" s="1"/>
  <c r="E191" i="1" s="1"/>
  <c r="M189" i="1" l="1"/>
  <c r="O189" i="1" l="1"/>
  <c r="F190" i="1" l="1"/>
  <c r="G190" i="1" s="1"/>
  <c r="I190" i="1" l="1"/>
  <c r="J190" i="1"/>
  <c r="L190" i="1" l="1"/>
  <c r="N192" i="1" s="1"/>
  <c r="D192" i="1" s="1"/>
  <c r="E192" i="1" s="1"/>
  <c r="M190" i="1" l="1"/>
  <c r="O190" i="1" l="1"/>
  <c r="F191" i="1" l="1"/>
  <c r="G191" i="1" s="1"/>
  <c r="J191" i="1" l="1"/>
  <c r="I191" i="1"/>
  <c r="L191" i="1" l="1"/>
  <c r="N193" i="1" s="1"/>
  <c r="D193" i="1" s="1"/>
  <c r="E193" i="1" s="1"/>
  <c r="M191" i="1" l="1"/>
  <c r="O191" i="1" s="1"/>
  <c r="F192" i="1" l="1"/>
  <c r="G192" i="1" s="1"/>
  <c r="I192" i="1" l="1"/>
  <c r="J192" i="1"/>
  <c r="L192" i="1" l="1"/>
  <c r="N194" i="1" s="1"/>
  <c r="D194" i="1" s="1"/>
  <c r="E194" i="1" s="1"/>
  <c r="M192" i="1" l="1"/>
  <c r="O192" i="1" l="1"/>
  <c r="F193" i="1" l="1"/>
  <c r="G193" i="1" l="1"/>
  <c r="I193" i="1" s="1"/>
  <c r="J193" i="1"/>
  <c r="L193" i="1" l="1"/>
  <c r="N195" i="1" s="1"/>
  <c r="D195" i="1" s="1"/>
  <c r="E195" i="1" s="1"/>
  <c r="M193" i="1" l="1"/>
  <c r="O193" i="1" l="1"/>
  <c r="F194" i="1" l="1"/>
  <c r="G194" i="1" s="1"/>
  <c r="I194" i="1" l="1"/>
  <c r="J194" i="1"/>
  <c r="L194" i="1" l="1"/>
  <c r="N196" i="1" s="1"/>
  <c r="D196" i="1" s="1"/>
  <c r="E196" i="1" s="1"/>
  <c r="M194" i="1" l="1"/>
  <c r="O194" i="1" s="1"/>
  <c r="F195" i="1" l="1"/>
  <c r="G195" i="1" s="1"/>
  <c r="I195" i="1" l="1"/>
  <c r="J195" i="1"/>
  <c r="L195" i="1" l="1"/>
  <c r="N197" i="1" s="1"/>
  <c r="D197" i="1" s="1"/>
  <c r="E197" i="1" s="1"/>
  <c r="M195" i="1" l="1"/>
  <c r="O195" i="1" l="1"/>
  <c r="F196" i="1" l="1"/>
  <c r="G196" i="1" s="1"/>
  <c r="J196" i="1" l="1"/>
  <c r="I196" i="1"/>
  <c r="L196" i="1" l="1"/>
  <c r="N198" i="1" s="1"/>
  <c r="D198" i="1" s="1"/>
  <c r="E198" i="1" s="1"/>
  <c r="M196" i="1" l="1"/>
  <c r="O196" i="1" l="1"/>
  <c r="F197" i="1" l="1"/>
  <c r="G197" i="1" s="1"/>
  <c r="J197" i="1" l="1"/>
  <c r="I197" i="1"/>
  <c r="L197" i="1" l="1"/>
  <c r="N199" i="1" s="1"/>
  <c r="D199" i="1" s="1"/>
  <c r="E199" i="1" s="1"/>
  <c r="M197" i="1" l="1"/>
  <c r="O197" i="1" l="1"/>
  <c r="F198" i="1" l="1"/>
  <c r="G198" i="1" s="1"/>
  <c r="J198" i="1" l="1"/>
  <c r="I198" i="1"/>
  <c r="L198" i="1" l="1"/>
  <c r="N200" i="1" s="1"/>
  <c r="D200" i="1" s="1"/>
  <c r="E200" i="1" s="1"/>
  <c r="M198" i="1" l="1"/>
  <c r="O198" i="1" l="1"/>
  <c r="F199" i="1" l="1"/>
  <c r="G199" i="1" s="1"/>
  <c r="I199" i="1" l="1"/>
  <c r="J199" i="1"/>
  <c r="L199" i="1" l="1"/>
  <c r="N201" i="1" s="1"/>
  <c r="D201" i="1" s="1"/>
  <c r="E201" i="1" s="1"/>
  <c r="M199" i="1" l="1"/>
  <c r="O199" i="1" l="1"/>
  <c r="F200" i="1" l="1"/>
  <c r="G200" i="1" s="1"/>
  <c r="J200" i="1" l="1"/>
  <c r="I200" i="1"/>
  <c r="L200" i="1" l="1"/>
  <c r="N202" i="1" s="1"/>
  <c r="D202" i="1" s="1"/>
  <c r="E202" i="1" s="1"/>
  <c r="M200" i="1" l="1"/>
  <c r="O200" i="1" s="1"/>
  <c r="F201" i="1" l="1"/>
  <c r="G201" i="1" s="1"/>
  <c r="J201" i="1" l="1"/>
  <c r="I201" i="1"/>
  <c r="L201" i="1" l="1"/>
  <c r="N203" i="1" s="1"/>
  <c r="D203" i="1" s="1"/>
  <c r="E203" i="1" s="1"/>
  <c r="M201" i="1" l="1"/>
  <c r="O201" i="1" s="1"/>
  <c r="F202" i="1" l="1"/>
  <c r="G202" i="1" s="1"/>
  <c r="J202" i="1" l="1"/>
  <c r="I202" i="1"/>
  <c r="L202" i="1" l="1"/>
  <c r="N204" i="1" s="1"/>
  <c r="D204" i="1" s="1"/>
  <c r="E204" i="1" s="1"/>
  <c r="M202" i="1" l="1"/>
  <c r="O202" i="1" s="1"/>
  <c r="F203" i="1" l="1"/>
  <c r="G203" i="1" s="1"/>
  <c r="I203" i="1" l="1"/>
  <c r="J203" i="1"/>
  <c r="L203" i="1" l="1"/>
  <c r="N205" i="1" s="1"/>
  <c r="D205" i="1" s="1"/>
  <c r="E205" i="1" s="1"/>
  <c r="M203" i="1" l="1"/>
  <c r="O203" i="1" l="1"/>
  <c r="F204" i="1" l="1"/>
  <c r="G204" i="1" l="1"/>
  <c r="I204" i="1" s="1"/>
  <c r="J204" i="1" l="1"/>
  <c r="L204" i="1"/>
  <c r="N206" i="1" s="1"/>
  <c r="D206" i="1" s="1"/>
  <c r="E206" i="1" s="1"/>
  <c r="M204" i="1" l="1"/>
  <c r="O204" i="1" l="1"/>
  <c r="F205" i="1" l="1"/>
  <c r="G205" i="1" s="1"/>
  <c r="I205" i="1" l="1"/>
  <c r="J205" i="1"/>
  <c r="L205" i="1" l="1"/>
  <c r="M205" i="1" s="1"/>
  <c r="O205" i="1" l="1"/>
  <c r="N207" i="1"/>
  <c r="D207" i="1" s="1"/>
  <c r="E207" i="1" s="1"/>
  <c r="N209" i="1"/>
  <c r="D209" i="1" s="1"/>
  <c r="F206" i="1" l="1"/>
  <c r="G206" i="1" l="1"/>
  <c r="I206" i="1" l="1"/>
  <c r="J206" i="1"/>
  <c r="L206" i="1" l="1"/>
  <c r="N208" i="1" s="1"/>
  <c r="D208" i="1" s="1"/>
  <c r="E208" i="1" s="1"/>
  <c r="M206" i="1" l="1"/>
  <c r="O206" i="1" s="1"/>
  <c r="E209" i="1"/>
  <c r="G13" i="1"/>
  <c r="G12" i="1"/>
  <c r="E12" i="1" l="1"/>
  <c r="F207" i="1"/>
  <c r="G207" i="1" l="1"/>
  <c r="J207" i="1" l="1"/>
  <c r="I207" i="1"/>
  <c r="L207" i="1" l="1"/>
  <c r="M207" i="1" s="1"/>
  <c r="O207" i="1" s="1"/>
  <c r="F208" i="1" l="1"/>
  <c r="G208" i="1" l="1"/>
  <c r="I208" i="1" l="1"/>
  <c r="L208" i="1" s="1"/>
  <c r="M208" i="1" s="1"/>
  <c r="O208" i="1" s="1"/>
  <c r="J208" i="1"/>
  <c r="F209" i="1" l="1"/>
  <c r="G209" i="1" s="1"/>
  <c r="J209" i="1" s="1"/>
  <c r="I209" i="1" l="1"/>
  <c r="E14" i="1" l="1"/>
  <c r="L209" i="1"/>
  <c r="M209" i="1" s="1"/>
  <c r="O209" i="1" s="1"/>
</calcChain>
</file>

<file path=xl/sharedStrings.xml><?xml version="1.0" encoding="utf-8"?>
<sst xmlns="http://schemas.openxmlformats.org/spreadsheetml/2006/main" count="122" uniqueCount="51">
  <si>
    <t>demand</t>
  </si>
  <si>
    <t>forecast</t>
  </si>
  <si>
    <t>order</t>
  </si>
  <si>
    <t>LT</t>
  </si>
  <si>
    <t>alpha</t>
  </si>
  <si>
    <t xml:space="preserve">Inv </t>
  </si>
  <si>
    <t>rec'd</t>
  </si>
  <si>
    <t>capacity</t>
  </si>
  <si>
    <t>starts</t>
  </si>
  <si>
    <t>queue</t>
  </si>
  <si>
    <t>outs</t>
  </si>
  <si>
    <t>LT observed</t>
  </si>
  <si>
    <t>excess inv</t>
  </si>
  <si>
    <t>max</t>
  </si>
  <si>
    <t>min</t>
  </si>
  <si>
    <t>order amplitude</t>
  </si>
  <si>
    <t>inventory amplitude</t>
  </si>
  <si>
    <t>spike to 300 at week 10</t>
  </si>
  <si>
    <r>
      <t>spike to 300 at week 10 (</t>
    </r>
    <r>
      <rPr>
        <sz val="11"/>
        <color theme="1"/>
        <rFont val="Times New Roman"/>
        <family val="1"/>
      </rPr>
      <t>α</t>
    </r>
    <r>
      <rPr>
        <sz val="11"/>
        <color theme="1"/>
        <rFont val="Calibri"/>
        <family val="2"/>
      </rPr>
      <t xml:space="preserve"> = 0.20)</t>
    </r>
  </si>
  <si>
    <t>lead time</t>
  </si>
  <si>
    <t>time to rebuild</t>
  </si>
  <si>
    <t>TTS orders</t>
  </si>
  <si>
    <t>TTS inventory</t>
  </si>
  <si>
    <t>Numerical model: store and supplier</t>
  </si>
  <si>
    <t>Inputs are in yellow: these are only cells to change</t>
  </si>
  <si>
    <t xml:space="preserve">initial store demand </t>
  </si>
  <si>
    <t xml:space="preserve">Order up to </t>
  </si>
  <si>
    <t>Model assumes inventory target (safety stock) is set to Lead time* demand rate</t>
  </si>
  <si>
    <t>week</t>
  </si>
  <si>
    <t>Amplitude measures are in green cells.</t>
  </si>
  <si>
    <t>Intent is to simulate different demand series, which are input into column B, for different settings of the model parameters (lead time, alpha, capacity)</t>
  </si>
  <si>
    <t>Time to rebuild and time to stabilize measures are not computed; but can be found readily be y inspection from columns E for inventory and J for orders.</t>
  </si>
  <si>
    <t>smoothing parameter (alpha)</t>
  </si>
  <si>
    <t>store</t>
  </si>
  <si>
    <t>supplier</t>
  </si>
  <si>
    <t xml:space="preserve">Model assumes that at week 1 there are pipeline orders that exactly match the average demand rate over the lead time.   </t>
  </si>
  <si>
    <t>Intent is to simulate different supply events, which are input into column B, for different settings of the model parameters (lead time, alpha, capacity)</t>
  </si>
  <si>
    <t>We assume demand is constant at 100 per week</t>
  </si>
  <si>
    <t xml:space="preserve">initial demand </t>
  </si>
  <si>
    <t xml:space="preserve">lead time </t>
  </si>
  <si>
    <t>Order up to</t>
  </si>
  <si>
    <t xml:space="preserve">capacity </t>
  </si>
  <si>
    <t>cum cap</t>
  </si>
  <si>
    <t>time to clear queue (for LT for next period)</t>
  </si>
  <si>
    <t>Model assumes that store can defer orders, so that the supplier never has a queue</t>
  </si>
  <si>
    <t>However, stroe and supplier keep trakc of virtual queue, representing orders expected to be placed; based on virtual queue, supplier and store can project what lead time will be in next period.</t>
  </si>
  <si>
    <t>Intent is to simulate different demand series, which are input into column B, for different settings of the model parameters (lead time, alpha, capacity), with assumption of deferred ordering</t>
  </si>
  <si>
    <t>pipeline</t>
  </si>
  <si>
    <t>Inventory</t>
  </si>
  <si>
    <t>virtual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</si>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</sst>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2" fontId="0" fillId="0" borderId="0" xfId="0" applyNumberFormat="1"/>
    <xf numFmtId="2" fontId="0" fillId="2" borderId="0" xfId="0" applyNumberForma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Fill="1" applyBorder="1" applyAlignment="1">
      <alignment horizontal="center" wrapText="1"/>
    </xf>
    <xf numFmtId="0" fontId="0" fillId="0" borderId="6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2" fontId="0" fillId="0" borderId="0" xfId="0" applyNumberFormat="1" applyFill="1"/>
    <xf numFmtId="0" fontId="0" fillId="2" borderId="0" xfId="0" applyFill="1"/>
    <xf numFmtId="0" fontId="3" fillId="2" borderId="0" xfId="0" applyFont="1" applyFill="1"/>
    <xf numFmtId="2" fontId="3" fillId="2" borderId="0" xfId="0" applyNumberFormat="1" applyFont="1" applyFill="1"/>
    <xf numFmtId="0" fontId="0" fillId="0" borderId="0" xfId="0" applyAlignment="1">
      <alignment horizontal="right"/>
    </xf>
    <xf numFmtId="0" fontId="0" fillId="3" borderId="0" xfId="0" applyFill="1"/>
    <xf numFmtId="2" fontId="0" fillId="3" borderId="0" xfId="0" applyNumberFormat="1" applyFill="1"/>
    <xf numFmtId="0" fontId="3" fillId="3" borderId="0" xfId="0" applyFont="1" applyFill="1"/>
    <xf numFmtId="2" fontId="3" fillId="3" borderId="0" xfId="0" applyNumberFormat="1" applyFont="1" applyFill="1"/>
    <xf numFmtId="1" fontId="0" fillId="0" borderId="0" xfId="0" applyNumberFormat="1"/>
    <xf numFmtId="1" fontId="3" fillId="2" borderId="0" xfId="0" applyNumberFormat="1" applyFont="1" applyFill="1"/>
    <xf numFmtId="1" fontId="3" fillId="3" borderId="0" xfId="0" applyNumberFormat="1" applyFont="1" applyFill="1"/>
    <xf numFmtId="1" fontId="0" fillId="0" borderId="0" xfId="0" applyNumberFormat="1" applyFill="1"/>
    <xf numFmtId="2" fontId="3" fillId="0" borderId="0" xfId="0" applyNumberFormat="1" applyFont="1" applyFill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wrapText="1"/>
    </xf>
    <xf numFmtId="2" fontId="2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X</a:t>
            </a:r>
            <a:r>
              <a:rPr lang="en-US" b="0" i="0"/>
              <a:t>:  </a:t>
            </a:r>
            <a:r>
              <a:rPr lang="en-US" sz="1400" b="0" i="0" u="none" strike="noStrike" baseline="0">
                <a:effectLst/>
              </a:rPr>
              <a:t>Title for scenario</a:t>
            </a:r>
            <a:r>
              <a:rPr lang="en-US"/>
              <a:t>:</a:t>
            </a:r>
            <a:r>
              <a:rPr lang="en-US" baseline="0"/>
              <a:t>  </a:t>
            </a:r>
            <a:r>
              <a:rPr lang="el-GR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α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= xxx</a:t>
            </a:r>
            <a:endParaRPr lang="en-US"/>
          </a:p>
        </c:rich>
      </c:tx>
      <c:layout>
        <c:manualLayout>
          <c:xMode val="edge"/>
          <c:yMode val="edge"/>
          <c:x val="0.25796241469816272"/>
          <c:y val="2.0810159004450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125899056625414E-2"/>
          <c:y val="0.20826649204346415"/>
          <c:w val="0.94425929517431006"/>
          <c:h val="0.74031736025192907"/>
        </c:manualLayout>
      </c:layout>
      <c:lineChart>
        <c:grouping val="standard"/>
        <c:varyColors val="0"/>
        <c:ser>
          <c:idx val="1"/>
          <c:order val="0"/>
          <c:tx>
            <c:v>demand</c:v>
          </c:tx>
          <c:spPr>
            <a:ln w="44450" cap="rnd">
              <a:solidFill>
                <a:srgbClr val="00B050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'Demand event model'!$B$20:$B$49</c:f>
              <c:numCache>
                <c:formatCode>0.00</c:formatCode>
                <c:ptCount val="3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300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A7-4372-9F49-CC17B8916A86}"/>
            </c:ext>
          </c:extLst>
        </c:ser>
        <c:ser>
          <c:idx val="4"/>
          <c:order val="1"/>
          <c:tx>
            <c:v>on hand inv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'Demand event model'!$E$20:$E$49</c:f>
              <c:numCache>
                <c:formatCode>0.00</c:formatCode>
                <c:ptCount val="30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400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250</c:v>
                </c:pt>
                <c:pt idx="14">
                  <c:v>300</c:v>
                </c:pt>
                <c:pt idx="15">
                  <c:v>350</c:v>
                </c:pt>
                <c:pt idx="16">
                  <c:v>400</c:v>
                </c:pt>
                <c:pt idx="17">
                  <c:v>450</c:v>
                </c:pt>
                <c:pt idx="18">
                  <c:v>500</c:v>
                </c:pt>
                <c:pt idx="19">
                  <c:v>550</c:v>
                </c:pt>
                <c:pt idx="20">
                  <c:v>585.40197458265914</c:v>
                </c:pt>
                <c:pt idx="21">
                  <c:v>485.40197458265914</c:v>
                </c:pt>
                <c:pt idx="22">
                  <c:v>421.47483648000025</c:v>
                </c:pt>
                <c:pt idx="23">
                  <c:v>417.17986918400027</c:v>
                </c:pt>
                <c:pt idx="24">
                  <c:v>413.74389534720024</c:v>
                </c:pt>
                <c:pt idx="25">
                  <c:v>410.99511627776025</c:v>
                </c:pt>
                <c:pt idx="26">
                  <c:v>408.79609302220825</c:v>
                </c:pt>
                <c:pt idx="27">
                  <c:v>407.03687441776663</c:v>
                </c:pt>
                <c:pt idx="28">
                  <c:v>405.62949953421332</c:v>
                </c:pt>
                <c:pt idx="29">
                  <c:v>404.5035996273707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A7-4372-9F49-CC17B8916A86}"/>
            </c:ext>
          </c:extLst>
        </c:ser>
        <c:ser>
          <c:idx val="0"/>
          <c:order val="2"/>
          <c:tx>
            <c:v>Orders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'Demand event model'!$I$20:$I$49</c:f>
              <c:numCache>
                <c:formatCode>0.00</c:formatCode>
                <c:ptCount val="3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460</c:v>
                </c:pt>
                <c:pt idx="10">
                  <c:v>340.79999999999995</c:v>
                </c:pt>
                <c:pt idx="11">
                  <c:v>220.93653333333339</c:v>
                </c:pt>
                <c:pt idx="12">
                  <c:v>119.40225024000017</c:v>
                </c:pt>
                <c:pt idx="13">
                  <c:v>44.263191009325624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36.072861897341113</c:v>
                </c:pt>
                <c:pt idx="19">
                  <c:v>95.705032704000018</c:v>
                </c:pt>
                <c:pt idx="20">
                  <c:v>96.564026163199969</c:v>
                </c:pt>
                <c:pt idx="21">
                  <c:v>97.251220930560009</c:v>
                </c:pt>
                <c:pt idx="22">
                  <c:v>97.800976744448008</c:v>
                </c:pt>
                <c:pt idx="23">
                  <c:v>98.240781395558372</c:v>
                </c:pt>
                <c:pt idx="24">
                  <c:v>98.592625116446698</c:v>
                </c:pt>
                <c:pt idx="25">
                  <c:v>98.874100093157381</c:v>
                </c:pt>
                <c:pt idx="26">
                  <c:v>99.099280074525893</c:v>
                </c:pt>
                <c:pt idx="27">
                  <c:v>99.279424059620737</c:v>
                </c:pt>
                <c:pt idx="28">
                  <c:v>99.423539247696567</c:v>
                </c:pt>
                <c:pt idx="29">
                  <c:v>99.538831398157242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8A7-4372-9F49-CC17B8916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327024"/>
        <c:axId val="516322432"/>
      </c:lineChart>
      <c:catAx>
        <c:axId val="516327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322432"/>
        <c:crosses val="autoZero"/>
        <c:auto val="1"/>
        <c:lblAlgn val="ctr"/>
        <c:lblOffset val="100"/>
        <c:noMultiLvlLbl val="0"/>
      </c:catAx>
      <c:valAx>
        <c:axId val="51632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32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586900719978805"/>
          <c:y val="0.14065694607685467"/>
          <c:w val="0.43513026973323249"/>
          <c:h val="5.63913721311151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5</a:t>
            </a:r>
            <a:r>
              <a:rPr lang="en-US" b="0" i="0"/>
              <a:t>:  </a:t>
            </a:r>
            <a:r>
              <a:rPr lang="en-US" sz="1400" b="0" i="0" u="none" strike="noStrike" baseline="0">
                <a:effectLst/>
              </a:rPr>
              <a:t>Supplier slowdown over five weeks</a:t>
            </a:r>
            <a:endParaRPr lang="en-US"/>
          </a:p>
        </c:rich>
      </c:tx>
      <c:layout>
        <c:manualLayout>
          <c:xMode val="edge"/>
          <c:yMode val="edge"/>
          <c:x val="0.24875346260387809"/>
          <c:y val="4.44057324692820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876206987887985E-2"/>
          <c:y val="0.20285746178675326"/>
          <c:w val="0.94425929517431006"/>
          <c:h val="0.74031736025192907"/>
        </c:manualLayout>
      </c:layout>
      <c:lineChart>
        <c:grouping val="standard"/>
        <c:varyColors val="0"/>
        <c:ser>
          <c:idx val="1"/>
          <c:order val="0"/>
          <c:tx>
            <c:v>demand</c:v>
          </c:tx>
          <c:spPr>
            <a:ln w="44450" cap="rnd">
              <a:solidFill>
                <a:srgbClr val="00B050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'Supply event model'!$D$22:$D$51</c:f>
              <c:numCache>
                <c:formatCode>0.00</c:formatCode>
                <c:ptCount val="3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37-4415-84F6-1B7646CC8A03}"/>
            </c:ext>
          </c:extLst>
        </c:ser>
        <c:ser>
          <c:idx val="4"/>
          <c:order val="1"/>
          <c:tx>
            <c:v>on hand inv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'Supply event model'!$G$22:$G$51</c:f>
              <c:numCache>
                <c:formatCode>0.00</c:formatCode>
                <c:ptCount val="30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400</c:v>
                </c:pt>
                <c:pt idx="9">
                  <c:v>400</c:v>
                </c:pt>
                <c:pt idx="10">
                  <c:v>400</c:v>
                </c:pt>
                <c:pt idx="11">
                  <c:v>400</c:v>
                </c:pt>
                <c:pt idx="12">
                  <c:v>400</c:v>
                </c:pt>
                <c:pt idx="13">
                  <c:v>375</c:v>
                </c:pt>
                <c:pt idx="14">
                  <c:v>335</c:v>
                </c:pt>
                <c:pt idx="15">
                  <c:v>265</c:v>
                </c:pt>
                <c:pt idx="16">
                  <c:v>225</c:v>
                </c:pt>
                <c:pt idx="17">
                  <c:v>200</c:v>
                </c:pt>
                <c:pt idx="18">
                  <c:v>250</c:v>
                </c:pt>
                <c:pt idx="19">
                  <c:v>300</c:v>
                </c:pt>
                <c:pt idx="20">
                  <c:v>350</c:v>
                </c:pt>
                <c:pt idx="21">
                  <c:v>400</c:v>
                </c:pt>
                <c:pt idx="22">
                  <c:v>450</c:v>
                </c:pt>
                <c:pt idx="23">
                  <c:v>460.49382716049377</c:v>
                </c:pt>
                <c:pt idx="24">
                  <c:v>399.99999999999994</c:v>
                </c:pt>
                <c:pt idx="25">
                  <c:v>399.99999999999994</c:v>
                </c:pt>
                <c:pt idx="26">
                  <c:v>399.99999999999994</c:v>
                </c:pt>
                <c:pt idx="27">
                  <c:v>399.99999999999994</c:v>
                </c:pt>
                <c:pt idx="28">
                  <c:v>399.99999999999994</c:v>
                </c:pt>
                <c:pt idx="29">
                  <c:v>399.99999999999994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37-4415-84F6-1B7646CC8A03}"/>
            </c:ext>
          </c:extLst>
        </c:ser>
        <c:ser>
          <c:idx val="0"/>
          <c:order val="2"/>
          <c:tx>
            <c:v>Orders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'Supply event model'!$K$22:$K$51</c:f>
              <c:numCache>
                <c:formatCode>0.00</c:formatCode>
                <c:ptCount val="3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100</c:v>
                </c:pt>
                <c:pt idx="15">
                  <c:v>100</c:v>
                </c:pt>
                <c:pt idx="16">
                  <c:v>66.666666666666629</c:v>
                </c:pt>
                <c:pt idx="17">
                  <c:v>44.444444444444457</c:v>
                </c:pt>
                <c:pt idx="18">
                  <c:v>29.629629629629676</c:v>
                </c:pt>
                <c:pt idx="19">
                  <c:v>19.753086419753004</c:v>
                </c:pt>
                <c:pt idx="20">
                  <c:v>39.506172839506178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37-4415-84F6-1B7646CC8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327024"/>
        <c:axId val="516322432"/>
      </c:lineChart>
      <c:catAx>
        <c:axId val="516327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322432"/>
        <c:crosses val="autoZero"/>
        <c:auto val="1"/>
        <c:lblAlgn val="ctr"/>
        <c:lblOffset val="100"/>
        <c:noMultiLvlLbl val="0"/>
      </c:catAx>
      <c:valAx>
        <c:axId val="51632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32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586900719978805"/>
          <c:y val="0.14065694607685467"/>
          <c:w val="0.43513026973323249"/>
          <c:h val="5.63913721311151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2</a:t>
            </a:r>
            <a:r>
              <a:rPr lang="en-US" b="0" i="0"/>
              <a:t>:  </a:t>
            </a:r>
            <a:r>
              <a:rPr lang="en-US" sz="1400" b="0" i="0" u="none" strike="noStrike" baseline="0">
                <a:effectLst/>
              </a:rPr>
              <a:t>One time surge</a:t>
            </a:r>
            <a:r>
              <a:rPr lang="en-US"/>
              <a:t>:</a:t>
            </a:r>
            <a:r>
              <a:rPr lang="en-US" baseline="0"/>
              <a:t>  </a:t>
            </a:r>
            <a:r>
              <a:rPr lang="el-GR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α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= 0.20, deferred ordering</a:t>
            </a:r>
            <a:endParaRPr lang="en-US"/>
          </a:p>
        </c:rich>
      </c:tx>
      <c:layout>
        <c:manualLayout>
          <c:xMode val="edge"/>
          <c:yMode val="edge"/>
          <c:x val="0.17538365540301781"/>
          <c:y val="2.4291379720828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125899056625414E-2"/>
          <c:y val="0.20826649204346415"/>
          <c:w val="0.94425929517431006"/>
          <c:h val="0.74031736025192907"/>
        </c:manualLayout>
      </c:layout>
      <c:lineChart>
        <c:grouping val="standard"/>
        <c:varyColors val="0"/>
        <c:ser>
          <c:idx val="1"/>
          <c:order val="0"/>
          <c:tx>
            <c:v>demand</c:v>
          </c:tx>
          <c:spPr>
            <a:ln w="44450" cap="rnd">
              <a:solidFill>
                <a:srgbClr val="00B050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'Deferred ordering model'!$B$22:$B$51</c:f>
              <c:numCache>
                <c:formatCode>0.00</c:formatCode>
                <c:ptCount val="3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300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8-4806-B7CE-53CB491506EA}"/>
            </c:ext>
          </c:extLst>
        </c:ser>
        <c:ser>
          <c:idx val="4"/>
          <c:order val="1"/>
          <c:tx>
            <c:v>on hand inv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'Deferred ordering model'!$E$22:$E$51</c:f>
              <c:numCache>
                <c:formatCode>0.00</c:formatCode>
                <c:ptCount val="30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400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250</c:v>
                </c:pt>
                <c:pt idx="14">
                  <c:v>300</c:v>
                </c:pt>
                <c:pt idx="15">
                  <c:v>350</c:v>
                </c:pt>
                <c:pt idx="16">
                  <c:v>400</c:v>
                </c:pt>
                <c:pt idx="17">
                  <c:v>450</c:v>
                </c:pt>
                <c:pt idx="18">
                  <c:v>500</c:v>
                </c:pt>
                <c:pt idx="19">
                  <c:v>550</c:v>
                </c:pt>
                <c:pt idx="20">
                  <c:v>504.89598870589907</c:v>
                </c:pt>
                <c:pt idx="21">
                  <c:v>426.8435456000002</c:v>
                </c:pt>
                <c:pt idx="22">
                  <c:v>421.47483648000014</c:v>
                </c:pt>
                <c:pt idx="23">
                  <c:v>417.17986918400015</c:v>
                </c:pt>
                <c:pt idx="24">
                  <c:v>413.74389534720012</c:v>
                </c:pt>
                <c:pt idx="25">
                  <c:v>410.99511627776013</c:v>
                </c:pt>
                <c:pt idx="26">
                  <c:v>408.79609302220814</c:v>
                </c:pt>
                <c:pt idx="27">
                  <c:v>407.03687441776651</c:v>
                </c:pt>
                <c:pt idx="28">
                  <c:v>405.62949953421321</c:v>
                </c:pt>
                <c:pt idx="29">
                  <c:v>404.50359962737059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8-4806-B7CE-53CB491506EA}"/>
            </c:ext>
          </c:extLst>
        </c:ser>
        <c:ser>
          <c:idx val="0"/>
          <c:order val="2"/>
          <c:tx>
            <c:v>Orders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'Deferred ordering model'!$J$22:$J$51</c:f>
              <c:numCache>
                <c:formatCode>0.00</c:formatCode>
                <c:ptCount val="3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54.895988705899072</c:v>
                </c:pt>
                <c:pt idx="17">
                  <c:v>21.947556894101126</c:v>
                </c:pt>
                <c:pt idx="18">
                  <c:v>94.631290879999938</c:v>
                </c:pt>
                <c:pt idx="19">
                  <c:v>95.705032704000018</c:v>
                </c:pt>
                <c:pt idx="20">
                  <c:v>96.564026163199969</c:v>
                </c:pt>
                <c:pt idx="21">
                  <c:v>97.251220930560009</c:v>
                </c:pt>
                <c:pt idx="22">
                  <c:v>97.800976744448008</c:v>
                </c:pt>
                <c:pt idx="23">
                  <c:v>98.240781395558372</c:v>
                </c:pt>
                <c:pt idx="24">
                  <c:v>98.592625116446698</c:v>
                </c:pt>
                <c:pt idx="25">
                  <c:v>98.874100093157381</c:v>
                </c:pt>
                <c:pt idx="26">
                  <c:v>99.099280074525893</c:v>
                </c:pt>
                <c:pt idx="27">
                  <c:v>99.279424059620737</c:v>
                </c:pt>
                <c:pt idx="28">
                  <c:v>99.423539247696567</c:v>
                </c:pt>
                <c:pt idx="29">
                  <c:v>99.538831398157242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F8-4806-B7CE-53CB49150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327024"/>
        <c:axId val="516322432"/>
      </c:lineChart>
      <c:catAx>
        <c:axId val="516327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322432"/>
        <c:crosses val="autoZero"/>
        <c:auto val="1"/>
        <c:lblAlgn val="ctr"/>
        <c:lblOffset val="100"/>
        <c:noMultiLvlLbl val="0"/>
      </c:catAx>
      <c:valAx>
        <c:axId val="51632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32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586900719978805"/>
          <c:y val="0.14065694607685467"/>
          <c:w val="0.43513026973323249"/>
          <c:h val="5.63913721311151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</xdr:colOff>
      <xdr:row>4</xdr:row>
      <xdr:rowOff>19049</xdr:rowOff>
    </xdr:from>
    <xdr:to>
      <xdr:col>26</xdr:col>
      <xdr:colOff>400051</xdr:colOff>
      <xdr:row>21</xdr:row>
      <xdr:rowOff>171449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25</xdr:row>
      <xdr:rowOff>0</xdr:rowOff>
    </xdr:from>
    <xdr:to>
      <xdr:col>24</xdr:col>
      <xdr:colOff>28575</xdr:colOff>
      <xdr:row>45</xdr:row>
      <xdr:rowOff>140015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3550" y="5172075"/>
          <a:ext cx="6734175" cy="4169090"/>
        </a:xfrm>
        <a:prstGeom prst="rect">
          <a:avLst/>
        </a:prstGeom>
      </xdr:spPr>
    </xdr:pic>
    <xdr:clientData/>
  </xdr:twoCellAnchor>
  <xdr:twoCellAnchor editAs="oneCell">
    <xdr:from>
      <xdr:col>12</xdr:col>
      <xdr:colOff>600074</xdr:colOff>
      <xdr:row>0</xdr:row>
      <xdr:rowOff>123825</xdr:rowOff>
    </xdr:from>
    <xdr:to>
      <xdr:col>24</xdr:col>
      <xdr:colOff>19953</xdr:colOff>
      <xdr:row>21</xdr:row>
      <xdr:rowOff>171450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44024" y="123825"/>
          <a:ext cx="6735079" cy="4267200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49</xdr:row>
      <xdr:rowOff>133350</xdr:rowOff>
    </xdr:from>
    <xdr:to>
      <xdr:col>24</xdr:col>
      <xdr:colOff>9525</xdr:colOff>
      <xdr:row>71</xdr:row>
      <xdr:rowOff>84889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63075" y="10096500"/>
          <a:ext cx="6705600" cy="4142539"/>
        </a:xfrm>
        <a:prstGeom prst="rect">
          <a:avLst/>
        </a:prstGeom>
      </xdr:spPr>
    </xdr:pic>
    <xdr:clientData/>
  </xdr:twoCellAnchor>
  <xdr:twoCellAnchor editAs="oneCell">
    <xdr:from>
      <xdr:col>25</xdr:col>
      <xdr:colOff>609599</xdr:colOff>
      <xdr:row>1</xdr:row>
      <xdr:rowOff>0</xdr:rowOff>
    </xdr:from>
    <xdr:to>
      <xdr:col>36</xdr:col>
      <xdr:colOff>466724</xdr:colOff>
      <xdr:row>21</xdr:row>
      <xdr:rowOff>332777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278349" y="190500"/>
          <a:ext cx="6562725" cy="436185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52</xdr:row>
      <xdr:rowOff>0</xdr:rowOff>
    </xdr:from>
    <xdr:to>
      <xdr:col>37</xdr:col>
      <xdr:colOff>12774</xdr:colOff>
      <xdr:row>74</xdr:row>
      <xdr:rowOff>33894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278350" y="10534650"/>
          <a:ext cx="6718374" cy="42248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9525</xdr:colOff>
      <xdr:row>15</xdr:row>
      <xdr:rowOff>95250</xdr:rowOff>
    </xdr:from>
    <xdr:to>
      <xdr:col>27</xdr:col>
      <xdr:colOff>581024</xdr:colOff>
      <xdr:row>37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38101</xdr:colOff>
      <xdr:row>0</xdr:row>
      <xdr:rowOff>0</xdr:rowOff>
    </xdr:from>
    <xdr:to>
      <xdr:col>26</xdr:col>
      <xdr:colOff>85725</xdr:colOff>
      <xdr:row>20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9"/>
  <sheetViews>
    <sheetView workbookViewId="0">
      <selection activeCell="R2" sqref="R2"/>
    </sheetView>
  </sheetViews>
  <sheetFormatPr defaultRowHeight="15" x14ac:dyDescent="0.25"/>
  <cols>
    <col min="1" max="1" width="9.140625" style="21"/>
    <col min="2" max="2" width="11.28515625" customWidth="1"/>
    <col min="3" max="3" width="9.140625" style="1"/>
    <col min="6" max="8" width="9.140625" style="1"/>
    <col min="18" max="18" width="11.42578125" customWidth="1"/>
    <col min="19" max="19" width="11.85546875" customWidth="1"/>
    <col min="20" max="20" width="11.7109375" customWidth="1"/>
    <col min="22" max="22" width="11.28515625" customWidth="1"/>
  </cols>
  <sheetData>
    <row r="1" spans="1:12" x14ac:dyDescent="0.25">
      <c r="A1" s="21" t="s">
        <v>23</v>
      </c>
    </row>
    <row r="2" spans="1:12" x14ac:dyDescent="0.25">
      <c r="A2" s="22" t="s">
        <v>24</v>
      </c>
      <c r="B2" s="14"/>
      <c r="C2" s="15"/>
      <c r="D2" s="14"/>
      <c r="E2" s="14"/>
    </row>
    <row r="3" spans="1:12" x14ac:dyDescent="0.25">
      <c r="A3" s="21" t="s">
        <v>30</v>
      </c>
    </row>
    <row r="4" spans="1:12" x14ac:dyDescent="0.25">
      <c r="A4" s="23" t="s">
        <v>29</v>
      </c>
      <c r="B4" s="19"/>
      <c r="C4" s="20"/>
      <c r="D4" s="19"/>
    </row>
    <row r="5" spans="1:12" x14ac:dyDescent="0.25">
      <c r="A5" s="21" t="s">
        <v>31</v>
      </c>
    </row>
    <row r="6" spans="1:12" x14ac:dyDescent="0.25">
      <c r="A6" s="21" t="s">
        <v>27</v>
      </c>
    </row>
    <row r="7" spans="1:12" x14ac:dyDescent="0.25">
      <c r="A7" s="21" t="s">
        <v>35</v>
      </c>
    </row>
    <row r="9" spans="1:12" x14ac:dyDescent="0.25">
      <c r="C9" s="16" t="s">
        <v>32</v>
      </c>
      <c r="D9" s="2">
        <v>0.2</v>
      </c>
      <c r="L9" s="13">
        <v>150</v>
      </c>
    </row>
    <row r="10" spans="1:12" x14ac:dyDescent="0.25">
      <c r="C10" s="16" t="s">
        <v>25</v>
      </c>
      <c r="D10" s="2">
        <v>100</v>
      </c>
      <c r="L10" s="13">
        <v>4</v>
      </c>
    </row>
    <row r="12" spans="1:12" x14ac:dyDescent="0.25">
      <c r="C12" s="20" t="s">
        <v>16</v>
      </c>
      <c r="D12" s="19"/>
      <c r="E12" s="20">
        <f ca="1">G12-G13</f>
        <v>385.40197458265914</v>
      </c>
      <c r="F12" t="s">
        <v>13</v>
      </c>
      <c r="G12" s="1">
        <f ca="1">MAX(E20:E209)</f>
        <v>585.40197458265914</v>
      </c>
    </row>
    <row r="13" spans="1:12" x14ac:dyDescent="0.25">
      <c r="F13" t="s">
        <v>14</v>
      </c>
      <c r="G13" s="1">
        <f ca="1">MIN(E20:E209)</f>
        <v>200</v>
      </c>
    </row>
    <row r="14" spans="1:12" x14ac:dyDescent="0.25">
      <c r="C14" s="18" t="s">
        <v>15</v>
      </c>
      <c r="D14" s="17"/>
      <c r="E14" s="18">
        <f>MAX(I20:I209)-MIN(I20:I209)</f>
        <v>460</v>
      </c>
      <c r="I14" s="1"/>
    </row>
    <row r="17" spans="1:15" x14ac:dyDescent="0.25">
      <c r="C17" s="1" t="s">
        <v>0</v>
      </c>
      <c r="D17" t="s">
        <v>5</v>
      </c>
      <c r="E17" t="s">
        <v>5</v>
      </c>
      <c r="F17" s="1" t="s">
        <v>3</v>
      </c>
      <c r="G17" s="1" t="s">
        <v>26</v>
      </c>
      <c r="I17" s="1" t="s">
        <v>33</v>
      </c>
      <c r="L17" t="s">
        <v>34</v>
      </c>
    </row>
    <row r="18" spans="1:15" x14ac:dyDescent="0.25">
      <c r="A18" s="21" t="s">
        <v>28</v>
      </c>
      <c r="B18" t="s">
        <v>0</v>
      </c>
      <c r="C18" s="1" t="s">
        <v>1</v>
      </c>
      <c r="D18" t="s">
        <v>6</v>
      </c>
      <c r="F18" s="1" t="s">
        <v>1</v>
      </c>
      <c r="I18" t="s">
        <v>2</v>
      </c>
      <c r="J18" t="s">
        <v>12</v>
      </c>
      <c r="L18" t="s">
        <v>8</v>
      </c>
      <c r="M18" t="s">
        <v>9</v>
      </c>
      <c r="N18" t="s">
        <v>10</v>
      </c>
      <c r="O18" t="s">
        <v>11</v>
      </c>
    </row>
    <row r="19" spans="1:15" x14ac:dyDescent="0.25">
      <c r="C19" s="1">
        <f>D10</f>
        <v>100</v>
      </c>
      <c r="E19">
        <f>L10*D10</f>
        <v>400</v>
      </c>
      <c r="F19" s="1">
        <f>L10</f>
        <v>4</v>
      </c>
      <c r="G19" s="1">
        <f>C19*F19</f>
        <v>400</v>
      </c>
      <c r="J19">
        <v>0</v>
      </c>
      <c r="M19">
        <v>0</v>
      </c>
      <c r="O19" s="1">
        <f>L10</f>
        <v>4</v>
      </c>
    </row>
    <row r="20" spans="1:15" x14ac:dyDescent="0.25">
      <c r="A20" s="21">
        <f>1</f>
        <v>1</v>
      </c>
      <c r="B20" s="1">
        <f t="shared" ref="B20:B28" si="0">D$10</f>
        <v>100</v>
      </c>
      <c r="C20" s="1">
        <f t="shared" ref="C20:C51" si="1">D$9*B20+(1-D$9)*C19</f>
        <v>100</v>
      </c>
      <c r="D20" s="1">
        <f t="shared" ref="D20:D51" ca="1" si="2">N20</f>
        <v>100</v>
      </c>
      <c r="E20" s="1">
        <f t="shared" ref="E20:E51" ca="1" si="3">E19+D20-B20</f>
        <v>400</v>
      </c>
      <c r="F20" s="1">
        <f>O19</f>
        <v>4</v>
      </c>
      <c r="G20" s="1">
        <f t="shared" ref="G20:G51" si="4">F20*C20</f>
        <v>400</v>
      </c>
      <c r="I20" s="1">
        <f t="shared" ref="I20:I51" si="5">MAX(0,J19+B20+G20-G19)</f>
        <v>100</v>
      </c>
      <c r="J20" s="1">
        <f t="shared" ref="J20:J51" si="6">MIN(0,J19+B20+G20-G19)</f>
        <v>0</v>
      </c>
      <c r="L20" s="1">
        <f t="shared" ref="L20:L51" si="7">MAX(0,MIN(L$9,I20+M19))</f>
        <v>100</v>
      </c>
      <c r="M20" s="1">
        <f t="shared" ref="M20:M51" si="8">MAX(0,M19+I20-L20)</f>
        <v>0</v>
      </c>
      <c r="N20" s="1">
        <f t="shared" ref="N20:N51" ca="1" si="9">IF(A20&lt;=L$10,D$10,OFFSET(N20,-L$10,-2))</f>
        <v>100</v>
      </c>
      <c r="O20" s="1">
        <f>L$10+M20/L$9</f>
        <v>4</v>
      </c>
    </row>
    <row r="21" spans="1:15" x14ac:dyDescent="0.25">
      <c r="A21" s="21">
        <f>1+A20</f>
        <v>2</v>
      </c>
      <c r="B21" s="1">
        <f t="shared" si="0"/>
        <v>100</v>
      </c>
      <c r="C21" s="1">
        <f t="shared" si="1"/>
        <v>100</v>
      </c>
      <c r="D21" s="1">
        <f t="shared" ca="1" si="2"/>
        <v>100</v>
      </c>
      <c r="E21" s="1">
        <f t="shared" ca="1" si="3"/>
        <v>400</v>
      </c>
      <c r="F21" s="1">
        <f t="shared" ref="F21:F84" si="10">O20</f>
        <v>4</v>
      </c>
      <c r="G21" s="1">
        <f t="shared" si="4"/>
        <v>400</v>
      </c>
      <c r="I21" s="1">
        <f t="shared" si="5"/>
        <v>100</v>
      </c>
      <c r="J21" s="1">
        <f t="shared" si="6"/>
        <v>0</v>
      </c>
      <c r="L21" s="1">
        <f t="shared" si="7"/>
        <v>100</v>
      </c>
      <c r="M21" s="1">
        <f t="shared" si="8"/>
        <v>0</v>
      </c>
      <c r="N21" s="1">
        <f t="shared" ca="1" si="9"/>
        <v>100</v>
      </c>
      <c r="O21" s="1">
        <f t="shared" ref="O21:O84" si="11">L$10+M21/L$9</f>
        <v>4</v>
      </c>
    </row>
    <row r="22" spans="1:15" x14ac:dyDescent="0.25">
      <c r="A22" s="21">
        <f t="shared" ref="A22:A35" si="12">1+A21</f>
        <v>3</v>
      </c>
      <c r="B22" s="1">
        <f t="shared" si="0"/>
        <v>100</v>
      </c>
      <c r="C22" s="1">
        <f t="shared" si="1"/>
        <v>100</v>
      </c>
      <c r="D22" s="1">
        <f t="shared" ca="1" si="2"/>
        <v>100</v>
      </c>
      <c r="E22" s="1">
        <f t="shared" ca="1" si="3"/>
        <v>400</v>
      </c>
      <c r="F22" s="1">
        <f t="shared" si="10"/>
        <v>4</v>
      </c>
      <c r="G22" s="1">
        <f t="shared" si="4"/>
        <v>400</v>
      </c>
      <c r="I22" s="1">
        <f t="shared" si="5"/>
        <v>100</v>
      </c>
      <c r="J22" s="1">
        <f t="shared" si="6"/>
        <v>0</v>
      </c>
      <c r="L22" s="1">
        <f t="shared" si="7"/>
        <v>100</v>
      </c>
      <c r="M22" s="1">
        <f t="shared" si="8"/>
        <v>0</v>
      </c>
      <c r="N22" s="1">
        <f t="shared" ca="1" si="9"/>
        <v>100</v>
      </c>
      <c r="O22" s="1">
        <f t="shared" si="11"/>
        <v>4</v>
      </c>
    </row>
    <row r="23" spans="1:15" x14ac:dyDescent="0.25">
      <c r="A23" s="21">
        <f t="shared" si="12"/>
        <v>4</v>
      </c>
      <c r="B23" s="1">
        <f t="shared" si="0"/>
        <v>100</v>
      </c>
      <c r="C23" s="1">
        <f t="shared" si="1"/>
        <v>100</v>
      </c>
      <c r="D23" s="1">
        <f t="shared" ca="1" si="2"/>
        <v>100</v>
      </c>
      <c r="E23" s="1">
        <f t="shared" ca="1" si="3"/>
        <v>400</v>
      </c>
      <c r="F23" s="1">
        <f t="shared" si="10"/>
        <v>4</v>
      </c>
      <c r="G23" s="1">
        <f t="shared" si="4"/>
        <v>400</v>
      </c>
      <c r="I23" s="1">
        <f t="shared" si="5"/>
        <v>100</v>
      </c>
      <c r="J23" s="1">
        <f t="shared" si="6"/>
        <v>0</v>
      </c>
      <c r="L23" s="1">
        <f t="shared" si="7"/>
        <v>100</v>
      </c>
      <c r="M23" s="1">
        <f t="shared" si="8"/>
        <v>0</v>
      </c>
      <c r="N23" s="1">
        <f t="shared" ca="1" si="9"/>
        <v>100</v>
      </c>
      <c r="O23" s="1">
        <f t="shared" si="11"/>
        <v>4</v>
      </c>
    </row>
    <row r="24" spans="1:15" x14ac:dyDescent="0.25">
      <c r="A24" s="21">
        <f t="shared" si="12"/>
        <v>5</v>
      </c>
      <c r="B24" s="1">
        <f t="shared" si="0"/>
        <v>100</v>
      </c>
      <c r="C24" s="1">
        <f t="shared" si="1"/>
        <v>100</v>
      </c>
      <c r="D24" s="1">
        <f t="shared" ca="1" si="2"/>
        <v>100</v>
      </c>
      <c r="E24" s="1">
        <f t="shared" ca="1" si="3"/>
        <v>400</v>
      </c>
      <c r="F24" s="1">
        <f t="shared" si="10"/>
        <v>4</v>
      </c>
      <c r="G24" s="1">
        <f t="shared" si="4"/>
        <v>400</v>
      </c>
      <c r="I24" s="1">
        <f t="shared" si="5"/>
        <v>100</v>
      </c>
      <c r="J24" s="1">
        <f t="shared" si="6"/>
        <v>0</v>
      </c>
      <c r="L24" s="1">
        <f t="shared" si="7"/>
        <v>100</v>
      </c>
      <c r="M24" s="1">
        <f t="shared" si="8"/>
        <v>0</v>
      </c>
      <c r="N24" s="1">
        <f t="shared" ca="1" si="9"/>
        <v>100</v>
      </c>
      <c r="O24" s="1">
        <f t="shared" si="11"/>
        <v>4</v>
      </c>
    </row>
    <row r="25" spans="1:15" x14ac:dyDescent="0.25">
      <c r="A25" s="21">
        <f t="shared" si="12"/>
        <v>6</v>
      </c>
      <c r="B25" s="1">
        <f t="shared" si="0"/>
        <v>100</v>
      </c>
      <c r="C25" s="1">
        <f t="shared" si="1"/>
        <v>100</v>
      </c>
      <c r="D25" s="1">
        <f t="shared" ca="1" si="2"/>
        <v>100</v>
      </c>
      <c r="E25" s="1">
        <f t="shared" ca="1" si="3"/>
        <v>400</v>
      </c>
      <c r="F25" s="1">
        <f t="shared" si="10"/>
        <v>4</v>
      </c>
      <c r="G25" s="1">
        <f t="shared" si="4"/>
        <v>400</v>
      </c>
      <c r="I25" s="1">
        <f t="shared" si="5"/>
        <v>100</v>
      </c>
      <c r="J25" s="1">
        <f t="shared" si="6"/>
        <v>0</v>
      </c>
      <c r="L25" s="1">
        <f t="shared" si="7"/>
        <v>100</v>
      </c>
      <c r="M25" s="1">
        <f t="shared" si="8"/>
        <v>0</v>
      </c>
      <c r="N25" s="1">
        <f t="shared" ca="1" si="9"/>
        <v>100</v>
      </c>
      <c r="O25" s="1">
        <f t="shared" si="11"/>
        <v>4</v>
      </c>
    </row>
    <row r="26" spans="1:15" x14ac:dyDescent="0.25">
      <c r="A26" s="21">
        <f t="shared" si="12"/>
        <v>7</v>
      </c>
      <c r="B26" s="1">
        <f t="shared" si="0"/>
        <v>100</v>
      </c>
      <c r="C26" s="1">
        <f t="shared" si="1"/>
        <v>100</v>
      </c>
      <c r="D26" s="1">
        <f t="shared" ca="1" si="2"/>
        <v>100</v>
      </c>
      <c r="E26" s="1">
        <f t="shared" ca="1" si="3"/>
        <v>400</v>
      </c>
      <c r="F26" s="1">
        <f t="shared" si="10"/>
        <v>4</v>
      </c>
      <c r="G26" s="1">
        <f t="shared" si="4"/>
        <v>400</v>
      </c>
      <c r="I26" s="1">
        <f t="shared" si="5"/>
        <v>100</v>
      </c>
      <c r="J26" s="1">
        <f t="shared" si="6"/>
        <v>0</v>
      </c>
      <c r="L26" s="1">
        <f t="shared" si="7"/>
        <v>100</v>
      </c>
      <c r="M26" s="1">
        <f t="shared" si="8"/>
        <v>0</v>
      </c>
      <c r="N26" s="1">
        <f t="shared" ca="1" si="9"/>
        <v>100</v>
      </c>
      <c r="O26" s="1">
        <f t="shared" si="11"/>
        <v>4</v>
      </c>
    </row>
    <row r="27" spans="1:15" x14ac:dyDescent="0.25">
      <c r="A27" s="21">
        <f t="shared" si="12"/>
        <v>8</v>
      </c>
      <c r="B27" s="1">
        <f t="shared" si="0"/>
        <v>100</v>
      </c>
      <c r="C27" s="1">
        <f t="shared" si="1"/>
        <v>100</v>
      </c>
      <c r="D27" s="1">
        <f t="shared" ca="1" si="2"/>
        <v>100</v>
      </c>
      <c r="E27" s="1">
        <f t="shared" ca="1" si="3"/>
        <v>400</v>
      </c>
      <c r="F27" s="1">
        <f t="shared" si="10"/>
        <v>4</v>
      </c>
      <c r="G27" s="1">
        <f t="shared" si="4"/>
        <v>400</v>
      </c>
      <c r="I27" s="1">
        <f t="shared" si="5"/>
        <v>100</v>
      </c>
      <c r="J27" s="1">
        <f t="shared" si="6"/>
        <v>0</v>
      </c>
      <c r="L27" s="1">
        <f t="shared" si="7"/>
        <v>100</v>
      </c>
      <c r="M27" s="1">
        <f t="shared" si="8"/>
        <v>0</v>
      </c>
      <c r="N27" s="1">
        <f t="shared" ca="1" si="9"/>
        <v>100</v>
      </c>
      <c r="O27" s="1">
        <f t="shared" si="11"/>
        <v>4</v>
      </c>
    </row>
    <row r="28" spans="1:15" x14ac:dyDescent="0.25">
      <c r="A28" s="21">
        <f t="shared" si="12"/>
        <v>9</v>
      </c>
      <c r="B28" s="1">
        <f t="shared" si="0"/>
        <v>100</v>
      </c>
      <c r="C28" s="1">
        <f t="shared" si="1"/>
        <v>100</v>
      </c>
      <c r="D28" s="1">
        <f t="shared" ca="1" si="2"/>
        <v>100</v>
      </c>
      <c r="E28" s="1">
        <f t="shared" ca="1" si="3"/>
        <v>400</v>
      </c>
      <c r="F28" s="1">
        <f t="shared" si="10"/>
        <v>4</v>
      </c>
      <c r="G28" s="1">
        <f t="shared" si="4"/>
        <v>400</v>
      </c>
      <c r="I28" s="1">
        <f t="shared" si="5"/>
        <v>100</v>
      </c>
      <c r="J28" s="1">
        <f t="shared" si="6"/>
        <v>0</v>
      </c>
      <c r="L28" s="1">
        <f t="shared" si="7"/>
        <v>100</v>
      </c>
      <c r="M28" s="1">
        <f t="shared" si="8"/>
        <v>0</v>
      </c>
      <c r="N28" s="1">
        <f t="shared" ca="1" si="9"/>
        <v>100</v>
      </c>
      <c r="O28" s="1">
        <f t="shared" si="11"/>
        <v>4</v>
      </c>
    </row>
    <row r="29" spans="1:15" x14ac:dyDescent="0.25">
      <c r="A29" s="24">
        <f t="shared" si="12"/>
        <v>10</v>
      </c>
      <c r="B29" s="2">
        <v>300</v>
      </c>
      <c r="C29" s="1">
        <f t="shared" si="1"/>
        <v>140</v>
      </c>
      <c r="D29" s="1">
        <f t="shared" ca="1" si="2"/>
        <v>100</v>
      </c>
      <c r="E29" s="1">
        <f t="shared" ca="1" si="3"/>
        <v>200</v>
      </c>
      <c r="F29" s="1">
        <f t="shared" si="10"/>
        <v>4</v>
      </c>
      <c r="G29" s="1">
        <f t="shared" si="4"/>
        <v>560</v>
      </c>
      <c r="I29" s="1">
        <f t="shared" si="5"/>
        <v>460</v>
      </c>
      <c r="J29" s="1">
        <f t="shared" si="6"/>
        <v>0</v>
      </c>
      <c r="L29" s="1">
        <f t="shared" si="7"/>
        <v>150</v>
      </c>
      <c r="M29" s="1">
        <f t="shared" si="8"/>
        <v>310</v>
      </c>
      <c r="N29" s="1">
        <f t="shared" ca="1" si="9"/>
        <v>100</v>
      </c>
      <c r="O29" s="1">
        <f t="shared" si="11"/>
        <v>6.0666666666666664</v>
      </c>
    </row>
    <row r="30" spans="1:15" x14ac:dyDescent="0.25">
      <c r="A30" s="21">
        <f t="shared" si="12"/>
        <v>11</v>
      </c>
      <c r="B30" s="2">
        <f>D$10</f>
        <v>100</v>
      </c>
      <c r="C30" s="1">
        <f t="shared" si="1"/>
        <v>132</v>
      </c>
      <c r="D30" s="1">
        <f t="shared" ca="1" si="2"/>
        <v>100</v>
      </c>
      <c r="E30" s="1">
        <f t="shared" ca="1" si="3"/>
        <v>200</v>
      </c>
      <c r="F30" s="1">
        <f t="shared" si="10"/>
        <v>6.0666666666666664</v>
      </c>
      <c r="G30" s="1">
        <f t="shared" si="4"/>
        <v>800.8</v>
      </c>
      <c r="I30" s="1">
        <f t="shared" si="5"/>
        <v>340.79999999999995</v>
      </c>
      <c r="J30" s="1">
        <f t="shared" si="6"/>
        <v>0</v>
      </c>
      <c r="L30" s="1">
        <f t="shared" si="7"/>
        <v>150</v>
      </c>
      <c r="M30" s="1">
        <f t="shared" si="8"/>
        <v>500.79999999999995</v>
      </c>
      <c r="N30" s="1">
        <f t="shared" ca="1" si="9"/>
        <v>100</v>
      </c>
      <c r="O30" s="1">
        <f t="shared" si="11"/>
        <v>7.3386666666666667</v>
      </c>
    </row>
    <row r="31" spans="1:15" x14ac:dyDescent="0.25">
      <c r="A31" s="21">
        <f t="shared" si="12"/>
        <v>12</v>
      </c>
      <c r="B31" s="2">
        <f t="shared" ref="B31:B32" si="13">D$10</f>
        <v>100</v>
      </c>
      <c r="C31" s="1">
        <f t="shared" si="1"/>
        <v>125.60000000000001</v>
      </c>
      <c r="D31" s="1">
        <f t="shared" ca="1" si="2"/>
        <v>100</v>
      </c>
      <c r="E31" s="1">
        <f t="shared" ca="1" si="3"/>
        <v>200</v>
      </c>
      <c r="F31" s="1">
        <f t="shared" si="10"/>
        <v>7.3386666666666667</v>
      </c>
      <c r="G31" s="1">
        <f t="shared" si="4"/>
        <v>921.73653333333334</v>
      </c>
      <c r="I31" s="1">
        <f t="shared" si="5"/>
        <v>220.93653333333339</v>
      </c>
      <c r="J31" s="1">
        <f t="shared" si="6"/>
        <v>0</v>
      </c>
      <c r="L31" s="1">
        <f t="shared" si="7"/>
        <v>150</v>
      </c>
      <c r="M31" s="1">
        <f t="shared" si="8"/>
        <v>571.73653333333334</v>
      </c>
      <c r="N31" s="1">
        <f t="shared" ca="1" si="9"/>
        <v>100</v>
      </c>
      <c r="O31" s="1">
        <f t="shared" si="11"/>
        <v>7.8115768888888883</v>
      </c>
    </row>
    <row r="32" spans="1:15" x14ac:dyDescent="0.25">
      <c r="A32" s="21">
        <f t="shared" si="12"/>
        <v>13</v>
      </c>
      <c r="B32" s="2">
        <f t="shared" si="13"/>
        <v>100</v>
      </c>
      <c r="C32" s="1">
        <f t="shared" si="1"/>
        <v>120.48000000000002</v>
      </c>
      <c r="D32" s="1">
        <f t="shared" ca="1" si="2"/>
        <v>100</v>
      </c>
      <c r="E32" s="1">
        <f t="shared" ca="1" si="3"/>
        <v>200</v>
      </c>
      <c r="F32" s="1">
        <f t="shared" si="10"/>
        <v>7.8115768888888883</v>
      </c>
      <c r="G32" s="1">
        <f t="shared" si="4"/>
        <v>941.1387835733334</v>
      </c>
      <c r="I32" s="1">
        <f t="shared" si="5"/>
        <v>119.40225024000017</v>
      </c>
      <c r="J32" s="1">
        <f t="shared" si="6"/>
        <v>0</v>
      </c>
      <c r="L32" s="1">
        <f t="shared" si="7"/>
        <v>150</v>
      </c>
      <c r="M32" s="1">
        <f t="shared" si="8"/>
        <v>541.13878357333351</v>
      </c>
      <c r="N32" s="1">
        <f t="shared" ca="1" si="9"/>
        <v>100</v>
      </c>
      <c r="O32" s="1">
        <f t="shared" si="11"/>
        <v>7.60759189048889</v>
      </c>
    </row>
    <row r="33" spans="1:15" x14ac:dyDescent="0.25">
      <c r="A33" s="21">
        <f t="shared" si="12"/>
        <v>14</v>
      </c>
      <c r="B33" s="12">
        <f t="shared" ref="B33:B64" si="14">D$10</f>
        <v>100</v>
      </c>
      <c r="C33" s="1">
        <f t="shared" si="1"/>
        <v>116.38400000000001</v>
      </c>
      <c r="D33" s="1">
        <f t="shared" ca="1" si="2"/>
        <v>150</v>
      </c>
      <c r="E33" s="1">
        <f t="shared" ca="1" si="3"/>
        <v>250</v>
      </c>
      <c r="F33" s="1">
        <f t="shared" si="10"/>
        <v>7.60759189048889</v>
      </c>
      <c r="G33" s="1">
        <f t="shared" si="4"/>
        <v>885.40197458265902</v>
      </c>
      <c r="I33" s="1">
        <f t="shared" si="5"/>
        <v>44.263191009325624</v>
      </c>
      <c r="J33" s="1">
        <f t="shared" si="6"/>
        <v>0</v>
      </c>
      <c r="L33" s="1">
        <f t="shared" si="7"/>
        <v>150</v>
      </c>
      <c r="M33" s="1">
        <f t="shared" si="8"/>
        <v>435.40197458265914</v>
      </c>
      <c r="N33" s="1">
        <f t="shared" ca="1" si="9"/>
        <v>150</v>
      </c>
      <c r="O33" s="1">
        <f t="shared" si="11"/>
        <v>6.9026798305510608</v>
      </c>
    </row>
    <row r="34" spans="1:15" x14ac:dyDescent="0.25">
      <c r="A34" s="21">
        <f t="shared" si="12"/>
        <v>15</v>
      </c>
      <c r="B34" s="12">
        <f t="shared" si="14"/>
        <v>100</v>
      </c>
      <c r="C34" s="1">
        <f t="shared" si="1"/>
        <v>113.10720000000002</v>
      </c>
      <c r="D34" s="1">
        <f t="shared" ca="1" si="2"/>
        <v>150</v>
      </c>
      <c r="E34" s="1">
        <f t="shared" ca="1" si="3"/>
        <v>300</v>
      </c>
      <c r="F34" s="1">
        <f t="shared" si="10"/>
        <v>6.9026798305510608</v>
      </c>
      <c r="G34" s="1">
        <f t="shared" si="4"/>
        <v>780.74278813010505</v>
      </c>
      <c r="I34" s="1">
        <f t="shared" si="5"/>
        <v>0</v>
      </c>
      <c r="J34" s="1">
        <f t="shared" si="6"/>
        <v>-4.6591864525539677</v>
      </c>
      <c r="L34" s="1">
        <f t="shared" si="7"/>
        <v>150</v>
      </c>
      <c r="M34" s="1">
        <f t="shared" si="8"/>
        <v>285.40197458265914</v>
      </c>
      <c r="N34" s="1">
        <f t="shared" ca="1" si="9"/>
        <v>150</v>
      </c>
      <c r="O34" s="1">
        <f t="shared" si="11"/>
        <v>5.9026798305510608</v>
      </c>
    </row>
    <row r="35" spans="1:15" x14ac:dyDescent="0.25">
      <c r="A35" s="21">
        <f t="shared" si="12"/>
        <v>16</v>
      </c>
      <c r="B35" s="12">
        <f t="shared" si="14"/>
        <v>100</v>
      </c>
      <c r="C35" s="1">
        <f t="shared" si="1"/>
        <v>110.48576000000003</v>
      </c>
      <c r="D35" s="1">
        <f t="shared" ca="1" si="2"/>
        <v>150</v>
      </c>
      <c r="E35" s="1">
        <f t="shared" ca="1" si="3"/>
        <v>350</v>
      </c>
      <c r="F35" s="1">
        <f t="shared" si="10"/>
        <v>5.9026798305510608</v>
      </c>
      <c r="G35" s="1">
        <f t="shared" si="4"/>
        <v>652.16206711510529</v>
      </c>
      <c r="I35" s="1">
        <f t="shared" si="5"/>
        <v>0</v>
      </c>
      <c r="J35" s="1">
        <f t="shared" si="6"/>
        <v>-33.239907467553735</v>
      </c>
      <c r="L35" s="1">
        <f t="shared" si="7"/>
        <v>150</v>
      </c>
      <c r="M35" s="1">
        <f t="shared" si="8"/>
        <v>135.40197458265914</v>
      </c>
      <c r="N35" s="1">
        <f t="shared" ca="1" si="9"/>
        <v>150</v>
      </c>
      <c r="O35" s="1">
        <f t="shared" si="11"/>
        <v>4.9026798305510608</v>
      </c>
    </row>
    <row r="36" spans="1:15" x14ac:dyDescent="0.25">
      <c r="A36" s="21">
        <f t="shared" ref="A36:A99" si="15">1+A35</f>
        <v>17</v>
      </c>
      <c r="B36" s="12">
        <f t="shared" si="14"/>
        <v>100</v>
      </c>
      <c r="C36" s="1">
        <f t="shared" si="1"/>
        <v>108.38860800000003</v>
      </c>
      <c r="D36" s="1">
        <f t="shared" ca="1" si="2"/>
        <v>150</v>
      </c>
      <c r="E36" s="12">
        <f t="shared" ca="1" si="3"/>
        <v>400</v>
      </c>
      <c r="F36" s="1">
        <f t="shared" si="10"/>
        <v>4.9026798305510608</v>
      </c>
      <c r="G36" s="1">
        <f t="shared" si="4"/>
        <v>531.39464230310557</v>
      </c>
      <c r="I36" s="1">
        <f t="shared" si="5"/>
        <v>0</v>
      </c>
      <c r="J36" s="1">
        <f t="shared" si="6"/>
        <v>-54.007332279553452</v>
      </c>
      <c r="L36" s="1">
        <f t="shared" si="7"/>
        <v>135.40197458265914</v>
      </c>
      <c r="M36" s="1">
        <f t="shared" si="8"/>
        <v>0</v>
      </c>
      <c r="N36" s="1">
        <f t="shared" ca="1" si="9"/>
        <v>150</v>
      </c>
      <c r="O36" s="1">
        <f t="shared" si="11"/>
        <v>4</v>
      </c>
    </row>
    <row r="37" spans="1:15" x14ac:dyDescent="0.25">
      <c r="A37" s="21">
        <f t="shared" si="15"/>
        <v>18</v>
      </c>
      <c r="B37" s="12">
        <f t="shared" si="14"/>
        <v>100</v>
      </c>
      <c r="C37" s="1">
        <f t="shared" si="1"/>
        <v>106.71088640000004</v>
      </c>
      <c r="D37" s="1">
        <f t="shared" ca="1" si="2"/>
        <v>150</v>
      </c>
      <c r="E37" s="1">
        <f t="shared" ca="1" si="3"/>
        <v>450</v>
      </c>
      <c r="F37" s="1">
        <f t="shared" si="10"/>
        <v>4</v>
      </c>
      <c r="G37" s="1">
        <f t="shared" si="4"/>
        <v>426.84354560000014</v>
      </c>
      <c r="I37" s="1">
        <f t="shared" si="5"/>
        <v>0</v>
      </c>
      <c r="J37" s="1">
        <f t="shared" si="6"/>
        <v>-58.558428982658882</v>
      </c>
      <c r="L37" s="1">
        <f t="shared" si="7"/>
        <v>0</v>
      </c>
      <c r="M37" s="1">
        <f t="shared" si="8"/>
        <v>0</v>
      </c>
      <c r="N37" s="1">
        <f t="shared" ca="1" si="9"/>
        <v>150</v>
      </c>
      <c r="O37" s="1">
        <f t="shared" si="11"/>
        <v>4</v>
      </c>
    </row>
    <row r="38" spans="1:15" x14ac:dyDescent="0.25">
      <c r="A38" s="21">
        <f t="shared" si="15"/>
        <v>19</v>
      </c>
      <c r="B38" s="12">
        <f t="shared" si="14"/>
        <v>100</v>
      </c>
      <c r="C38" s="1">
        <f t="shared" si="1"/>
        <v>105.36870912000003</v>
      </c>
      <c r="D38" s="1">
        <f t="shared" ca="1" si="2"/>
        <v>150</v>
      </c>
      <c r="E38" s="1">
        <f t="shared" ca="1" si="3"/>
        <v>500</v>
      </c>
      <c r="F38" s="1">
        <f t="shared" si="10"/>
        <v>4</v>
      </c>
      <c r="G38" s="1">
        <f t="shared" si="4"/>
        <v>421.47483648000014</v>
      </c>
      <c r="I38" s="1">
        <f t="shared" si="5"/>
        <v>36.072861897341113</v>
      </c>
      <c r="J38" s="1">
        <f t="shared" si="6"/>
        <v>0</v>
      </c>
      <c r="L38" s="1">
        <f t="shared" si="7"/>
        <v>36.072861897341113</v>
      </c>
      <c r="M38" s="1">
        <f t="shared" si="8"/>
        <v>0</v>
      </c>
      <c r="N38" s="1">
        <f t="shared" ca="1" si="9"/>
        <v>150</v>
      </c>
      <c r="O38" s="1">
        <f t="shared" si="11"/>
        <v>4</v>
      </c>
    </row>
    <row r="39" spans="1:15" x14ac:dyDescent="0.25">
      <c r="A39" s="21">
        <f t="shared" si="15"/>
        <v>20</v>
      </c>
      <c r="B39" s="12">
        <f t="shared" si="14"/>
        <v>100</v>
      </c>
      <c r="C39" s="1">
        <f t="shared" si="1"/>
        <v>104.29496729600004</v>
      </c>
      <c r="D39" s="1">
        <f t="shared" ca="1" si="2"/>
        <v>150</v>
      </c>
      <c r="E39" s="1">
        <f t="shared" ca="1" si="3"/>
        <v>550</v>
      </c>
      <c r="F39" s="1">
        <f t="shared" si="10"/>
        <v>4</v>
      </c>
      <c r="G39" s="1">
        <f t="shared" si="4"/>
        <v>417.17986918400015</v>
      </c>
      <c r="I39" s="1">
        <f t="shared" si="5"/>
        <v>95.705032704000018</v>
      </c>
      <c r="J39" s="1">
        <f t="shared" si="6"/>
        <v>0</v>
      </c>
      <c r="L39" s="1">
        <f t="shared" si="7"/>
        <v>95.705032704000018</v>
      </c>
      <c r="M39" s="1">
        <f t="shared" si="8"/>
        <v>0</v>
      </c>
      <c r="N39" s="1">
        <f t="shared" ca="1" si="9"/>
        <v>150</v>
      </c>
      <c r="O39" s="1">
        <f t="shared" si="11"/>
        <v>4</v>
      </c>
    </row>
    <row r="40" spans="1:15" x14ac:dyDescent="0.25">
      <c r="A40" s="21">
        <f t="shared" si="15"/>
        <v>21</v>
      </c>
      <c r="B40" s="12">
        <f t="shared" si="14"/>
        <v>100</v>
      </c>
      <c r="C40" s="1">
        <f t="shared" si="1"/>
        <v>103.43597383680003</v>
      </c>
      <c r="D40" s="1">
        <f t="shared" ca="1" si="2"/>
        <v>135.40197458265914</v>
      </c>
      <c r="E40" s="1">
        <f t="shared" ca="1" si="3"/>
        <v>585.40197458265914</v>
      </c>
      <c r="F40" s="1">
        <f t="shared" si="10"/>
        <v>4</v>
      </c>
      <c r="G40" s="1">
        <f t="shared" si="4"/>
        <v>413.74389534720012</v>
      </c>
      <c r="I40" s="1">
        <f t="shared" si="5"/>
        <v>96.564026163199969</v>
      </c>
      <c r="J40" s="1">
        <f t="shared" si="6"/>
        <v>0</v>
      </c>
      <c r="L40" s="1">
        <f t="shared" si="7"/>
        <v>96.564026163199969</v>
      </c>
      <c r="M40" s="1">
        <f t="shared" si="8"/>
        <v>0</v>
      </c>
      <c r="N40" s="1">
        <f t="shared" ca="1" si="9"/>
        <v>135.40197458265914</v>
      </c>
      <c r="O40" s="1">
        <f t="shared" si="11"/>
        <v>4</v>
      </c>
    </row>
    <row r="41" spans="1:15" x14ac:dyDescent="0.25">
      <c r="A41" s="21">
        <f t="shared" si="15"/>
        <v>22</v>
      </c>
      <c r="B41" s="12">
        <f t="shared" si="14"/>
        <v>100</v>
      </c>
      <c r="C41" s="1">
        <f t="shared" si="1"/>
        <v>102.74877906944003</v>
      </c>
      <c r="D41" s="1">
        <f t="shared" ca="1" si="2"/>
        <v>0</v>
      </c>
      <c r="E41" s="1">
        <f t="shared" ca="1" si="3"/>
        <v>485.40197458265914</v>
      </c>
      <c r="F41" s="1">
        <f t="shared" si="10"/>
        <v>4</v>
      </c>
      <c r="G41" s="1">
        <f t="shared" si="4"/>
        <v>410.99511627776013</v>
      </c>
      <c r="I41" s="1">
        <f t="shared" si="5"/>
        <v>97.251220930560009</v>
      </c>
      <c r="J41" s="1">
        <f t="shared" si="6"/>
        <v>0</v>
      </c>
      <c r="L41" s="1">
        <f t="shared" si="7"/>
        <v>97.251220930560009</v>
      </c>
      <c r="M41" s="1">
        <f t="shared" si="8"/>
        <v>0</v>
      </c>
      <c r="N41" s="1">
        <f t="shared" ca="1" si="9"/>
        <v>0</v>
      </c>
      <c r="O41" s="1">
        <f t="shared" si="11"/>
        <v>4</v>
      </c>
    </row>
    <row r="42" spans="1:15" x14ac:dyDescent="0.25">
      <c r="A42" s="21">
        <f t="shared" si="15"/>
        <v>23</v>
      </c>
      <c r="B42" s="12">
        <f t="shared" si="14"/>
        <v>100</v>
      </c>
      <c r="C42" s="1">
        <f t="shared" si="1"/>
        <v>102.19902325555204</v>
      </c>
      <c r="D42" s="1">
        <f t="shared" ca="1" si="2"/>
        <v>36.072861897341113</v>
      </c>
      <c r="E42" s="1">
        <f t="shared" ca="1" si="3"/>
        <v>421.47483648000025</v>
      </c>
      <c r="F42" s="1">
        <f t="shared" si="10"/>
        <v>4</v>
      </c>
      <c r="G42" s="1">
        <f t="shared" si="4"/>
        <v>408.79609302220814</v>
      </c>
      <c r="I42" s="1">
        <f t="shared" si="5"/>
        <v>97.800976744448008</v>
      </c>
      <c r="J42" s="1">
        <f t="shared" si="6"/>
        <v>0</v>
      </c>
      <c r="L42" s="1">
        <f t="shared" si="7"/>
        <v>97.800976744448008</v>
      </c>
      <c r="M42" s="1">
        <f t="shared" si="8"/>
        <v>0</v>
      </c>
      <c r="N42" s="1">
        <f t="shared" ca="1" si="9"/>
        <v>36.072861897341113</v>
      </c>
      <c r="O42" s="1">
        <f t="shared" si="11"/>
        <v>4</v>
      </c>
    </row>
    <row r="43" spans="1:15" x14ac:dyDescent="0.25">
      <c r="A43" s="21">
        <f t="shared" si="15"/>
        <v>24</v>
      </c>
      <c r="B43" s="12">
        <f t="shared" si="14"/>
        <v>100</v>
      </c>
      <c r="C43" s="1">
        <f t="shared" si="1"/>
        <v>101.75921860444163</v>
      </c>
      <c r="D43" s="1">
        <f t="shared" ca="1" si="2"/>
        <v>95.705032704000018</v>
      </c>
      <c r="E43" s="1">
        <f t="shared" ca="1" si="3"/>
        <v>417.17986918400027</v>
      </c>
      <c r="F43" s="1">
        <f t="shared" si="10"/>
        <v>4</v>
      </c>
      <c r="G43" s="1">
        <f t="shared" si="4"/>
        <v>407.03687441776651</v>
      </c>
      <c r="I43" s="1">
        <f t="shared" si="5"/>
        <v>98.240781395558372</v>
      </c>
      <c r="J43" s="1">
        <f t="shared" si="6"/>
        <v>0</v>
      </c>
      <c r="L43" s="1">
        <f t="shared" si="7"/>
        <v>98.240781395558372</v>
      </c>
      <c r="M43" s="1">
        <f t="shared" si="8"/>
        <v>0</v>
      </c>
      <c r="N43" s="1">
        <f t="shared" ca="1" si="9"/>
        <v>95.705032704000018</v>
      </c>
      <c r="O43" s="1">
        <f t="shared" si="11"/>
        <v>4</v>
      </c>
    </row>
    <row r="44" spans="1:15" x14ac:dyDescent="0.25">
      <c r="A44" s="21">
        <f t="shared" si="15"/>
        <v>25</v>
      </c>
      <c r="B44" s="12">
        <f t="shared" si="14"/>
        <v>100</v>
      </c>
      <c r="C44" s="1">
        <f t="shared" si="1"/>
        <v>101.4073748835533</v>
      </c>
      <c r="D44" s="1">
        <f t="shared" ca="1" si="2"/>
        <v>96.564026163199969</v>
      </c>
      <c r="E44" s="1">
        <f t="shared" ca="1" si="3"/>
        <v>413.74389534720024</v>
      </c>
      <c r="F44" s="1">
        <f t="shared" si="10"/>
        <v>4</v>
      </c>
      <c r="G44" s="1">
        <f t="shared" si="4"/>
        <v>405.62949953421321</v>
      </c>
      <c r="I44" s="1">
        <f t="shared" si="5"/>
        <v>98.592625116446698</v>
      </c>
      <c r="J44" s="1">
        <f t="shared" si="6"/>
        <v>0</v>
      </c>
      <c r="L44" s="1">
        <f t="shared" si="7"/>
        <v>98.592625116446698</v>
      </c>
      <c r="M44" s="1">
        <f t="shared" si="8"/>
        <v>0</v>
      </c>
      <c r="N44" s="1">
        <f t="shared" ca="1" si="9"/>
        <v>96.564026163199969</v>
      </c>
      <c r="O44" s="1">
        <f t="shared" si="11"/>
        <v>4</v>
      </c>
    </row>
    <row r="45" spans="1:15" x14ac:dyDescent="0.25">
      <c r="A45" s="21">
        <f t="shared" si="15"/>
        <v>26</v>
      </c>
      <c r="B45" s="12">
        <f t="shared" si="14"/>
        <v>100</v>
      </c>
      <c r="C45" s="1">
        <f t="shared" si="1"/>
        <v>101.12589990684265</v>
      </c>
      <c r="D45" s="1">
        <f t="shared" ca="1" si="2"/>
        <v>97.251220930560009</v>
      </c>
      <c r="E45" s="1">
        <f t="shared" ca="1" si="3"/>
        <v>410.99511627776025</v>
      </c>
      <c r="F45" s="1">
        <f t="shared" si="10"/>
        <v>4</v>
      </c>
      <c r="G45" s="1">
        <f t="shared" si="4"/>
        <v>404.50359962737059</v>
      </c>
      <c r="I45" s="1">
        <f t="shared" si="5"/>
        <v>98.874100093157381</v>
      </c>
      <c r="J45" s="1">
        <f t="shared" si="6"/>
        <v>0</v>
      </c>
      <c r="L45" s="1">
        <f t="shared" si="7"/>
        <v>98.874100093157381</v>
      </c>
      <c r="M45" s="1">
        <f t="shared" si="8"/>
        <v>0</v>
      </c>
      <c r="N45" s="1">
        <f t="shared" ca="1" si="9"/>
        <v>97.251220930560009</v>
      </c>
      <c r="O45" s="1">
        <f t="shared" si="11"/>
        <v>4</v>
      </c>
    </row>
    <row r="46" spans="1:15" x14ac:dyDescent="0.25">
      <c r="A46" s="21">
        <f t="shared" si="15"/>
        <v>27</v>
      </c>
      <c r="B46" s="12">
        <f t="shared" si="14"/>
        <v>100</v>
      </c>
      <c r="C46" s="1">
        <f t="shared" si="1"/>
        <v>100.90071992547412</v>
      </c>
      <c r="D46" s="1">
        <f t="shared" ca="1" si="2"/>
        <v>97.800976744448008</v>
      </c>
      <c r="E46" s="1">
        <f t="shared" ca="1" si="3"/>
        <v>408.79609302220825</v>
      </c>
      <c r="F46" s="1">
        <f t="shared" si="10"/>
        <v>4</v>
      </c>
      <c r="G46" s="1">
        <f t="shared" si="4"/>
        <v>403.60287970189648</v>
      </c>
      <c r="I46" s="1">
        <f t="shared" si="5"/>
        <v>99.099280074525893</v>
      </c>
      <c r="J46" s="1">
        <f t="shared" si="6"/>
        <v>0</v>
      </c>
      <c r="L46" s="1">
        <f t="shared" si="7"/>
        <v>99.099280074525893</v>
      </c>
      <c r="M46" s="1">
        <f t="shared" si="8"/>
        <v>0</v>
      </c>
      <c r="N46" s="1">
        <f t="shared" ca="1" si="9"/>
        <v>97.800976744448008</v>
      </c>
      <c r="O46" s="1">
        <f t="shared" si="11"/>
        <v>4</v>
      </c>
    </row>
    <row r="47" spans="1:15" x14ac:dyDescent="0.25">
      <c r="A47" s="21">
        <f t="shared" si="15"/>
        <v>28</v>
      </c>
      <c r="B47" s="12">
        <f t="shared" si="14"/>
        <v>100</v>
      </c>
      <c r="C47" s="1">
        <f t="shared" si="1"/>
        <v>100.72057594037931</v>
      </c>
      <c r="D47" s="1">
        <f t="shared" ca="1" si="2"/>
        <v>98.240781395558372</v>
      </c>
      <c r="E47" s="1">
        <f t="shared" ca="1" si="3"/>
        <v>407.03687441776663</v>
      </c>
      <c r="F47" s="1">
        <f t="shared" si="10"/>
        <v>4</v>
      </c>
      <c r="G47" s="1">
        <f t="shared" si="4"/>
        <v>402.88230376151722</v>
      </c>
      <c r="I47" s="1">
        <f t="shared" si="5"/>
        <v>99.279424059620737</v>
      </c>
      <c r="J47" s="1">
        <f t="shared" si="6"/>
        <v>0</v>
      </c>
      <c r="L47" s="1">
        <f t="shared" si="7"/>
        <v>99.279424059620737</v>
      </c>
      <c r="M47" s="1">
        <f t="shared" si="8"/>
        <v>0</v>
      </c>
      <c r="N47" s="1">
        <f t="shared" ca="1" si="9"/>
        <v>98.240781395558372</v>
      </c>
      <c r="O47" s="1">
        <f t="shared" si="11"/>
        <v>4</v>
      </c>
    </row>
    <row r="48" spans="1:15" x14ac:dyDescent="0.25">
      <c r="A48" s="21">
        <f t="shared" si="15"/>
        <v>29</v>
      </c>
      <c r="B48" s="12">
        <f t="shared" si="14"/>
        <v>100</v>
      </c>
      <c r="C48" s="1">
        <f t="shared" si="1"/>
        <v>100.57646075230345</v>
      </c>
      <c r="D48" s="1">
        <f t="shared" ca="1" si="2"/>
        <v>98.592625116446698</v>
      </c>
      <c r="E48" s="1">
        <f t="shared" ca="1" si="3"/>
        <v>405.62949953421332</v>
      </c>
      <c r="F48" s="1">
        <f t="shared" si="10"/>
        <v>4</v>
      </c>
      <c r="G48" s="1">
        <f t="shared" si="4"/>
        <v>402.30584300921379</v>
      </c>
      <c r="I48" s="1">
        <f t="shared" si="5"/>
        <v>99.423539247696567</v>
      </c>
      <c r="J48" s="1">
        <f t="shared" si="6"/>
        <v>0</v>
      </c>
      <c r="L48" s="1">
        <f t="shared" si="7"/>
        <v>99.423539247696567</v>
      </c>
      <c r="M48" s="1">
        <f t="shared" si="8"/>
        <v>0</v>
      </c>
      <c r="N48" s="1">
        <f t="shared" ca="1" si="9"/>
        <v>98.592625116446698</v>
      </c>
      <c r="O48" s="1">
        <f t="shared" si="11"/>
        <v>4</v>
      </c>
    </row>
    <row r="49" spans="1:15" x14ac:dyDescent="0.25">
      <c r="A49" s="21">
        <f t="shared" si="15"/>
        <v>30</v>
      </c>
      <c r="B49" s="12">
        <f t="shared" si="14"/>
        <v>100</v>
      </c>
      <c r="C49" s="1">
        <f t="shared" si="1"/>
        <v>100.46116860184276</v>
      </c>
      <c r="D49" s="1">
        <f t="shared" ca="1" si="2"/>
        <v>98.874100093157381</v>
      </c>
      <c r="E49" s="1">
        <f t="shared" ca="1" si="3"/>
        <v>404.5035996273707</v>
      </c>
      <c r="F49" s="1">
        <f t="shared" si="10"/>
        <v>4</v>
      </c>
      <c r="G49" s="1">
        <f t="shared" si="4"/>
        <v>401.84467440737103</v>
      </c>
      <c r="I49" s="1">
        <f t="shared" si="5"/>
        <v>99.538831398157242</v>
      </c>
      <c r="J49" s="1">
        <f t="shared" si="6"/>
        <v>0</v>
      </c>
      <c r="L49" s="1">
        <f t="shared" si="7"/>
        <v>99.538831398157242</v>
      </c>
      <c r="M49" s="1">
        <f t="shared" si="8"/>
        <v>0</v>
      </c>
      <c r="N49" s="1">
        <f t="shared" ca="1" si="9"/>
        <v>98.874100093157381</v>
      </c>
      <c r="O49" s="1">
        <f t="shared" si="11"/>
        <v>4</v>
      </c>
    </row>
    <row r="50" spans="1:15" x14ac:dyDescent="0.25">
      <c r="A50" s="21">
        <f t="shared" si="15"/>
        <v>31</v>
      </c>
      <c r="B50" s="12">
        <f t="shared" si="14"/>
        <v>100</v>
      </c>
      <c r="C50" s="1">
        <f t="shared" si="1"/>
        <v>100.36893488147422</v>
      </c>
      <c r="D50" s="1">
        <f t="shared" ca="1" si="2"/>
        <v>99.099280074525893</v>
      </c>
      <c r="E50" s="1">
        <f t="shared" ca="1" si="3"/>
        <v>403.6028797018966</v>
      </c>
      <c r="F50" s="1">
        <f t="shared" si="10"/>
        <v>4</v>
      </c>
      <c r="G50" s="1">
        <f t="shared" si="4"/>
        <v>401.47573952589687</v>
      </c>
      <c r="I50" s="1">
        <f t="shared" si="5"/>
        <v>99.631065118525839</v>
      </c>
      <c r="J50" s="1">
        <f t="shared" si="6"/>
        <v>0</v>
      </c>
      <c r="L50" s="1">
        <f t="shared" si="7"/>
        <v>99.631065118525839</v>
      </c>
      <c r="M50" s="1">
        <f t="shared" si="8"/>
        <v>0</v>
      </c>
      <c r="N50" s="1">
        <f t="shared" ca="1" si="9"/>
        <v>99.099280074525893</v>
      </c>
      <c r="O50" s="1">
        <f t="shared" si="11"/>
        <v>4</v>
      </c>
    </row>
    <row r="51" spans="1:15" x14ac:dyDescent="0.25">
      <c r="A51" s="21">
        <f t="shared" si="15"/>
        <v>32</v>
      </c>
      <c r="B51" s="1">
        <f t="shared" si="14"/>
        <v>100</v>
      </c>
      <c r="C51" s="1">
        <f t="shared" si="1"/>
        <v>100.29514790517938</v>
      </c>
      <c r="D51" s="1">
        <f t="shared" ca="1" si="2"/>
        <v>99.279424059620737</v>
      </c>
      <c r="E51" s="1">
        <f t="shared" ca="1" si="3"/>
        <v>402.88230376151733</v>
      </c>
      <c r="F51" s="1">
        <f t="shared" si="10"/>
        <v>4</v>
      </c>
      <c r="G51" s="1">
        <f t="shared" si="4"/>
        <v>401.18059162071751</v>
      </c>
      <c r="I51" s="1">
        <f t="shared" si="5"/>
        <v>99.704852094820637</v>
      </c>
      <c r="J51" s="1">
        <f t="shared" si="6"/>
        <v>0</v>
      </c>
      <c r="L51" s="1">
        <f t="shared" si="7"/>
        <v>99.704852094820637</v>
      </c>
      <c r="M51" s="1">
        <f t="shared" si="8"/>
        <v>0</v>
      </c>
      <c r="N51" s="1">
        <f t="shared" ca="1" si="9"/>
        <v>99.279424059620737</v>
      </c>
      <c r="O51" s="1">
        <f t="shared" si="11"/>
        <v>4</v>
      </c>
    </row>
    <row r="52" spans="1:15" x14ac:dyDescent="0.25">
      <c r="A52" s="21">
        <f t="shared" si="15"/>
        <v>33</v>
      </c>
      <c r="B52" s="1">
        <f t="shared" si="14"/>
        <v>100</v>
      </c>
      <c r="C52" s="1">
        <f t="shared" ref="C52:C83" si="16">D$9*B52+(1-D$9)*C51</f>
        <v>100.2361183241435</v>
      </c>
      <c r="D52" s="1">
        <f t="shared" ref="D52:D83" ca="1" si="17">N52</f>
        <v>99.423539247696567</v>
      </c>
      <c r="E52" s="1">
        <f t="shared" ref="E52:E83" ca="1" si="18">E51+D52-B52</f>
        <v>402.3058430092139</v>
      </c>
      <c r="F52" s="1">
        <f t="shared" si="10"/>
        <v>4</v>
      </c>
      <c r="G52" s="1">
        <f t="shared" ref="G52:G83" si="19">F52*C52</f>
        <v>400.94447329657402</v>
      </c>
      <c r="I52" s="1">
        <f t="shared" ref="I52:I83" si="20">MAX(0,J51+B52+G52-G51)</f>
        <v>99.76388167585651</v>
      </c>
      <c r="J52" s="1">
        <f t="shared" ref="J52:J83" si="21">MIN(0,J51+B52+G52-G51)</f>
        <v>0</v>
      </c>
      <c r="L52" s="1">
        <f t="shared" ref="L52:L83" si="22">MAX(0,MIN(L$9,I52+M51))</f>
        <v>99.76388167585651</v>
      </c>
      <c r="M52" s="1">
        <f t="shared" ref="M52:M83" si="23">MAX(0,M51+I52-L52)</f>
        <v>0</v>
      </c>
      <c r="N52" s="1">
        <f t="shared" ref="N52:N83" ca="1" si="24">IF(A52&lt;=L$10,D$10,OFFSET(N52,-L$10,-2))</f>
        <v>99.423539247696567</v>
      </c>
      <c r="O52" s="1">
        <f t="shared" si="11"/>
        <v>4</v>
      </c>
    </row>
    <row r="53" spans="1:15" x14ac:dyDescent="0.25">
      <c r="A53" s="21">
        <f t="shared" si="15"/>
        <v>34</v>
      </c>
      <c r="B53" s="1">
        <f t="shared" si="14"/>
        <v>100</v>
      </c>
      <c r="C53" s="1">
        <f t="shared" si="16"/>
        <v>100.18889465931481</v>
      </c>
      <c r="D53" s="1">
        <f t="shared" ca="1" si="17"/>
        <v>99.538831398157242</v>
      </c>
      <c r="E53" s="1">
        <f t="shared" ca="1" si="18"/>
        <v>401.84467440737114</v>
      </c>
      <c r="F53" s="1">
        <f t="shared" si="10"/>
        <v>4</v>
      </c>
      <c r="G53" s="1">
        <f t="shared" si="19"/>
        <v>400.75557863725925</v>
      </c>
      <c r="I53" s="1">
        <f t="shared" si="20"/>
        <v>99.811105340685231</v>
      </c>
      <c r="J53" s="1">
        <f t="shared" si="21"/>
        <v>0</v>
      </c>
      <c r="L53" s="1">
        <f t="shared" si="22"/>
        <v>99.811105340685231</v>
      </c>
      <c r="M53" s="1">
        <f t="shared" si="23"/>
        <v>0</v>
      </c>
      <c r="N53" s="1">
        <f t="shared" ca="1" si="24"/>
        <v>99.538831398157242</v>
      </c>
      <c r="O53" s="1">
        <f t="shared" si="11"/>
        <v>4</v>
      </c>
    </row>
    <row r="54" spans="1:15" x14ac:dyDescent="0.25">
      <c r="A54" s="21">
        <f t="shared" si="15"/>
        <v>35</v>
      </c>
      <c r="B54" s="1">
        <f t="shared" si="14"/>
        <v>100</v>
      </c>
      <c r="C54" s="1">
        <f t="shared" si="16"/>
        <v>100.15111572745185</v>
      </c>
      <c r="D54" s="1">
        <f t="shared" ca="1" si="17"/>
        <v>99.631065118525839</v>
      </c>
      <c r="E54" s="1">
        <f t="shared" ca="1" si="18"/>
        <v>401.47573952589698</v>
      </c>
      <c r="F54" s="1">
        <f t="shared" si="10"/>
        <v>4</v>
      </c>
      <c r="G54" s="1">
        <f t="shared" si="19"/>
        <v>400.60446290980741</v>
      </c>
      <c r="I54" s="1">
        <f t="shared" si="20"/>
        <v>99.848884272548162</v>
      </c>
      <c r="J54" s="1">
        <f t="shared" si="21"/>
        <v>0</v>
      </c>
      <c r="L54" s="1">
        <f t="shared" si="22"/>
        <v>99.848884272548162</v>
      </c>
      <c r="M54" s="1">
        <f t="shared" si="23"/>
        <v>0</v>
      </c>
      <c r="N54" s="1">
        <f t="shared" ca="1" si="24"/>
        <v>99.631065118525839</v>
      </c>
      <c r="O54" s="1">
        <f t="shared" si="11"/>
        <v>4</v>
      </c>
    </row>
    <row r="55" spans="1:15" x14ac:dyDescent="0.25">
      <c r="A55" s="21">
        <f t="shared" si="15"/>
        <v>36</v>
      </c>
      <c r="B55" s="1">
        <f t="shared" si="14"/>
        <v>100</v>
      </c>
      <c r="C55" s="1">
        <f t="shared" si="16"/>
        <v>100.12089258196148</v>
      </c>
      <c r="D55" s="1">
        <f t="shared" ca="1" si="17"/>
        <v>99.704852094820637</v>
      </c>
      <c r="E55" s="1">
        <f t="shared" ca="1" si="18"/>
        <v>401.18059162071762</v>
      </c>
      <c r="F55" s="1">
        <f t="shared" si="10"/>
        <v>4</v>
      </c>
      <c r="G55" s="1">
        <f t="shared" si="19"/>
        <v>400.48357032784594</v>
      </c>
      <c r="I55" s="1">
        <f t="shared" si="20"/>
        <v>99.879107418038529</v>
      </c>
      <c r="J55" s="1">
        <f t="shared" si="21"/>
        <v>0</v>
      </c>
      <c r="L55" s="1">
        <f t="shared" si="22"/>
        <v>99.879107418038529</v>
      </c>
      <c r="M55" s="1">
        <f t="shared" si="23"/>
        <v>0</v>
      </c>
      <c r="N55" s="1">
        <f t="shared" ca="1" si="24"/>
        <v>99.704852094820637</v>
      </c>
      <c r="O55" s="1">
        <f t="shared" si="11"/>
        <v>4</v>
      </c>
    </row>
    <row r="56" spans="1:15" x14ac:dyDescent="0.25">
      <c r="A56" s="21">
        <f t="shared" si="15"/>
        <v>37</v>
      </c>
      <c r="B56" s="1">
        <f t="shared" si="14"/>
        <v>100</v>
      </c>
      <c r="C56" s="1">
        <f t="shared" si="16"/>
        <v>100.09671406556919</v>
      </c>
      <c r="D56" s="1">
        <f t="shared" ca="1" si="17"/>
        <v>99.76388167585651</v>
      </c>
      <c r="E56" s="1">
        <f t="shared" ca="1" si="18"/>
        <v>400.94447329657413</v>
      </c>
      <c r="F56" s="1">
        <f t="shared" si="10"/>
        <v>4</v>
      </c>
      <c r="G56" s="1">
        <f t="shared" si="19"/>
        <v>400.38685626227675</v>
      </c>
      <c r="I56" s="1">
        <f t="shared" si="20"/>
        <v>99.903285934430812</v>
      </c>
      <c r="J56" s="1">
        <f t="shared" si="21"/>
        <v>0</v>
      </c>
      <c r="L56" s="1">
        <f t="shared" si="22"/>
        <v>99.903285934430812</v>
      </c>
      <c r="M56" s="1">
        <f t="shared" si="23"/>
        <v>0</v>
      </c>
      <c r="N56" s="1">
        <f t="shared" ca="1" si="24"/>
        <v>99.76388167585651</v>
      </c>
      <c r="O56" s="1">
        <f t="shared" si="11"/>
        <v>4</v>
      </c>
    </row>
    <row r="57" spans="1:15" x14ac:dyDescent="0.25">
      <c r="A57" s="21">
        <f t="shared" si="15"/>
        <v>38</v>
      </c>
      <c r="B57" s="1">
        <f t="shared" si="14"/>
        <v>100</v>
      </c>
      <c r="C57" s="1">
        <f t="shared" si="16"/>
        <v>100.07737125245535</v>
      </c>
      <c r="D57" s="1">
        <f t="shared" ca="1" si="17"/>
        <v>99.811105340685231</v>
      </c>
      <c r="E57" s="1">
        <f t="shared" ca="1" si="18"/>
        <v>400.75557863725936</v>
      </c>
      <c r="F57" s="1">
        <f t="shared" si="10"/>
        <v>4</v>
      </c>
      <c r="G57" s="1">
        <f t="shared" si="19"/>
        <v>400.3094850098214</v>
      </c>
      <c r="I57" s="1">
        <f t="shared" si="20"/>
        <v>99.92262874754465</v>
      </c>
      <c r="J57" s="1">
        <f t="shared" si="21"/>
        <v>0</v>
      </c>
      <c r="L57" s="1">
        <f t="shared" si="22"/>
        <v>99.92262874754465</v>
      </c>
      <c r="M57" s="1">
        <f t="shared" si="23"/>
        <v>0</v>
      </c>
      <c r="N57" s="1">
        <f t="shared" ca="1" si="24"/>
        <v>99.811105340685231</v>
      </c>
      <c r="O57" s="1">
        <f t="shared" si="11"/>
        <v>4</v>
      </c>
    </row>
    <row r="58" spans="1:15" x14ac:dyDescent="0.25">
      <c r="A58" s="21">
        <f t="shared" si="15"/>
        <v>39</v>
      </c>
      <c r="B58" s="1">
        <f t="shared" si="14"/>
        <v>100</v>
      </c>
      <c r="C58" s="1">
        <f t="shared" si="16"/>
        <v>100.06189700196428</v>
      </c>
      <c r="D58" s="1">
        <f t="shared" ca="1" si="17"/>
        <v>99.848884272548162</v>
      </c>
      <c r="E58" s="1">
        <f t="shared" ca="1" si="18"/>
        <v>400.60446290980752</v>
      </c>
      <c r="F58" s="1">
        <f t="shared" si="10"/>
        <v>4</v>
      </c>
      <c r="G58" s="1">
        <f t="shared" si="19"/>
        <v>400.24758800785713</v>
      </c>
      <c r="I58" s="1">
        <f t="shared" si="20"/>
        <v>99.938102998035731</v>
      </c>
      <c r="J58" s="1">
        <f t="shared" si="21"/>
        <v>0</v>
      </c>
      <c r="L58" s="1">
        <f t="shared" si="22"/>
        <v>99.938102998035731</v>
      </c>
      <c r="M58" s="1">
        <f t="shared" si="23"/>
        <v>0</v>
      </c>
      <c r="N58" s="1">
        <f t="shared" ca="1" si="24"/>
        <v>99.848884272548162</v>
      </c>
      <c r="O58" s="1">
        <f t="shared" si="11"/>
        <v>4</v>
      </c>
    </row>
    <row r="59" spans="1:15" x14ac:dyDescent="0.25">
      <c r="A59" s="21">
        <f t="shared" si="15"/>
        <v>40</v>
      </c>
      <c r="B59" s="1">
        <f t="shared" si="14"/>
        <v>100</v>
      </c>
      <c r="C59" s="1">
        <f t="shared" si="16"/>
        <v>100.04951760157144</v>
      </c>
      <c r="D59" s="1">
        <f t="shared" ca="1" si="17"/>
        <v>99.879107418038529</v>
      </c>
      <c r="E59" s="1">
        <f t="shared" ca="1" si="18"/>
        <v>400.48357032784605</v>
      </c>
      <c r="F59" s="1">
        <f t="shared" si="10"/>
        <v>4</v>
      </c>
      <c r="G59" s="1">
        <f t="shared" si="19"/>
        <v>400.19807040628575</v>
      </c>
      <c r="I59" s="1">
        <f t="shared" si="20"/>
        <v>99.950482398428619</v>
      </c>
      <c r="J59" s="1">
        <f t="shared" si="21"/>
        <v>0</v>
      </c>
      <c r="L59" s="1">
        <f t="shared" si="22"/>
        <v>99.950482398428619</v>
      </c>
      <c r="M59" s="1">
        <f t="shared" si="23"/>
        <v>0</v>
      </c>
      <c r="N59" s="1">
        <f t="shared" ca="1" si="24"/>
        <v>99.879107418038529</v>
      </c>
      <c r="O59" s="1">
        <f t="shared" si="11"/>
        <v>4</v>
      </c>
    </row>
    <row r="60" spans="1:15" x14ac:dyDescent="0.25">
      <c r="A60" s="21">
        <f t="shared" si="15"/>
        <v>41</v>
      </c>
      <c r="B60" s="1">
        <f t="shared" si="14"/>
        <v>100</v>
      </c>
      <c r="C60" s="1">
        <f t="shared" si="16"/>
        <v>100.03961408125716</v>
      </c>
      <c r="D60" s="1">
        <f t="shared" ca="1" si="17"/>
        <v>99.903285934430812</v>
      </c>
      <c r="E60" s="1">
        <f t="shared" ca="1" si="18"/>
        <v>400.38685626227686</v>
      </c>
      <c r="F60" s="1">
        <f t="shared" si="10"/>
        <v>4</v>
      </c>
      <c r="G60" s="1">
        <f t="shared" si="19"/>
        <v>400.15845632502862</v>
      </c>
      <c r="I60" s="1">
        <f t="shared" si="20"/>
        <v>99.960385918742872</v>
      </c>
      <c r="J60" s="1">
        <f t="shared" si="21"/>
        <v>0</v>
      </c>
      <c r="L60" s="1">
        <f t="shared" si="22"/>
        <v>99.960385918742872</v>
      </c>
      <c r="M60" s="1">
        <f t="shared" si="23"/>
        <v>0</v>
      </c>
      <c r="N60" s="1">
        <f t="shared" ca="1" si="24"/>
        <v>99.903285934430812</v>
      </c>
      <c r="O60" s="1">
        <f t="shared" si="11"/>
        <v>4</v>
      </c>
    </row>
    <row r="61" spans="1:15" x14ac:dyDescent="0.25">
      <c r="A61" s="21">
        <f t="shared" si="15"/>
        <v>42</v>
      </c>
      <c r="B61" s="1">
        <f t="shared" si="14"/>
        <v>100</v>
      </c>
      <c r="C61" s="1">
        <f t="shared" si="16"/>
        <v>100.03169126500573</v>
      </c>
      <c r="D61" s="1">
        <f t="shared" ca="1" si="17"/>
        <v>99.92262874754465</v>
      </c>
      <c r="E61" s="1">
        <f t="shared" ca="1" si="18"/>
        <v>400.30948500982151</v>
      </c>
      <c r="F61" s="1">
        <f t="shared" si="10"/>
        <v>4</v>
      </c>
      <c r="G61" s="1">
        <f t="shared" si="19"/>
        <v>400.12676506002293</v>
      </c>
      <c r="I61" s="1">
        <f t="shared" si="20"/>
        <v>99.968308734994309</v>
      </c>
      <c r="J61" s="1">
        <f t="shared" si="21"/>
        <v>0</v>
      </c>
      <c r="L61" s="1">
        <f t="shared" si="22"/>
        <v>99.968308734994309</v>
      </c>
      <c r="M61" s="1">
        <f t="shared" si="23"/>
        <v>0</v>
      </c>
      <c r="N61" s="1">
        <f t="shared" ca="1" si="24"/>
        <v>99.92262874754465</v>
      </c>
      <c r="O61" s="1">
        <f t="shared" si="11"/>
        <v>4</v>
      </c>
    </row>
    <row r="62" spans="1:15" x14ac:dyDescent="0.25">
      <c r="A62" s="21">
        <f t="shared" si="15"/>
        <v>43</v>
      </c>
      <c r="B62" s="1">
        <f t="shared" si="14"/>
        <v>100</v>
      </c>
      <c r="C62" s="1">
        <f t="shared" si="16"/>
        <v>100.02535301200459</v>
      </c>
      <c r="D62" s="1">
        <f t="shared" ca="1" si="17"/>
        <v>99.938102998035731</v>
      </c>
      <c r="E62" s="1">
        <f t="shared" ca="1" si="18"/>
        <v>400.24758800785725</v>
      </c>
      <c r="F62" s="1">
        <f t="shared" si="10"/>
        <v>4</v>
      </c>
      <c r="G62" s="1">
        <f t="shared" si="19"/>
        <v>400.10141204801835</v>
      </c>
      <c r="I62" s="1">
        <f t="shared" si="20"/>
        <v>99.974646987995413</v>
      </c>
      <c r="J62" s="1">
        <f t="shared" si="21"/>
        <v>0</v>
      </c>
      <c r="L62" s="1">
        <f t="shared" si="22"/>
        <v>99.974646987995413</v>
      </c>
      <c r="M62" s="1">
        <f t="shared" si="23"/>
        <v>0</v>
      </c>
      <c r="N62" s="1">
        <f t="shared" ca="1" si="24"/>
        <v>99.938102998035731</v>
      </c>
      <c r="O62" s="1">
        <f t="shared" si="11"/>
        <v>4</v>
      </c>
    </row>
    <row r="63" spans="1:15" x14ac:dyDescent="0.25">
      <c r="A63" s="21">
        <f t="shared" si="15"/>
        <v>44</v>
      </c>
      <c r="B63" s="1">
        <f t="shared" si="14"/>
        <v>100</v>
      </c>
      <c r="C63" s="1">
        <f t="shared" si="16"/>
        <v>100.02028240960368</v>
      </c>
      <c r="D63" s="1">
        <f t="shared" ca="1" si="17"/>
        <v>99.950482398428619</v>
      </c>
      <c r="E63" s="1">
        <f t="shared" ca="1" si="18"/>
        <v>400.19807040628586</v>
      </c>
      <c r="F63" s="1">
        <f t="shared" si="10"/>
        <v>4</v>
      </c>
      <c r="G63" s="1">
        <f t="shared" si="19"/>
        <v>400.08112963841472</v>
      </c>
      <c r="I63" s="1">
        <f t="shared" si="20"/>
        <v>99.979717590396376</v>
      </c>
      <c r="J63" s="1">
        <f t="shared" si="21"/>
        <v>0</v>
      </c>
      <c r="L63" s="1">
        <f t="shared" si="22"/>
        <v>99.979717590396376</v>
      </c>
      <c r="M63" s="1">
        <f t="shared" si="23"/>
        <v>0</v>
      </c>
      <c r="N63" s="1">
        <f t="shared" ca="1" si="24"/>
        <v>99.950482398428619</v>
      </c>
      <c r="O63" s="1">
        <f t="shared" si="11"/>
        <v>4</v>
      </c>
    </row>
    <row r="64" spans="1:15" x14ac:dyDescent="0.25">
      <c r="A64" s="21">
        <f t="shared" si="15"/>
        <v>45</v>
      </c>
      <c r="B64" s="1">
        <f t="shared" si="14"/>
        <v>100</v>
      </c>
      <c r="C64" s="1">
        <f t="shared" si="16"/>
        <v>100.01622592768295</v>
      </c>
      <c r="D64" s="1">
        <f t="shared" ca="1" si="17"/>
        <v>99.960385918742872</v>
      </c>
      <c r="E64" s="1">
        <f t="shared" ca="1" si="18"/>
        <v>400.15845632502874</v>
      </c>
      <c r="F64" s="1">
        <f t="shared" si="10"/>
        <v>4</v>
      </c>
      <c r="G64" s="1">
        <f t="shared" si="19"/>
        <v>400.06490371073181</v>
      </c>
      <c r="I64" s="1">
        <f t="shared" si="20"/>
        <v>99.98377407231709</v>
      </c>
      <c r="J64" s="1">
        <f t="shared" si="21"/>
        <v>0</v>
      </c>
      <c r="L64" s="1">
        <f t="shared" si="22"/>
        <v>99.98377407231709</v>
      </c>
      <c r="M64" s="1">
        <f t="shared" si="23"/>
        <v>0</v>
      </c>
      <c r="N64" s="1">
        <f t="shared" ca="1" si="24"/>
        <v>99.960385918742872</v>
      </c>
      <c r="O64" s="1">
        <f t="shared" si="11"/>
        <v>4</v>
      </c>
    </row>
    <row r="65" spans="1:15" x14ac:dyDescent="0.25">
      <c r="A65" s="21">
        <f t="shared" si="15"/>
        <v>46</v>
      </c>
      <c r="B65" s="1">
        <f t="shared" ref="B65:B96" si="25">D$10</f>
        <v>100</v>
      </c>
      <c r="C65" s="1">
        <f t="shared" si="16"/>
        <v>100.01298074214637</v>
      </c>
      <c r="D65" s="1">
        <f t="shared" ca="1" si="17"/>
        <v>99.968308734994309</v>
      </c>
      <c r="E65" s="1">
        <f t="shared" ca="1" si="18"/>
        <v>400.12676506002305</v>
      </c>
      <c r="F65" s="1">
        <f t="shared" si="10"/>
        <v>4</v>
      </c>
      <c r="G65" s="1">
        <f t="shared" si="19"/>
        <v>400.05192296858547</v>
      </c>
      <c r="I65" s="1">
        <f t="shared" si="20"/>
        <v>99.98701925785366</v>
      </c>
      <c r="J65" s="1">
        <f t="shared" si="21"/>
        <v>0</v>
      </c>
      <c r="L65" s="1">
        <f t="shared" si="22"/>
        <v>99.98701925785366</v>
      </c>
      <c r="M65" s="1">
        <f t="shared" si="23"/>
        <v>0</v>
      </c>
      <c r="N65" s="1">
        <f t="shared" ca="1" si="24"/>
        <v>99.968308734994309</v>
      </c>
      <c r="O65" s="1">
        <f t="shared" si="11"/>
        <v>4</v>
      </c>
    </row>
    <row r="66" spans="1:15" x14ac:dyDescent="0.25">
      <c r="A66" s="21">
        <f t="shared" si="15"/>
        <v>47</v>
      </c>
      <c r="B66" s="1">
        <f t="shared" si="25"/>
        <v>100</v>
      </c>
      <c r="C66" s="1">
        <f t="shared" si="16"/>
        <v>100.01038459371711</v>
      </c>
      <c r="D66" s="1">
        <f t="shared" ca="1" si="17"/>
        <v>99.974646987995413</v>
      </c>
      <c r="E66" s="1">
        <f t="shared" ca="1" si="18"/>
        <v>400.10141204801846</v>
      </c>
      <c r="F66" s="1">
        <f t="shared" si="10"/>
        <v>4</v>
      </c>
      <c r="G66" s="1">
        <f t="shared" si="19"/>
        <v>400.04153837486842</v>
      </c>
      <c r="I66" s="1">
        <f t="shared" si="20"/>
        <v>99.989615406282951</v>
      </c>
      <c r="J66" s="1">
        <f t="shared" si="21"/>
        <v>0</v>
      </c>
      <c r="L66" s="1">
        <f t="shared" si="22"/>
        <v>99.989615406282951</v>
      </c>
      <c r="M66" s="1">
        <f t="shared" si="23"/>
        <v>0</v>
      </c>
      <c r="N66" s="1">
        <f t="shared" ca="1" si="24"/>
        <v>99.974646987995413</v>
      </c>
      <c r="O66" s="1">
        <f t="shared" si="11"/>
        <v>4</v>
      </c>
    </row>
    <row r="67" spans="1:15" x14ac:dyDescent="0.25">
      <c r="A67" s="21">
        <f t="shared" si="15"/>
        <v>48</v>
      </c>
      <c r="B67" s="1">
        <f t="shared" si="25"/>
        <v>100</v>
      </c>
      <c r="C67" s="1">
        <f t="shared" si="16"/>
        <v>100.00830767497369</v>
      </c>
      <c r="D67" s="1">
        <f t="shared" ca="1" si="17"/>
        <v>99.979717590396376</v>
      </c>
      <c r="E67" s="1">
        <f t="shared" ca="1" si="18"/>
        <v>400.08112963841484</v>
      </c>
      <c r="F67" s="1">
        <f t="shared" si="10"/>
        <v>4</v>
      </c>
      <c r="G67" s="1">
        <f t="shared" si="19"/>
        <v>400.03323069989477</v>
      </c>
      <c r="I67" s="1">
        <f t="shared" si="20"/>
        <v>99.991692325026349</v>
      </c>
      <c r="J67" s="1">
        <f t="shared" si="21"/>
        <v>0</v>
      </c>
      <c r="L67" s="1">
        <f t="shared" si="22"/>
        <v>99.991692325026349</v>
      </c>
      <c r="M67" s="1">
        <f t="shared" si="23"/>
        <v>0</v>
      </c>
      <c r="N67" s="1">
        <f t="shared" ca="1" si="24"/>
        <v>99.979717590396376</v>
      </c>
      <c r="O67" s="1">
        <f t="shared" si="11"/>
        <v>4</v>
      </c>
    </row>
    <row r="68" spans="1:15" x14ac:dyDescent="0.25">
      <c r="A68" s="21">
        <f t="shared" si="15"/>
        <v>49</v>
      </c>
      <c r="B68" s="1">
        <f t="shared" si="25"/>
        <v>100</v>
      </c>
      <c r="C68" s="1">
        <f t="shared" si="16"/>
        <v>100.00664613997895</v>
      </c>
      <c r="D68" s="1">
        <f t="shared" ca="1" si="17"/>
        <v>99.98377407231709</v>
      </c>
      <c r="E68" s="1">
        <f t="shared" ca="1" si="18"/>
        <v>400.06490371073193</v>
      </c>
      <c r="F68" s="1">
        <f t="shared" si="10"/>
        <v>4</v>
      </c>
      <c r="G68" s="1">
        <f t="shared" si="19"/>
        <v>400.02658455991582</v>
      </c>
      <c r="I68" s="1">
        <f t="shared" si="20"/>
        <v>99.993353860021045</v>
      </c>
      <c r="J68" s="1">
        <f t="shared" si="21"/>
        <v>0</v>
      </c>
      <c r="L68" s="1">
        <f t="shared" si="22"/>
        <v>99.993353860021045</v>
      </c>
      <c r="M68" s="1">
        <f t="shared" si="23"/>
        <v>0</v>
      </c>
      <c r="N68" s="1">
        <f t="shared" ca="1" si="24"/>
        <v>99.98377407231709</v>
      </c>
      <c r="O68" s="1">
        <f t="shared" si="11"/>
        <v>4</v>
      </c>
    </row>
    <row r="69" spans="1:15" x14ac:dyDescent="0.25">
      <c r="A69" s="21">
        <f t="shared" si="15"/>
        <v>50</v>
      </c>
      <c r="B69" s="1">
        <f t="shared" si="25"/>
        <v>100</v>
      </c>
      <c r="C69" s="1">
        <f t="shared" si="16"/>
        <v>100.00531691198317</v>
      </c>
      <c r="D69" s="1">
        <f t="shared" ca="1" si="17"/>
        <v>99.98701925785366</v>
      </c>
      <c r="E69" s="1">
        <f t="shared" ca="1" si="18"/>
        <v>400.05192296858559</v>
      </c>
      <c r="F69" s="1">
        <f t="shared" si="10"/>
        <v>4</v>
      </c>
      <c r="G69" s="1">
        <f t="shared" si="19"/>
        <v>400.02126764793269</v>
      </c>
      <c r="I69" s="1">
        <f t="shared" si="20"/>
        <v>99.99468308801687</v>
      </c>
      <c r="J69" s="1">
        <f t="shared" si="21"/>
        <v>0</v>
      </c>
      <c r="L69" s="1">
        <f t="shared" si="22"/>
        <v>99.99468308801687</v>
      </c>
      <c r="M69" s="1">
        <f t="shared" si="23"/>
        <v>0</v>
      </c>
      <c r="N69" s="1">
        <f t="shared" ca="1" si="24"/>
        <v>99.98701925785366</v>
      </c>
      <c r="O69" s="1">
        <f t="shared" si="11"/>
        <v>4</v>
      </c>
    </row>
    <row r="70" spans="1:15" x14ac:dyDescent="0.25">
      <c r="A70" s="21">
        <f t="shared" si="15"/>
        <v>51</v>
      </c>
      <c r="B70" s="1">
        <f t="shared" si="25"/>
        <v>100</v>
      </c>
      <c r="C70" s="1">
        <f t="shared" si="16"/>
        <v>100.00425352958655</v>
      </c>
      <c r="D70" s="1">
        <f t="shared" ca="1" si="17"/>
        <v>99.989615406282951</v>
      </c>
      <c r="E70" s="1">
        <f t="shared" ca="1" si="18"/>
        <v>400.04153837486854</v>
      </c>
      <c r="F70" s="1">
        <f t="shared" si="10"/>
        <v>4</v>
      </c>
      <c r="G70" s="1">
        <f t="shared" si="19"/>
        <v>400.0170141183462</v>
      </c>
      <c r="I70" s="1">
        <f t="shared" si="20"/>
        <v>99.995746470413508</v>
      </c>
      <c r="J70" s="1">
        <f t="shared" si="21"/>
        <v>0</v>
      </c>
      <c r="L70" s="1">
        <f t="shared" si="22"/>
        <v>99.995746470413508</v>
      </c>
      <c r="M70" s="1">
        <f t="shared" si="23"/>
        <v>0</v>
      </c>
      <c r="N70" s="1">
        <f t="shared" ca="1" si="24"/>
        <v>99.989615406282951</v>
      </c>
      <c r="O70" s="1">
        <f t="shared" si="11"/>
        <v>4</v>
      </c>
    </row>
    <row r="71" spans="1:15" x14ac:dyDescent="0.25">
      <c r="A71" s="21">
        <f t="shared" si="15"/>
        <v>52</v>
      </c>
      <c r="B71" s="1">
        <f t="shared" si="25"/>
        <v>100</v>
      </c>
      <c r="C71" s="1">
        <f t="shared" si="16"/>
        <v>100.00340282366925</v>
      </c>
      <c r="D71" s="1">
        <f t="shared" ca="1" si="17"/>
        <v>99.991692325026349</v>
      </c>
      <c r="E71" s="1">
        <f t="shared" ca="1" si="18"/>
        <v>400.03323069989489</v>
      </c>
      <c r="F71" s="1">
        <f t="shared" si="10"/>
        <v>4</v>
      </c>
      <c r="G71" s="1">
        <f t="shared" si="19"/>
        <v>400.01361129467699</v>
      </c>
      <c r="I71" s="1">
        <f t="shared" si="20"/>
        <v>99.996597176330795</v>
      </c>
      <c r="J71" s="1">
        <f t="shared" si="21"/>
        <v>0</v>
      </c>
      <c r="L71" s="1">
        <f t="shared" si="22"/>
        <v>99.996597176330795</v>
      </c>
      <c r="M71" s="1">
        <f t="shared" si="23"/>
        <v>0</v>
      </c>
      <c r="N71" s="1">
        <f t="shared" ca="1" si="24"/>
        <v>99.991692325026349</v>
      </c>
      <c r="O71" s="1">
        <f t="shared" si="11"/>
        <v>4</v>
      </c>
    </row>
    <row r="72" spans="1:15" x14ac:dyDescent="0.25">
      <c r="A72" s="21">
        <f t="shared" si="15"/>
        <v>53</v>
      </c>
      <c r="B72" s="1">
        <f t="shared" si="25"/>
        <v>100</v>
      </c>
      <c r="C72" s="1">
        <f t="shared" si="16"/>
        <v>100.00272225893541</v>
      </c>
      <c r="D72" s="1">
        <f t="shared" ca="1" si="17"/>
        <v>99.993353860021045</v>
      </c>
      <c r="E72" s="1">
        <f t="shared" ca="1" si="18"/>
        <v>400.02658455991593</v>
      </c>
      <c r="F72" s="1">
        <f t="shared" si="10"/>
        <v>4</v>
      </c>
      <c r="G72" s="1">
        <f t="shared" si="19"/>
        <v>400.01088903574163</v>
      </c>
      <c r="I72" s="1">
        <f t="shared" si="20"/>
        <v>99.997277741064636</v>
      </c>
      <c r="J72" s="1">
        <f t="shared" si="21"/>
        <v>0</v>
      </c>
      <c r="L72" s="1">
        <f t="shared" si="22"/>
        <v>99.997277741064636</v>
      </c>
      <c r="M72" s="1">
        <f t="shared" si="23"/>
        <v>0</v>
      </c>
      <c r="N72" s="1">
        <f t="shared" ca="1" si="24"/>
        <v>99.993353860021045</v>
      </c>
      <c r="O72" s="1">
        <f t="shared" si="11"/>
        <v>4</v>
      </c>
    </row>
    <row r="73" spans="1:15" x14ac:dyDescent="0.25">
      <c r="A73" s="21">
        <f t="shared" si="15"/>
        <v>54</v>
      </c>
      <c r="B73" s="1">
        <f t="shared" si="25"/>
        <v>100</v>
      </c>
      <c r="C73" s="1">
        <f t="shared" si="16"/>
        <v>100.00217780714833</v>
      </c>
      <c r="D73" s="1">
        <f t="shared" ca="1" si="17"/>
        <v>99.99468308801687</v>
      </c>
      <c r="E73" s="1">
        <f t="shared" ca="1" si="18"/>
        <v>400.0212676479328</v>
      </c>
      <c r="F73" s="1">
        <f t="shared" si="10"/>
        <v>4</v>
      </c>
      <c r="G73" s="1">
        <f t="shared" si="19"/>
        <v>400.00871122859331</v>
      </c>
      <c r="I73" s="1">
        <f t="shared" si="20"/>
        <v>99.997822192851686</v>
      </c>
      <c r="J73" s="1">
        <f t="shared" si="21"/>
        <v>0</v>
      </c>
      <c r="L73" s="1">
        <f t="shared" si="22"/>
        <v>99.997822192851686</v>
      </c>
      <c r="M73" s="1">
        <f t="shared" si="23"/>
        <v>0</v>
      </c>
      <c r="N73" s="1">
        <f t="shared" ca="1" si="24"/>
        <v>99.99468308801687</v>
      </c>
      <c r="O73" s="1">
        <f t="shared" si="11"/>
        <v>4</v>
      </c>
    </row>
    <row r="74" spans="1:15" x14ac:dyDescent="0.25">
      <c r="A74" s="21">
        <f t="shared" si="15"/>
        <v>55</v>
      </c>
      <c r="B74" s="1">
        <f t="shared" si="25"/>
        <v>100</v>
      </c>
      <c r="C74" s="1">
        <f t="shared" si="16"/>
        <v>100.00174224571867</v>
      </c>
      <c r="D74" s="1">
        <f t="shared" ca="1" si="17"/>
        <v>99.995746470413508</v>
      </c>
      <c r="E74" s="1">
        <f t="shared" ca="1" si="18"/>
        <v>400.01701411834631</v>
      </c>
      <c r="F74" s="1">
        <f t="shared" si="10"/>
        <v>4</v>
      </c>
      <c r="G74" s="1">
        <f t="shared" si="19"/>
        <v>400.0069689828747</v>
      </c>
      <c r="I74" s="1">
        <f t="shared" si="20"/>
        <v>99.998257754281383</v>
      </c>
      <c r="J74" s="1">
        <f t="shared" si="21"/>
        <v>0</v>
      </c>
      <c r="L74" s="1">
        <f t="shared" si="22"/>
        <v>99.998257754281383</v>
      </c>
      <c r="M74" s="1">
        <f t="shared" si="23"/>
        <v>0</v>
      </c>
      <c r="N74" s="1">
        <f t="shared" ca="1" si="24"/>
        <v>99.995746470413508</v>
      </c>
      <c r="O74" s="1">
        <f t="shared" si="11"/>
        <v>4</v>
      </c>
    </row>
    <row r="75" spans="1:15" x14ac:dyDescent="0.25">
      <c r="A75" s="21">
        <f t="shared" si="15"/>
        <v>56</v>
      </c>
      <c r="B75" s="1">
        <f t="shared" si="25"/>
        <v>100</v>
      </c>
      <c r="C75" s="1">
        <f t="shared" si="16"/>
        <v>100.00139379657494</v>
      </c>
      <c r="D75" s="1">
        <f t="shared" ca="1" si="17"/>
        <v>99.996597176330795</v>
      </c>
      <c r="E75" s="1">
        <f t="shared" ca="1" si="18"/>
        <v>400.0136112946771</v>
      </c>
      <c r="F75" s="1">
        <f t="shared" si="10"/>
        <v>4</v>
      </c>
      <c r="G75" s="1">
        <f t="shared" si="19"/>
        <v>400.00557518629978</v>
      </c>
      <c r="I75" s="1">
        <f t="shared" si="20"/>
        <v>99.998606203425084</v>
      </c>
      <c r="J75" s="1">
        <f t="shared" si="21"/>
        <v>0</v>
      </c>
      <c r="L75" s="1">
        <f t="shared" si="22"/>
        <v>99.998606203425084</v>
      </c>
      <c r="M75" s="1">
        <f t="shared" si="23"/>
        <v>0</v>
      </c>
      <c r="N75" s="1">
        <f t="shared" ca="1" si="24"/>
        <v>99.996597176330795</v>
      </c>
      <c r="O75" s="1">
        <f t="shared" si="11"/>
        <v>4</v>
      </c>
    </row>
    <row r="76" spans="1:15" x14ac:dyDescent="0.25">
      <c r="A76" s="21">
        <f t="shared" si="15"/>
        <v>57</v>
      </c>
      <c r="B76" s="1">
        <f t="shared" si="25"/>
        <v>100</v>
      </c>
      <c r="C76" s="1">
        <f t="shared" si="16"/>
        <v>100.00111503725996</v>
      </c>
      <c r="D76" s="1">
        <f t="shared" ca="1" si="17"/>
        <v>99.997277741064636</v>
      </c>
      <c r="E76" s="1">
        <f t="shared" ca="1" si="18"/>
        <v>400.01088903574174</v>
      </c>
      <c r="F76" s="1">
        <f t="shared" si="10"/>
        <v>4</v>
      </c>
      <c r="G76" s="1">
        <f t="shared" si="19"/>
        <v>400.00446014903986</v>
      </c>
      <c r="I76" s="1">
        <f t="shared" si="20"/>
        <v>99.998884962740078</v>
      </c>
      <c r="J76" s="1">
        <f t="shared" si="21"/>
        <v>0</v>
      </c>
      <c r="L76" s="1">
        <f t="shared" si="22"/>
        <v>99.998884962740078</v>
      </c>
      <c r="M76" s="1">
        <f t="shared" si="23"/>
        <v>0</v>
      </c>
      <c r="N76" s="1">
        <f t="shared" ca="1" si="24"/>
        <v>99.997277741064636</v>
      </c>
      <c r="O76" s="1">
        <f t="shared" si="11"/>
        <v>4</v>
      </c>
    </row>
    <row r="77" spans="1:15" x14ac:dyDescent="0.25">
      <c r="A77" s="21">
        <f t="shared" si="15"/>
        <v>58</v>
      </c>
      <c r="B77" s="1">
        <f t="shared" si="25"/>
        <v>100</v>
      </c>
      <c r="C77" s="1">
        <f t="shared" si="16"/>
        <v>100.00089202980797</v>
      </c>
      <c r="D77" s="1">
        <f t="shared" ca="1" si="17"/>
        <v>99.997822192851686</v>
      </c>
      <c r="E77" s="1">
        <f t="shared" ca="1" si="18"/>
        <v>400.00871122859343</v>
      </c>
      <c r="F77" s="1">
        <f t="shared" si="10"/>
        <v>4</v>
      </c>
      <c r="G77" s="1">
        <f t="shared" si="19"/>
        <v>400.00356811923189</v>
      </c>
      <c r="I77" s="1">
        <f t="shared" si="20"/>
        <v>99.999107970192028</v>
      </c>
      <c r="J77" s="1">
        <f t="shared" si="21"/>
        <v>0</v>
      </c>
      <c r="L77" s="1">
        <f t="shared" si="22"/>
        <v>99.999107970192028</v>
      </c>
      <c r="M77" s="1">
        <f t="shared" si="23"/>
        <v>0</v>
      </c>
      <c r="N77" s="1">
        <f t="shared" ca="1" si="24"/>
        <v>99.997822192851686</v>
      </c>
      <c r="O77" s="1">
        <f t="shared" si="11"/>
        <v>4</v>
      </c>
    </row>
    <row r="78" spans="1:15" x14ac:dyDescent="0.25">
      <c r="A78" s="21">
        <f t="shared" si="15"/>
        <v>59</v>
      </c>
      <c r="B78" s="1">
        <f t="shared" si="25"/>
        <v>100</v>
      </c>
      <c r="C78" s="1">
        <f t="shared" si="16"/>
        <v>100.00071362384638</v>
      </c>
      <c r="D78" s="1">
        <f t="shared" ca="1" si="17"/>
        <v>99.998257754281383</v>
      </c>
      <c r="E78" s="1">
        <f t="shared" ca="1" si="18"/>
        <v>400.00696898287481</v>
      </c>
      <c r="F78" s="1">
        <f t="shared" si="10"/>
        <v>4</v>
      </c>
      <c r="G78" s="1">
        <f t="shared" si="19"/>
        <v>400.00285449538552</v>
      </c>
      <c r="I78" s="1">
        <f t="shared" si="20"/>
        <v>99.999286376153634</v>
      </c>
      <c r="J78" s="1">
        <f t="shared" si="21"/>
        <v>0</v>
      </c>
      <c r="L78" s="1">
        <f t="shared" si="22"/>
        <v>99.999286376153634</v>
      </c>
      <c r="M78" s="1">
        <f t="shared" si="23"/>
        <v>0</v>
      </c>
      <c r="N78" s="1">
        <f t="shared" ca="1" si="24"/>
        <v>99.998257754281383</v>
      </c>
      <c r="O78" s="1">
        <f t="shared" si="11"/>
        <v>4</v>
      </c>
    </row>
    <row r="79" spans="1:15" x14ac:dyDescent="0.25">
      <c r="A79" s="21">
        <f t="shared" si="15"/>
        <v>60</v>
      </c>
      <c r="B79" s="1">
        <f t="shared" si="25"/>
        <v>100</v>
      </c>
      <c r="C79" s="1">
        <f t="shared" si="16"/>
        <v>100.0005708990771</v>
      </c>
      <c r="D79" s="1">
        <f t="shared" ca="1" si="17"/>
        <v>99.998606203425084</v>
      </c>
      <c r="E79" s="1">
        <f t="shared" ca="1" si="18"/>
        <v>400.00557518629989</v>
      </c>
      <c r="F79" s="1">
        <f t="shared" si="10"/>
        <v>4</v>
      </c>
      <c r="G79" s="1">
        <f t="shared" si="19"/>
        <v>400.00228359630842</v>
      </c>
      <c r="I79" s="1">
        <f t="shared" si="20"/>
        <v>99.999429100922896</v>
      </c>
      <c r="J79" s="1">
        <f t="shared" si="21"/>
        <v>0</v>
      </c>
      <c r="L79" s="1">
        <f t="shared" si="22"/>
        <v>99.999429100922896</v>
      </c>
      <c r="M79" s="1">
        <f t="shared" si="23"/>
        <v>0</v>
      </c>
      <c r="N79" s="1">
        <f t="shared" ca="1" si="24"/>
        <v>99.998606203425084</v>
      </c>
      <c r="O79" s="1">
        <f t="shared" si="11"/>
        <v>4</v>
      </c>
    </row>
    <row r="80" spans="1:15" x14ac:dyDescent="0.25">
      <c r="A80" s="21">
        <f t="shared" si="15"/>
        <v>61</v>
      </c>
      <c r="B80" s="1">
        <f t="shared" si="25"/>
        <v>100</v>
      </c>
      <c r="C80" s="1">
        <f t="shared" si="16"/>
        <v>100.00045671926169</v>
      </c>
      <c r="D80" s="1">
        <f t="shared" ca="1" si="17"/>
        <v>99.998884962740078</v>
      </c>
      <c r="E80" s="1">
        <f t="shared" ca="1" si="18"/>
        <v>400.00446014903997</v>
      </c>
      <c r="F80" s="1">
        <f t="shared" si="10"/>
        <v>4</v>
      </c>
      <c r="G80" s="1">
        <f t="shared" si="19"/>
        <v>400.00182687704677</v>
      </c>
      <c r="I80" s="1">
        <f t="shared" si="20"/>
        <v>99.999543280738351</v>
      </c>
      <c r="J80" s="1">
        <f t="shared" si="21"/>
        <v>0</v>
      </c>
      <c r="L80" s="1">
        <f t="shared" si="22"/>
        <v>99.999543280738351</v>
      </c>
      <c r="M80" s="1">
        <f t="shared" si="23"/>
        <v>0</v>
      </c>
      <c r="N80" s="1">
        <f t="shared" ca="1" si="24"/>
        <v>99.998884962740078</v>
      </c>
      <c r="O80" s="1">
        <f t="shared" si="11"/>
        <v>4</v>
      </c>
    </row>
    <row r="81" spans="1:15" x14ac:dyDescent="0.25">
      <c r="A81" s="21">
        <f t="shared" si="15"/>
        <v>62</v>
      </c>
      <c r="B81" s="1">
        <f t="shared" si="25"/>
        <v>100</v>
      </c>
      <c r="C81" s="1">
        <f t="shared" si="16"/>
        <v>100.00036537540936</v>
      </c>
      <c r="D81" s="1">
        <f t="shared" ca="1" si="17"/>
        <v>99.999107970192028</v>
      </c>
      <c r="E81" s="1">
        <f t="shared" ca="1" si="18"/>
        <v>400.003568119232</v>
      </c>
      <c r="F81" s="1">
        <f t="shared" si="10"/>
        <v>4</v>
      </c>
      <c r="G81" s="1">
        <f t="shared" si="19"/>
        <v>400.00146150163744</v>
      </c>
      <c r="I81" s="1">
        <f t="shared" si="20"/>
        <v>99.999634624590669</v>
      </c>
      <c r="J81" s="1">
        <f t="shared" si="21"/>
        <v>0</v>
      </c>
      <c r="L81" s="1">
        <f t="shared" si="22"/>
        <v>99.999634624590669</v>
      </c>
      <c r="M81" s="1">
        <f t="shared" si="23"/>
        <v>0</v>
      </c>
      <c r="N81" s="1">
        <f t="shared" ca="1" si="24"/>
        <v>99.999107970192028</v>
      </c>
      <c r="O81" s="1">
        <f t="shared" si="11"/>
        <v>4</v>
      </c>
    </row>
    <row r="82" spans="1:15" x14ac:dyDescent="0.25">
      <c r="A82" s="21">
        <f t="shared" si="15"/>
        <v>63</v>
      </c>
      <c r="B82" s="1">
        <f t="shared" si="25"/>
        <v>100</v>
      </c>
      <c r="C82" s="1">
        <f t="shared" si="16"/>
        <v>100.00029230032749</v>
      </c>
      <c r="D82" s="1">
        <f t="shared" ca="1" si="17"/>
        <v>99.999286376153634</v>
      </c>
      <c r="E82" s="1">
        <f t="shared" ca="1" si="18"/>
        <v>400.00285449538563</v>
      </c>
      <c r="F82" s="1">
        <f t="shared" si="10"/>
        <v>4</v>
      </c>
      <c r="G82" s="1">
        <f t="shared" si="19"/>
        <v>400.00116920130995</v>
      </c>
      <c r="I82" s="1">
        <f t="shared" si="20"/>
        <v>99.999707699672513</v>
      </c>
      <c r="J82" s="1">
        <f t="shared" si="21"/>
        <v>0</v>
      </c>
      <c r="L82" s="1">
        <f t="shared" si="22"/>
        <v>99.999707699672513</v>
      </c>
      <c r="M82" s="1">
        <f t="shared" si="23"/>
        <v>0</v>
      </c>
      <c r="N82" s="1">
        <f t="shared" ca="1" si="24"/>
        <v>99.999286376153634</v>
      </c>
      <c r="O82" s="1">
        <f t="shared" si="11"/>
        <v>4</v>
      </c>
    </row>
    <row r="83" spans="1:15" x14ac:dyDescent="0.25">
      <c r="A83" s="21">
        <f t="shared" si="15"/>
        <v>64</v>
      </c>
      <c r="B83" s="1">
        <f t="shared" si="25"/>
        <v>100</v>
      </c>
      <c r="C83" s="1">
        <f t="shared" si="16"/>
        <v>100.000233840262</v>
      </c>
      <c r="D83" s="1">
        <f t="shared" ca="1" si="17"/>
        <v>99.999429100922896</v>
      </c>
      <c r="E83" s="1">
        <f t="shared" ca="1" si="18"/>
        <v>400.00228359630853</v>
      </c>
      <c r="F83" s="1">
        <f t="shared" si="10"/>
        <v>4</v>
      </c>
      <c r="G83" s="1">
        <f t="shared" si="19"/>
        <v>400.00093536104799</v>
      </c>
      <c r="I83" s="1">
        <f t="shared" si="20"/>
        <v>99.999766159738044</v>
      </c>
      <c r="J83" s="1">
        <f t="shared" si="21"/>
        <v>0</v>
      </c>
      <c r="L83" s="1">
        <f t="shared" si="22"/>
        <v>99.999766159738044</v>
      </c>
      <c r="M83" s="1">
        <f t="shared" si="23"/>
        <v>0</v>
      </c>
      <c r="N83" s="1">
        <f t="shared" ca="1" si="24"/>
        <v>99.999429100922896</v>
      </c>
      <c r="O83" s="1">
        <f t="shared" si="11"/>
        <v>4</v>
      </c>
    </row>
    <row r="84" spans="1:15" x14ac:dyDescent="0.25">
      <c r="A84" s="21">
        <f t="shared" si="15"/>
        <v>65</v>
      </c>
      <c r="B84" s="1">
        <f t="shared" si="25"/>
        <v>100</v>
      </c>
      <c r="C84" s="1">
        <f t="shared" ref="C84:C115" si="26">D$9*B84+(1-D$9)*C83</f>
        <v>100.0001870722096</v>
      </c>
      <c r="D84" s="1">
        <f t="shared" ref="D84:D115" ca="1" si="27">N84</f>
        <v>99.999543280738351</v>
      </c>
      <c r="E84" s="1">
        <f t="shared" ref="E84:E115" ca="1" si="28">E83+D84-B84</f>
        <v>400.00182687704688</v>
      </c>
      <c r="F84" s="1">
        <f t="shared" si="10"/>
        <v>4</v>
      </c>
      <c r="G84" s="1">
        <f t="shared" ref="G84:G115" si="29">F84*C84</f>
        <v>400.00074828883839</v>
      </c>
      <c r="I84" s="1">
        <f t="shared" ref="I84:I115" si="30">MAX(0,J83+B84+G84-G83)</f>
        <v>99.999812927790401</v>
      </c>
      <c r="J84" s="1">
        <f t="shared" ref="J84:J115" si="31">MIN(0,J83+B84+G84-G83)</f>
        <v>0</v>
      </c>
      <c r="L84" s="1">
        <f t="shared" ref="L84:L115" si="32">MAX(0,MIN(L$9,I84+M83))</f>
        <v>99.999812927790401</v>
      </c>
      <c r="M84" s="1">
        <f t="shared" ref="M84:M115" si="33">MAX(0,M83+I84-L84)</f>
        <v>0</v>
      </c>
      <c r="N84" s="1">
        <f t="shared" ref="N84:N115" ca="1" si="34">IF(A84&lt;=L$10,D$10,OFFSET(N84,-L$10,-2))</f>
        <v>99.999543280738351</v>
      </c>
      <c r="O84" s="1">
        <f t="shared" si="11"/>
        <v>4</v>
      </c>
    </row>
    <row r="85" spans="1:15" x14ac:dyDescent="0.25">
      <c r="A85" s="21">
        <f t="shared" si="15"/>
        <v>66</v>
      </c>
      <c r="B85" s="1">
        <f t="shared" si="25"/>
        <v>100</v>
      </c>
      <c r="C85" s="1">
        <f t="shared" si="26"/>
        <v>100.00014965776768</v>
      </c>
      <c r="D85" s="1">
        <f t="shared" ca="1" si="27"/>
        <v>99.999634624590669</v>
      </c>
      <c r="E85" s="1">
        <f t="shared" ca="1" si="28"/>
        <v>400.00146150163755</v>
      </c>
      <c r="F85" s="1">
        <f t="shared" ref="F85:F148" si="35">O84</f>
        <v>4</v>
      </c>
      <c r="G85" s="1">
        <f t="shared" si="29"/>
        <v>400.00059863107072</v>
      </c>
      <c r="I85" s="1">
        <f t="shared" si="30"/>
        <v>99.999850342232321</v>
      </c>
      <c r="J85" s="1">
        <f t="shared" si="31"/>
        <v>0</v>
      </c>
      <c r="L85" s="1">
        <f t="shared" si="32"/>
        <v>99.999850342232321</v>
      </c>
      <c r="M85" s="1">
        <f t="shared" si="33"/>
        <v>0</v>
      </c>
      <c r="N85" s="1">
        <f t="shared" ca="1" si="34"/>
        <v>99.999634624590669</v>
      </c>
      <c r="O85" s="1">
        <f t="shared" ref="O85:O148" si="36">L$10+M85/L$9</f>
        <v>4</v>
      </c>
    </row>
    <row r="86" spans="1:15" x14ac:dyDescent="0.25">
      <c r="A86" s="21">
        <f t="shared" si="15"/>
        <v>67</v>
      </c>
      <c r="B86" s="1">
        <f t="shared" si="25"/>
        <v>100</v>
      </c>
      <c r="C86" s="1">
        <f t="shared" si="26"/>
        <v>100.00011972621415</v>
      </c>
      <c r="D86" s="1">
        <f t="shared" ca="1" si="27"/>
        <v>99.999707699672513</v>
      </c>
      <c r="E86" s="1">
        <f t="shared" ca="1" si="28"/>
        <v>400.00116920131006</v>
      </c>
      <c r="F86" s="1">
        <f t="shared" si="35"/>
        <v>4</v>
      </c>
      <c r="G86" s="1">
        <f t="shared" si="29"/>
        <v>400.00047890485661</v>
      </c>
      <c r="I86" s="1">
        <f t="shared" si="30"/>
        <v>99.999880273785891</v>
      </c>
      <c r="J86" s="1">
        <f t="shared" si="31"/>
        <v>0</v>
      </c>
      <c r="L86" s="1">
        <f t="shared" si="32"/>
        <v>99.999880273785891</v>
      </c>
      <c r="M86" s="1">
        <f t="shared" si="33"/>
        <v>0</v>
      </c>
      <c r="N86" s="1">
        <f t="shared" ca="1" si="34"/>
        <v>99.999707699672513</v>
      </c>
      <c r="O86" s="1">
        <f t="shared" si="36"/>
        <v>4</v>
      </c>
    </row>
    <row r="87" spans="1:15" x14ac:dyDescent="0.25">
      <c r="A87" s="21">
        <f t="shared" si="15"/>
        <v>68</v>
      </c>
      <c r="B87" s="1">
        <f t="shared" si="25"/>
        <v>100</v>
      </c>
      <c r="C87" s="1">
        <f t="shared" si="26"/>
        <v>100.00009578097132</v>
      </c>
      <c r="D87" s="1">
        <f t="shared" ca="1" si="27"/>
        <v>99.999766159738044</v>
      </c>
      <c r="E87" s="1">
        <f t="shared" ca="1" si="28"/>
        <v>400.00093536104811</v>
      </c>
      <c r="F87" s="1">
        <f t="shared" si="35"/>
        <v>4</v>
      </c>
      <c r="G87" s="1">
        <f t="shared" si="29"/>
        <v>400.00038312388529</v>
      </c>
      <c r="I87" s="1">
        <f t="shared" si="30"/>
        <v>99.999904219028679</v>
      </c>
      <c r="J87" s="1">
        <f t="shared" si="31"/>
        <v>0</v>
      </c>
      <c r="L87" s="1">
        <f t="shared" si="32"/>
        <v>99.999904219028679</v>
      </c>
      <c r="M87" s="1">
        <f t="shared" si="33"/>
        <v>0</v>
      </c>
      <c r="N87" s="1">
        <f t="shared" ca="1" si="34"/>
        <v>99.999766159738044</v>
      </c>
      <c r="O87" s="1">
        <f t="shared" si="36"/>
        <v>4</v>
      </c>
    </row>
    <row r="88" spans="1:15" x14ac:dyDescent="0.25">
      <c r="A88" s="21">
        <f t="shared" si="15"/>
        <v>69</v>
      </c>
      <c r="B88" s="1">
        <f t="shared" si="25"/>
        <v>100</v>
      </c>
      <c r="C88" s="1">
        <f t="shared" si="26"/>
        <v>100.00007662477707</v>
      </c>
      <c r="D88" s="1">
        <f t="shared" ca="1" si="27"/>
        <v>99.999812927790401</v>
      </c>
      <c r="E88" s="1">
        <f t="shared" ca="1" si="28"/>
        <v>400.00074828883851</v>
      </c>
      <c r="F88" s="1">
        <f t="shared" si="35"/>
        <v>4</v>
      </c>
      <c r="G88" s="1">
        <f t="shared" si="29"/>
        <v>400.00030649910826</v>
      </c>
      <c r="I88" s="1">
        <f t="shared" si="30"/>
        <v>99.999923375222977</v>
      </c>
      <c r="J88" s="1">
        <f t="shared" si="31"/>
        <v>0</v>
      </c>
      <c r="L88" s="1">
        <f t="shared" si="32"/>
        <v>99.999923375222977</v>
      </c>
      <c r="M88" s="1">
        <f t="shared" si="33"/>
        <v>0</v>
      </c>
      <c r="N88" s="1">
        <f t="shared" ca="1" si="34"/>
        <v>99.999812927790401</v>
      </c>
      <c r="O88" s="1">
        <f t="shared" si="36"/>
        <v>4</v>
      </c>
    </row>
    <row r="89" spans="1:15" x14ac:dyDescent="0.25">
      <c r="A89" s="21">
        <f t="shared" si="15"/>
        <v>70</v>
      </c>
      <c r="B89" s="1">
        <f t="shared" si="25"/>
        <v>100</v>
      </c>
      <c r="C89" s="1">
        <f t="shared" si="26"/>
        <v>100.00006129982165</v>
      </c>
      <c r="D89" s="1">
        <f t="shared" ca="1" si="27"/>
        <v>99.999850342232321</v>
      </c>
      <c r="E89" s="1">
        <f t="shared" ca="1" si="28"/>
        <v>400.00059863107083</v>
      </c>
      <c r="F89" s="1">
        <f t="shared" si="35"/>
        <v>4</v>
      </c>
      <c r="G89" s="1">
        <f t="shared" si="29"/>
        <v>400.00024519928661</v>
      </c>
      <c r="I89" s="1">
        <f t="shared" si="30"/>
        <v>99.999938700178348</v>
      </c>
      <c r="J89" s="1">
        <f t="shared" si="31"/>
        <v>0</v>
      </c>
      <c r="L89" s="1">
        <f t="shared" si="32"/>
        <v>99.999938700178348</v>
      </c>
      <c r="M89" s="1">
        <f t="shared" si="33"/>
        <v>0</v>
      </c>
      <c r="N89" s="1">
        <f t="shared" ca="1" si="34"/>
        <v>99.999850342232321</v>
      </c>
      <c r="O89" s="1">
        <f t="shared" si="36"/>
        <v>4</v>
      </c>
    </row>
    <row r="90" spans="1:15" x14ac:dyDescent="0.25">
      <c r="A90" s="21">
        <f t="shared" si="15"/>
        <v>71</v>
      </c>
      <c r="B90" s="1">
        <f t="shared" si="25"/>
        <v>100</v>
      </c>
      <c r="C90" s="1">
        <f t="shared" si="26"/>
        <v>100.00004903985733</v>
      </c>
      <c r="D90" s="1">
        <f t="shared" ca="1" si="27"/>
        <v>99.999880273785891</v>
      </c>
      <c r="E90" s="1">
        <f t="shared" ca="1" si="28"/>
        <v>400.00047890485672</v>
      </c>
      <c r="F90" s="1">
        <f t="shared" si="35"/>
        <v>4</v>
      </c>
      <c r="G90" s="1">
        <f t="shared" si="29"/>
        <v>400.00019615942932</v>
      </c>
      <c r="I90" s="1">
        <f t="shared" si="30"/>
        <v>99.999950960142712</v>
      </c>
      <c r="J90" s="1">
        <f t="shared" si="31"/>
        <v>0</v>
      </c>
      <c r="L90" s="1">
        <f t="shared" si="32"/>
        <v>99.999950960142712</v>
      </c>
      <c r="M90" s="1">
        <f t="shared" si="33"/>
        <v>0</v>
      </c>
      <c r="N90" s="1">
        <f t="shared" ca="1" si="34"/>
        <v>99.999880273785891</v>
      </c>
      <c r="O90" s="1">
        <f t="shared" si="36"/>
        <v>4</v>
      </c>
    </row>
    <row r="91" spans="1:15" x14ac:dyDescent="0.25">
      <c r="A91" s="21">
        <f t="shared" si="15"/>
        <v>72</v>
      </c>
      <c r="B91" s="1">
        <f t="shared" si="25"/>
        <v>100</v>
      </c>
      <c r="C91" s="1">
        <f t="shared" si="26"/>
        <v>100.00003923188586</v>
      </c>
      <c r="D91" s="1">
        <f t="shared" ca="1" si="27"/>
        <v>99.999904219028679</v>
      </c>
      <c r="E91" s="1">
        <f t="shared" ca="1" si="28"/>
        <v>400.0003831238854</v>
      </c>
      <c r="F91" s="1">
        <f t="shared" si="35"/>
        <v>4</v>
      </c>
      <c r="G91" s="1">
        <f t="shared" si="29"/>
        <v>400.00015692754346</v>
      </c>
      <c r="I91" s="1">
        <f t="shared" si="30"/>
        <v>99.999960768114136</v>
      </c>
      <c r="J91" s="1">
        <f t="shared" si="31"/>
        <v>0</v>
      </c>
      <c r="L91" s="1">
        <f t="shared" si="32"/>
        <v>99.999960768114136</v>
      </c>
      <c r="M91" s="1">
        <f t="shared" si="33"/>
        <v>0</v>
      </c>
      <c r="N91" s="1">
        <f t="shared" ca="1" si="34"/>
        <v>99.999904219028679</v>
      </c>
      <c r="O91" s="1">
        <f t="shared" si="36"/>
        <v>4</v>
      </c>
    </row>
    <row r="92" spans="1:15" x14ac:dyDescent="0.25">
      <c r="A92" s="21">
        <f t="shared" si="15"/>
        <v>73</v>
      </c>
      <c r="B92" s="1">
        <f t="shared" si="25"/>
        <v>100</v>
      </c>
      <c r="C92" s="1">
        <f t="shared" si="26"/>
        <v>100.00003138550869</v>
      </c>
      <c r="D92" s="1">
        <f t="shared" ca="1" si="27"/>
        <v>99.999923375222977</v>
      </c>
      <c r="E92" s="1">
        <f t="shared" ca="1" si="28"/>
        <v>400.00030649910838</v>
      </c>
      <c r="F92" s="1">
        <f t="shared" si="35"/>
        <v>4</v>
      </c>
      <c r="G92" s="1">
        <f t="shared" si="29"/>
        <v>400.00012554203477</v>
      </c>
      <c r="I92" s="1">
        <f t="shared" si="30"/>
        <v>99.999968614491308</v>
      </c>
      <c r="J92" s="1">
        <f t="shared" si="31"/>
        <v>0</v>
      </c>
      <c r="L92" s="1">
        <f t="shared" si="32"/>
        <v>99.999968614491308</v>
      </c>
      <c r="M92" s="1">
        <f t="shared" si="33"/>
        <v>0</v>
      </c>
      <c r="N92" s="1">
        <f t="shared" ca="1" si="34"/>
        <v>99.999923375222977</v>
      </c>
      <c r="O92" s="1">
        <f t="shared" si="36"/>
        <v>4</v>
      </c>
    </row>
    <row r="93" spans="1:15" x14ac:dyDescent="0.25">
      <c r="A93" s="21">
        <f t="shared" si="15"/>
        <v>74</v>
      </c>
      <c r="B93" s="1">
        <f t="shared" si="25"/>
        <v>100</v>
      </c>
      <c r="C93" s="1">
        <f t="shared" si="26"/>
        <v>100.00002510840696</v>
      </c>
      <c r="D93" s="1">
        <f t="shared" ca="1" si="27"/>
        <v>99.999938700178348</v>
      </c>
      <c r="E93" s="1">
        <f t="shared" ca="1" si="28"/>
        <v>400.00024519928672</v>
      </c>
      <c r="F93" s="1">
        <f t="shared" si="35"/>
        <v>4</v>
      </c>
      <c r="G93" s="1">
        <f t="shared" si="29"/>
        <v>400.00010043362784</v>
      </c>
      <c r="I93" s="1">
        <f t="shared" si="30"/>
        <v>99.99997489159307</v>
      </c>
      <c r="J93" s="1">
        <f t="shared" si="31"/>
        <v>0</v>
      </c>
      <c r="L93" s="1">
        <f t="shared" si="32"/>
        <v>99.99997489159307</v>
      </c>
      <c r="M93" s="1">
        <f t="shared" si="33"/>
        <v>0</v>
      </c>
      <c r="N93" s="1">
        <f t="shared" ca="1" si="34"/>
        <v>99.999938700178348</v>
      </c>
      <c r="O93" s="1">
        <f t="shared" si="36"/>
        <v>4</v>
      </c>
    </row>
    <row r="94" spans="1:15" x14ac:dyDescent="0.25">
      <c r="A94" s="21">
        <f t="shared" si="15"/>
        <v>75</v>
      </c>
      <c r="B94" s="1">
        <f t="shared" si="25"/>
        <v>100</v>
      </c>
      <c r="C94" s="1">
        <f t="shared" si="26"/>
        <v>100.00002008672557</v>
      </c>
      <c r="D94" s="1">
        <f t="shared" ca="1" si="27"/>
        <v>99.999950960142712</v>
      </c>
      <c r="E94" s="1">
        <f t="shared" ca="1" si="28"/>
        <v>400.00019615942944</v>
      </c>
      <c r="F94" s="1">
        <f t="shared" si="35"/>
        <v>4</v>
      </c>
      <c r="G94" s="1">
        <f t="shared" si="29"/>
        <v>400.00008034690228</v>
      </c>
      <c r="I94" s="1">
        <f t="shared" si="30"/>
        <v>99.999979913274444</v>
      </c>
      <c r="J94" s="1">
        <f t="shared" si="31"/>
        <v>0</v>
      </c>
      <c r="L94" s="1">
        <f t="shared" si="32"/>
        <v>99.999979913274444</v>
      </c>
      <c r="M94" s="1">
        <f t="shared" si="33"/>
        <v>0</v>
      </c>
      <c r="N94" s="1">
        <f t="shared" ca="1" si="34"/>
        <v>99.999950960142712</v>
      </c>
      <c r="O94" s="1">
        <f t="shared" si="36"/>
        <v>4</v>
      </c>
    </row>
    <row r="95" spans="1:15" x14ac:dyDescent="0.25">
      <c r="A95" s="21">
        <f t="shared" si="15"/>
        <v>76</v>
      </c>
      <c r="B95" s="1">
        <f t="shared" si="25"/>
        <v>100</v>
      </c>
      <c r="C95" s="1">
        <f t="shared" si="26"/>
        <v>100.00001606938046</v>
      </c>
      <c r="D95" s="1">
        <f t="shared" ca="1" si="27"/>
        <v>99.999960768114136</v>
      </c>
      <c r="E95" s="1">
        <f t="shared" ca="1" si="28"/>
        <v>400.00015692754357</v>
      </c>
      <c r="F95" s="1">
        <f t="shared" si="35"/>
        <v>4</v>
      </c>
      <c r="G95" s="1">
        <f t="shared" si="29"/>
        <v>400.00006427752186</v>
      </c>
      <c r="I95" s="1">
        <f t="shared" si="30"/>
        <v>99.999983930619578</v>
      </c>
      <c r="J95" s="1">
        <f t="shared" si="31"/>
        <v>0</v>
      </c>
      <c r="L95" s="1">
        <f t="shared" si="32"/>
        <v>99.999983930619578</v>
      </c>
      <c r="M95" s="1">
        <f t="shared" si="33"/>
        <v>0</v>
      </c>
      <c r="N95" s="1">
        <f t="shared" ca="1" si="34"/>
        <v>99.999960768114136</v>
      </c>
      <c r="O95" s="1">
        <f t="shared" si="36"/>
        <v>4</v>
      </c>
    </row>
    <row r="96" spans="1:15" x14ac:dyDescent="0.25">
      <c r="A96" s="21">
        <f t="shared" si="15"/>
        <v>77</v>
      </c>
      <c r="B96" s="1">
        <f t="shared" si="25"/>
        <v>100</v>
      </c>
      <c r="C96" s="1">
        <f t="shared" si="26"/>
        <v>100.00001285550438</v>
      </c>
      <c r="D96" s="1">
        <f t="shared" ca="1" si="27"/>
        <v>99.999968614491308</v>
      </c>
      <c r="E96" s="1">
        <f t="shared" ca="1" si="28"/>
        <v>400.00012554203488</v>
      </c>
      <c r="F96" s="1">
        <f t="shared" si="35"/>
        <v>4</v>
      </c>
      <c r="G96" s="1">
        <f t="shared" si="29"/>
        <v>400.00005142201752</v>
      </c>
      <c r="I96" s="1">
        <f t="shared" si="30"/>
        <v>99.999987144495663</v>
      </c>
      <c r="J96" s="1">
        <f t="shared" si="31"/>
        <v>0</v>
      </c>
      <c r="L96" s="1">
        <f t="shared" si="32"/>
        <v>99.999987144495663</v>
      </c>
      <c r="M96" s="1">
        <f t="shared" si="33"/>
        <v>0</v>
      </c>
      <c r="N96" s="1">
        <f t="shared" ca="1" si="34"/>
        <v>99.999968614491308</v>
      </c>
      <c r="O96" s="1">
        <f t="shared" si="36"/>
        <v>4</v>
      </c>
    </row>
    <row r="97" spans="1:15" x14ac:dyDescent="0.25">
      <c r="A97" s="21">
        <f t="shared" si="15"/>
        <v>78</v>
      </c>
      <c r="B97" s="1">
        <f t="shared" ref="B97:B128" si="37">D$10</f>
        <v>100</v>
      </c>
      <c r="C97" s="1">
        <f t="shared" si="26"/>
        <v>100.00001028440352</v>
      </c>
      <c r="D97" s="1">
        <f t="shared" ca="1" si="27"/>
        <v>99.99997489159307</v>
      </c>
      <c r="E97" s="1">
        <f t="shared" ca="1" si="28"/>
        <v>400.00010043362795</v>
      </c>
      <c r="F97" s="1">
        <f t="shared" si="35"/>
        <v>4</v>
      </c>
      <c r="G97" s="1">
        <f t="shared" si="29"/>
        <v>400.00004113761406</v>
      </c>
      <c r="I97" s="1">
        <f t="shared" si="30"/>
        <v>99.999989715596541</v>
      </c>
      <c r="J97" s="1">
        <f t="shared" si="31"/>
        <v>0</v>
      </c>
      <c r="L97" s="1">
        <f t="shared" si="32"/>
        <v>99.999989715596541</v>
      </c>
      <c r="M97" s="1">
        <f t="shared" si="33"/>
        <v>0</v>
      </c>
      <c r="N97" s="1">
        <f t="shared" ca="1" si="34"/>
        <v>99.99997489159307</v>
      </c>
      <c r="O97" s="1">
        <f t="shared" si="36"/>
        <v>4</v>
      </c>
    </row>
    <row r="98" spans="1:15" x14ac:dyDescent="0.25">
      <c r="A98" s="21">
        <f t="shared" si="15"/>
        <v>79</v>
      </c>
      <c r="B98" s="1">
        <f t="shared" si="37"/>
        <v>100</v>
      </c>
      <c r="C98" s="1">
        <f t="shared" si="26"/>
        <v>100.00000822752281</v>
      </c>
      <c r="D98" s="1">
        <f t="shared" ca="1" si="27"/>
        <v>99.999979913274444</v>
      </c>
      <c r="E98" s="1">
        <f t="shared" ca="1" si="28"/>
        <v>400.00008034690239</v>
      </c>
      <c r="F98" s="1">
        <f t="shared" si="35"/>
        <v>4</v>
      </c>
      <c r="G98" s="1">
        <f t="shared" si="29"/>
        <v>400.00003291009125</v>
      </c>
      <c r="I98" s="1">
        <f t="shared" si="30"/>
        <v>99.999991772477188</v>
      </c>
      <c r="J98" s="1">
        <f t="shared" si="31"/>
        <v>0</v>
      </c>
      <c r="L98" s="1">
        <f t="shared" si="32"/>
        <v>99.999991772477188</v>
      </c>
      <c r="M98" s="1">
        <f t="shared" si="33"/>
        <v>0</v>
      </c>
      <c r="N98" s="1">
        <f t="shared" ca="1" si="34"/>
        <v>99.999979913274444</v>
      </c>
      <c r="O98" s="1">
        <f t="shared" si="36"/>
        <v>4</v>
      </c>
    </row>
    <row r="99" spans="1:15" x14ac:dyDescent="0.25">
      <c r="A99" s="21">
        <f t="shared" si="15"/>
        <v>80</v>
      </c>
      <c r="B99" s="1">
        <f t="shared" si="37"/>
        <v>100</v>
      </c>
      <c r="C99" s="1">
        <f t="shared" si="26"/>
        <v>100.00000658201826</v>
      </c>
      <c r="D99" s="1">
        <f t="shared" ca="1" si="27"/>
        <v>99.999983930619578</v>
      </c>
      <c r="E99" s="1">
        <f t="shared" ca="1" si="28"/>
        <v>400.00006427752197</v>
      </c>
      <c r="F99" s="1">
        <f t="shared" si="35"/>
        <v>4</v>
      </c>
      <c r="G99" s="1">
        <f t="shared" si="29"/>
        <v>400.00002632807303</v>
      </c>
      <c r="I99" s="1">
        <f t="shared" si="30"/>
        <v>99.999993417981784</v>
      </c>
      <c r="J99" s="1">
        <f t="shared" si="31"/>
        <v>0</v>
      </c>
      <c r="L99" s="1">
        <f t="shared" si="32"/>
        <v>99.999993417981784</v>
      </c>
      <c r="M99" s="1">
        <f t="shared" si="33"/>
        <v>0</v>
      </c>
      <c r="N99" s="1">
        <f t="shared" ca="1" si="34"/>
        <v>99.999983930619578</v>
      </c>
      <c r="O99" s="1">
        <f t="shared" si="36"/>
        <v>4</v>
      </c>
    </row>
    <row r="100" spans="1:15" x14ac:dyDescent="0.25">
      <c r="A100" s="21">
        <f t="shared" ref="A100:A163" si="38">1+A99</f>
        <v>81</v>
      </c>
      <c r="B100" s="1">
        <f t="shared" si="37"/>
        <v>100</v>
      </c>
      <c r="C100" s="1">
        <f t="shared" si="26"/>
        <v>100.00000526561462</v>
      </c>
      <c r="D100" s="1">
        <f t="shared" ca="1" si="27"/>
        <v>99.999987144495663</v>
      </c>
      <c r="E100" s="1">
        <f t="shared" ca="1" si="28"/>
        <v>400.00005142201763</v>
      </c>
      <c r="F100" s="1">
        <f t="shared" si="35"/>
        <v>4</v>
      </c>
      <c r="G100" s="1">
        <f t="shared" si="29"/>
        <v>400.00002106245847</v>
      </c>
      <c r="I100" s="1">
        <f t="shared" si="30"/>
        <v>99.999994734385439</v>
      </c>
      <c r="J100" s="1">
        <f t="shared" si="31"/>
        <v>0</v>
      </c>
      <c r="L100" s="1">
        <f t="shared" si="32"/>
        <v>99.999994734385439</v>
      </c>
      <c r="M100" s="1">
        <f t="shared" si="33"/>
        <v>0</v>
      </c>
      <c r="N100" s="1">
        <f t="shared" ca="1" si="34"/>
        <v>99.999987144495663</v>
      </c>
      <c r="O100" s="1">
        <f t="shared" si="36"/>
        <v>4</v>
      </c>
    </row>
    <row r="101" spans="1:15" x14ac:dyDescent="0.25">
      <c r="A101" s="21">
        <f t="shared" si="38"/>
        <v>82</v>
      </c>
      <c r="B101" s="1">
        <f t="shared" si="37"/>
        <v>100</v>
      </c>
      <c r="C101" s="1">
        <f t="shared" si="26"/>
        <v>100.0000042124917</v>
      </c>
      <c r="D101" s="1">
        <f t="shared" ca="1" si="27"/>
        <v>99.999989715596541</v>
      </c>
      <c r="E101" s="1">
        <f t="shared" ca="1" si="28"/>
        <v>400.00004113761418</v>
      </c>
      <c r="F101" s="1">
        <f t="shared" si="35"/>
        <v>4</v>
      </c>
      <c r="G101" s="1">
        <f t="shared" si="29"/>
        <v>400.00001684996681</v>
      </c>
      <c r="I101" s="1">
        <f t="shared" si="30"/>
        <v>99.99999578750834</v>
      </c>
      <c r="J101" s="1">
        <f t="shared" si="31"/>
        <v>0</v>
      </c>
      <c r="L101" s="1">
        <f t="shared" si="32"/>
        <v>99.99999578750834</v>
      </c>
      <c r="M101" s="1">
        <f t="shared" si="33"/>
        <v>0</v>
      </c>
      <c r="N101" s="1">
        <f t="shared" ca="1" si="34"/>
        <v>99.999989715596541</v>
      </c>
      <c r="O101" s="1">
        <f t="shared" si="36"/>
        <v>4</v>
      </c>
    </row>
    <row r="102" spans="1:15" x14ac:dyDescent="0.25">
      <c r="A102" s="21">
        <f t="shared" si="38"/>
        <v>83</v>
      </c>
      <c r="B102" s="1">
        <f t="shared" si="37"/>
        <v>100</v>
      </c>
      <c r="C102" s="1">
        <f t="shared" si="26"/>
        <v>100.00000336999337</v>
      </c>
      <c r="D102" s="1">
        <f t="shared" ca="1" si="27"/>
        <v>99.999991772477188</v>
      </c>
      <c r="E102" s="1">
        <f t="shared" ca="1" si="28"/>
        <v>400.00003291009136</v>
      </c>
      <c r="F102" s="1">
        <f t="shared" si="35"/>
        <v>4</v>
      </c>
      <c r="G102" s="1">
        <f t="shared" si="29"/>
        <v>400.00001347997346</v>
      </c>
      <c r="I102" s="1">
        <f t="shared" si="30"/>
        <v>99.999996630006649</v>
      </c>
      <c r="J102" s="1">
        <f t="shared" si="31"/>
        <v>0</v>
      </c>
      <c r="L102" s="1">
        <f t="shared" si="32"/>
        <v>99.999996630006649</v>
      </c>
      <c r="M102" s="1">
        <f t="shared" si="33"/>
        <v>0</v>
      </c>
      <c r="N102" s="1">
        <f t="shared" ca="1" si="34"/>
        <v>99.999991772477188</v>
      </c>
      <c r="O102" s="1">
        <f t="shared" si="36"/>
        <v>4</v>
      </c>
    </row>
    <row r="103" spans="1:15" x14ac:dyDescent="0.25">
      <c r="A103" s="21">
        <f t="shared" si="38"/>
        <v>84</v>
      </c>
      <c r="B103" s="1">
        <f t="shared" si="37"/>
        <v>100</v>
      </c>
      <c r="C103" s="1">
        <f t="shared" si="26"/>
        <v>100.0000026959947</v>
      </c>
      <c r="D103" s="1">
        <f t="shared" ca="1" si="27"/>
        <v>99.999993417981784</v>
      </c>
      <c r="E103" s="1">
        <f t="shared" ca="1" si="28"/>
        <v>400.00002632807315</v>
      </c>
      <c r="F103" s="1">
        <f t="shared" si="35"/>
        <v>4</v>
      </c>
      <c r="G103" s="1">
        <f t="shared" si="29"/>
        <v>400.00001078397878</v>
      </c>
      <c r="I103" s="1">
        <f t="shared" si="30"/>
        <v>99.999997304005319</v>
      </c>
      <c r="J103" s="1">
        <f t="shared" si="31"/>
        <v>0</v>
      </c>
      <c r="L103" s="1">
        <f t="shared" si="32"/>
        <v>99.999997304005319</v>
      </c>
      <c r="M103" s="1">
        <f t="shared" si="33"/>
        <v>0</v>
      </c>
      <c r="N103" s="1">
        <f t="shared" ca="1" si="34"/>
        <v>99.999993417981784</v>
      </c>
      <c r="O103" s="1">
        <f t="shared" si="36"/>
        <v>4</v>
      </c>
    </row>
    <row r="104" spans="1:15" x14ac:dyDescent="0.25">
      <c r="A104" s="21">
        <f t="shared" si="38"/>
        <v>85</v>
      </c>
      <c r="B104" s="1">
        <f t="shared" si="37"/>
        <v>100</v>
      </c>
      <c r="C104" s="1">
        <f t="shared" si="26"/>
        <v>100.00000215679576</v>
      </c>
      <c r="D104" s="1">
        <f t="shared" ca="1" si="27"/>
        <v>99.999994734385439</v>
      </c>
      <c r="E104" s="1">
        <f t="shared" ca="1" si="28"/>
        <v>400.00002106245859</v>
      </c>
      <c r="F104" s="1">
        <f t="shared" si="35"/>
        <v>4</v>
      </c>
      <c r="G104" s="1">
        <f t="shared" si="29"/>
        <v>400.00000862718304</v>
      </c>
      <c r="I104" s="1">
        <f t="shared" si="30"/>
        <v>99.999997843204255</v>
      </c>
      <c r="J104" s="1">
        <f t="shared" si="31"/>
        <v>0</v>
      </c>
      <c r="L104" s="1">
        <f t="shared" si="32"/>
        <v>99.999997843204255</v>
      </c>
      <c r="M104" s="1">
        <f t="shared" si="33"/>
        <v>0</v>
      </c>
      <c r="N104" s="1">
        <f t="shared" ca="1" si="34"/>
        <v>99.999994734385439</v>
      </c>
      <c r="O104" s="1">
        <f t="shared" si="36"/>
        <v>4</v>
      </c>
    </row>
    <row r="105" spans="1:15" x14ac:dyDescent="0.25">
      <c r="A105" s="21">
        <f t="shared" si="38"/>
        <v>86</v>
      </c>
      <c r="B105" s="1">
        <f t="shared" si="37"/>
        <v>100</v>
      </c>
      <c r="C105" s="1">
        <f t="shared" si="26"/>
        <v>100.00000172543662</v>
      </c>
      <c r="D105" s="1">
        <f t="shared" ca="1" si="27"/>
        <v>99.99999578750834</v>
      </c>
      <c r="E105" s="1">
        <f t="shared" ca="1" si="28"/>
        <v>400.00001684996693</v>
      </c>
      <c r="F105" s="1">
        <f t="shared" si="35"/>
        <v>4</v>
      </c>
      <c r="G105" s="1">
        <f t="shared" si="29"/>
        <v>400.00000690174647</v>
      </c>
      <c r="I105" s="1">
        <f t="shared" si="30"/>
        <v>99.999998274563438</v>
      </c>
      <c r="J105" s="1">
        <f t="shared" si="31"/>
        <v>0</v>
      </c>
      <c r="L105" s="1">
        <f t="shared" si="32"/>
        <v>99.999998274563438</v>
      </c>
      <c r="M105" s="1">
        <f t="shared" si="33"/>
        <v>0</v>
      </c>
      <c r="N105" s="1">
        <f t="shared" ca="1" si="34"/>
        <v>99.99999578750834</v>
      </c>
      <c r="O105" s="1">
        <f t="shared" si="36"/>
        <v>4</v>
      </c>
    </row>
    <row r="106" spans="1:15" x14ac:dyDescent="0.25">
      <c r="A106" s="21">
        <f t="shared" si="38"/>
        <v>87</v>
      </c>
      <c r="B106" s="1">
        <f t="shared" si="37"/>
        <v>100</v>
      </c>
      <c r="C106" s="1">
        <f t="shared" si="26"/>
        <v>100.0000013803493</v>
      </c>
      <c r="D106" s="1">
        <f t="shared" ca="1" si="27"/>
        <v>99.999996630006649</v>
      </c>
      <c r="E106" s="1">
        <f t="shared" ca="1" si="28"/>
        <v>400.00001347997357</v>
      </c>
      <c r="F106" s="1">
        <f t="shared" si="35"/>
        <v>4</v>
      </c>
      <c r="G106" s="1">
        <f t="shared" si="29"/>
        <v>400.00000552139721</v>
      </c>
      <c r="I106" s="1">
        <f t="shared" si="30"/>
        <v>99.999998619650739</v>
      </c>
      <c r="J106" s="1">
        <f t="shared" si="31"/>
        <v>0</v>
      </c>
      <c r="L106" s="1">
        <f t="shared" si="32"/>
        <v>99.999998619650739</v>
      </c>
      <c r="M106" s="1">
        <f t="shared" si="33"/>
        <v>0</v>
      </c>
      <c r="N106" s="1">
        <f t="shared" ca="1" si="34"/>
        <v>99.999996630006649</v>
      </c>
      <c r="O106" s="1">
        <f t="shared" si="36"/>
        <v>4</v>
      </c>
    </row>
    <row r="107" spans="1:15" x14ac:dyDescent="0.25">
      <c r="A107" s="21">
        <f t="shared" si="38"/>
        <v>88</v>
      </c>
      <c r="B107" s="1">
        <f t="shared" si="37"/>
        <v>100</v>
      </c>
      <c r="C107" s="1">
        <f t="shared" si="26"/>
        <v>100.00000110427945</v>
      </c>
      <c r="D107" s="1">
        <f t="shared" ca="1" si="27"/>
        <v>99.999997304005319</v>
      </c>
      <c r="E107" s="1">
        <f t="shared" ca="1" si="28"/>
        <v>400.00001078397889</v>
      </c>
      <c r="F107" s="1">
        <f t="shared" si="35"/>
        <v>4</v>
      </c>
      <c r="G107" s="1">
        <f t="shared" si="29"/>
        <v>400.00000441711779</v>
      </c>
      <c r="I107" s="1">
        <f t="shared" si="30"/>
        <v>99.99999889572058</v>
      </c>
      <c r="J107" s="1">
        <f t="shared" si="31"/>
        <v>0</v>
      </c>
      <c r="L107" s="1">
        <f t="shared" si="32"/>
        <v>99.99999889572058</v>
      </c>
      <c r="M107" s="1">
        <f t="shared" si="33"/>
        <v>0</v>
      </c>
      <c r="N107" s="1">
        <f t="shared" ca="1" si="34"/>
        <v>99.999997304005319</v>
      </c>
      <c r="O107" s="1">
        <f t="shared" si="36"/>
        <v>4</v>
      </c>
    </row>
    <row r="108" spans="1:15" x14ac:dyDescent="0.25">
      <c r="A108" s="21">
        <f t="shared" si="38"/>
        <v>89</v>
      </c>
      <c r="B108" s="1">
        <f t="shared" si="37"/>
        <v>100</v>
      </c>
      <c r="C108" s="1">
        <f t="shared" si="26"/>
        <v>100.00000088342357</v>
      </c>
      <c r="D108" s="1">
        <f t="shared" ca="1" si="27"/>
        <v>99.999997843204255</v>
      </c>
      <c r="E108" s="1">
        <f t="shared" ca="1" si="28"/>
        <v>400.00000862718315</v>
      </c>
      <c r="F108" s="1">
        <f t="shared" si="35"/>
        <v>4</v>
      </c>
      <c r="G108" s="1">
        <f t="shared" si="29"/>
        <v>400.00000353369427</v>
      </c>
      <c r="I108" s="1">
        <f t="shared" si="30"/>
        <v>99.999999116576475</v>
      </c>
      <c r="J108" s="1">
        <f t="shared" si="31"/>
        <v>0</v>
      </c>
      <c r="L108" s="1">
        <f t="shared" si="32"/>
        <v>99.999999116576475</v>
      </c>
      <c r="M108" s="1">
        <f t="shared" si="33"/>
        <v>0</v>
      </c>
      <c r="N108" s="1">
        <f t="shared" ca="1" si="34"/>
        <v>99.999997843204255</v>
      </c>
      <c r="O108" s="1">
        <f t="shared" si="36"/>
        <v>4</v>
      </c>
    </row>
    <row r="109" spans="1:15" x14ac:dyDescent="0.25">
      <c r="A109" s="21">
        <f t="shared" si="38"/>
        <v>90</v>
      </c>
      <c r="B109" s="1">
        <f t="shared" si="37"/>
        <v>100</v>
      </c>
      <c r="C109" s="1">
        <f t="shared" si="26"/>
        <v>100.00000070673886</v>
      </c>
      <c r="D109" s="1">
        <f t="shared" ca="1" si="27"/>
        <v>99.999998274563438</v>
      </c>
      <c r="E109" s="1">
        <f t="shared" ca="1" si="28"/>
        <v>400.00000690174659</v>
      </c>
      <c r="F109" s="1">
        <f t="shared" si="35"/>
        <v>4</v>
      </c>
      <c r="G109" s="1">
        <f t="shared" si="29"/>
        <v>400.00000282695544</v>
      </c>
      <c r="I109" s="1">
        <f t="shared" si="30"/>
        <v>99.999999293261169</v>
      </c>
      <c r="J109" s="1">
        <f t="shared" si="31"/>
        <v>0</v>
      </c>
      <c r="L109" s="1">
        <f t="shared" si="32"/>
        <v>99.999999293261169</v>
      </c>
      <c r="M109" s="1">
        <f t="shared" si="33"/>
        <v>0</v>
      </c>
      <c r="N109" s="1">
        <f t="shared" ca="1" si="34"/>
        <v>99.999998274563438</v>
      </c>
      <c r="O109" s="1">
        <f t="shared" si="36"/>
        <v>4</v>
      </c>
    </row>
    <row r="110" spans="1:15" x14ac:dyDescent="0.25">
      <c r="A110" s="21">
        <f t="shared" si="38"/>
        <v>91</v>
      </c>
      <c r="B110" s="1">
        <f t="shared" si="37"/>
        <v>100</v>
      </c>
      <c r="C110" s="1">
        <f t="shared" si="26"/>
        <v>100.00000056539109</v>
      </c>
      <c r="D110" s="1">
        <f t="shared" ca="1" si="27"/>
        <v>99.999998619650739</v>
      </c>
      <c r="E110" s="1">
        <f t="shared" ca="1" si="28"/>
        <v>400.00000552139733</v>
      </c>
      <c r="F110" s="1">
        <f t="shared" si="35"/>
        <v>4</v>
      </c>
      <c r="G110" s="1">
        <f t="shared" si="29"/>
        <v>400.00000226156436</v>
      </c>
      <c r="I110" s="1">
        <f t="shared" si="30"/>
        <v>99.999999434608924</v>
      </c>
      <c r="J110" s="1">
        <f t="shared" si="31"/>
        <v>0</v>
      </c>
      <c r="L110" s="1">
        <f t="shared" si="32"/>
        <v>99.999999434608924</v>
      </c>
      <c r="M110" s="1">
        <f t="shared" si="33"/>
        <v>0</v>
      </c>
      <c r="N110" s="1">
        <f t="shared" ca="1" si="34"/>
        <v>99.999998619650739</v>
      </c>
      <c r="O110" s="1">
        <f t="shared" si="36"/>
        <v>4</v>
      </c>
    </row>
    <row r="111" spans="1:15" x14ac:dyDescent="0.25">
      <c r="A111" s="21">
        <f t="shared" si="38"/>
        <v>92</v>
      </c>
      <c r="B111" s="1">
        <f t="shared" si="37"/>
        <v>100</v>
      </c>
      <c r="C111" s="1">
        <f t="shared" si="26"/>
        <v>100.00000045231288</v>
      </c>
      <c r="D111" s="1">
        <f t="shared" ca="1" si="27"/>
        <v>99.99999889572058</v>
      </c>
      <c r="E111" s="1">
        <f t="shared" ca="1" si="28"/>
        <v>400.00000441711791</v>
      </c>
      <c r="F111" s="1">
        <f t="shared" si="35"/>
        <v>4</v>
      </c>
      <c r="G111" s="1">
        <f t="shared" si="29"/>
        <v>400.0000018092515</v>
      </c>
      <c r="I111" s="1">
        <f t="shared" si="30"/>
        <v>99.999999547687139</v>
      </c>
      <c r="J111" s="1">
        <f t="shared" si="31"/>
        <v>0</v>
      </c>
      <c r="L111" s="1">
        <f t="shared" si="32"/>
        <v>99.999999547687139</v>
      </c>
      <c r="M111" s="1">
        <f t="shared" si="33"/>
        <v>0</v>
      </c>
      <c r="N111" s="1">
        <f t="shared" ca="1" si="34"/>
        <v>99.99999889572058</v>
      </c>
      <c r="O111" s="1">
        <f t="shared" si="36"/>
        <v>4</v>
      </c>
    </row>
    <row r="112" spans="1:15" x14ac:dyDescent="0.25">
      <c r="A112" s="21">
        <f t="shared" si="38"/>
        <v>93</v>
      </c>
      <c r="B112" s="1">
        <f t="shared" si="37"/>
        <v>100</v>
      </c>
      <c r="C112" s="1">
        <f t="shared" si="26"/>
        <v>100.00000036185031</v>
      </c>
      <c r="D112" s="1">
        <f t="shared" ca="1" si="27"/>
        <v>99.999999116576475</v>
      </c>
      <c r="E112" s="1">
        <f t="shared" ca="1" si="28"/>
        <v>400.00000353369438</v>
      </c>
      <c r="F112" s="1">
        <f t="shared" si="35"/>
        <v>4</v>
      </c>
      <c r="G112" s="1">
        <f t="shared" si="29"/>
        <v>400.00000144740125</v>
      </c>
      <c r="I112" s="1">
        <f t="shared" si="30"/>
        <v>99.999999638149745</v>
      </c>
      <c r="J112" s="1">
        <f t="shared" si="31"/>
        <v>0</v>
      </c>
      <c r="L112" s="1">
        <f t="shared" si="32"/>
        <v>99.999999638149745</v>
      </c>
      <c r="M112" s="1">
        <f t="shared" si="33"/>
        <v>0</v>
      </c>
      <c r="N112" s="1">
        <f t="shared" ca="1" si="34"/>
        <v>99.999999116576475</v>
      </c>
      <c r="O112" s="1">
        <f t="shared" si="36"/>
        <v>4</v>
      </c>
    </row>
    <row r="113" spans="1:15" x14ac:dyDescent="0.25">
      <c r="A113" s="21">
        <f t="shared" si="38"/>
        <v>94</v>
      </c>
      <c r="B113" s="1">
        <f t="shared" si="37"/>
        <v>100</v>
      </c>
      <c r="C113" s="1">
        <f t="shared" si="26"/>
        <v>100.00000028948025</v>
      </c>
      <c r="D113" s="1">
        <f t="shared" ca="1" si="27"/>
        <v>99.999999293261169</v>
      </c>
      <c r="E113" s="1">
        <f t="shared" ca="1" si="28"/>
        <v>400.00000282695555</v>
      </c>
      <c r="F113" s="1">
        <f t="shared" si="35"/>
        <v>4</v>
      </c>
      <c r="G113" s="1">
        <f t="shared" si="29"/>
        <v>400.00000115792102</v>
      </c>
      <c r="I113" s="1">
        <f t="shared" si="30"/>
        <v>99.999999710519774</v>
      </c>
      <c r="J113" s="1">
        <f t="shared" si="31"/>
        <v>0</v>
      </c>
      <c r="L113" s="1">
        <f t="shared" si="32"/>
        <v>99.999999710519774</v>
      </c>
      <c r="M113" s="1">
        <f t="shared" si="33"/>
        <v>0</v>
      </c>
      <c r="N113" s="1">
        <f t="shared" ca="1" si="34"/>
        <v>99.999999293261169</v>
      </c>
      <c r="O113" s="1">
        <f t="shared" si="36"/>
        <v>4</v>
      </c>
    </row>
    <row r="114" spans="1:15" x14ac:dyDescent="0.25">
      <c r="A114" s="21">
        <f t="shared" si="38"/>
        <v>95</v>
      </c>
      <c r="B114" s="1">
        <f t="shared" si="37"/>
        <v>100</v>
      </c>
      <c r="C114" s="1">
        <f t="shared" si="26"/>
        <v>100.00000023158421</v>
      </c>
      <c r="D114" s="1">
        <f t="shared" ca="1" si="27"/>
        <v>99.999999434608924</v>
      </c>
      <c r="E114" s="1">
        <f t="shared" ca="1" si="28"/>
        <v>400.00000226156448</v>
      </c>
      <c r="F114" s="1">
        <f t="shared" si="35"/>
        <v>4</v>
      </c>
      <c r="G114" s="1">
        <f t="shared" si="29"/>
        <v>400.00000092633684</v>
      </c>
      <c r="I114" s="1">
        <f t="shared" si="30"/>
        <v>99.999999768415819</v>
      </c>
      <c r="J114" s="1">
        <f t="shared" si="31"/>
        <v>0</v>
      </c>
      <c r="L114" s="1">
        <f t="shared" si="32"/>
        <v>99.999999768415819</v>
      </c>
      <c r="M114" s="1">
        <f t="shared" si="33"/>
        <v>0</v>
      </c>
      <c r="N114" s="1">
        <f t="shared" ca="1" si="34"/>
        <v>99.999999434608924</v>
      </c>
      <c r="O114" s="1">
        <f t="shared" si="36"/>
        <v>4</v>
      </c>
    </row>
    <row r="115" spans="1:15" x14ac:dyDescent="0.25">
      <c r="A115" s="21">
        <f t="shared" si="38"/>
        <v>96</v>
      </c>
      <c r="B115" s="1">
        <f t="shared" si="37"/>
        <v>100</v>
      </c>
      <c r="C115" s="1">
        <f t="shared" si="26"/>
        <v>100.00000018526737</v>
      </c>
      <c r="D115" s="1">
        <f t="shared" ca="1" si="27"/>
        <v>99.999999547687139</v>
      </c>
      <c r="E115" s="1">
        <f t="shared" ca="1" si="28"/>
        <v>400.00000180925161</v>
      </c>
      <c r="F115" s="1">
        <f t="shared" si="35"/>
        <v>4</v>
      </c>
      <c r="G115" s="1">
        <f t="shared" si="29"/>
        <v>400.00000074106947</v>
      </c>
      <c r="I115" s="1">
        <f t="shared" si="30"/>
        <v>99.999999814732632</v>
      </c>
      <c r="J115" s="1">
        <f t="shared" si="31"/>
        <v>0</v>
      </c>
      <c r="L115" s="1">
        <f t="shared" si="32"/>
        <v>99.999999814732632</v>
      </c>
      <c r="M115" s="1">
        <f t="shared" si="33"/>
        <v>0</v>
      </c>
      <c r="N115" s="1">
        <f t="shared" ca="1" si="34"/>
        <v>99.999999547687139</v>
      </c>
      <c r="O115" s="1">
        <f t="shared" si="36"/>
        <v>4</v>
      </c>
    </row>
    <row r="116" spans="1:15" x14ac:dyDescent="0.25">
      <c r="A116" s="21">
        <f t="shared" si="38"/>
        <v>97</v>
      </c>
      <c r="B116" s="1">
        <f t="shared" si="37"/>
        <v>100</v>
      </c>
      <c r="C116" s="1">
        <f t="shared" ref="C116:C147" si="39">D$9*B116+(1-D$9)*C115</f>
        <v>100.0000001482139</v>
      </c>
      <c r="D116" s="1">
        <f t="shared" ref="D116:D147" ca="1" si="40">N116</f>
        <v>99.999999638149745</v>
      </c>
      <c r="E116" s="1">
        <f t="shared" ref="E116:E147" ca="1" si="41">E115+D116-B116</f>
        <v>400.00000144740136</v>
      </c>
      <c r="F116" s="1">
        <f t="shared" si="35"/>
        <v>4</v>
      </c>
      <c r="G116" s="1">
        <f t="shared" ref="G116:G147" si="42">F116*C116</f>
        <v>400.0000005928556</v>
      </c>
      <c r="I116" s="1">
        <f t="shared" ref="I116:I147" si="43">MAX(0,J115+B116+G116-G115)</f>
        <v>99.999999851786129</v>
      </c>
      <c r="J116" s="1">
        <f t="shared" ref="J116:J147" si="44">MIN(0,J115+B116+G116-G115)</f>
        <v>0</v>
      </c>
      <c r="L116" s="1">
        <f t="shared" ref="L116:L147" si="45">MAX(0,MIN(L$9,I116+M115))</f>
        <v>99.999999851786129</v>
      </c>
      <c r="M116" s="1">
        <f t="shared" ref="M116:M147" si="46">MAX(0,M115+I116-L116)</f>
        <v>0</v>
      </c>
      <c r="N116" s="1">
        <f t="shared" ref="N116:N147" ca="1" si="47">IF(A116&lt;=L$10,D$10,OFFSET(N116,-L$10,-2))</f>
        <v>99.999999638149745</v>
      </c>
      <c r="O116" s="1">
        <f t="shared" si="36"/>
        <v>4</v>
      </c>
    </row>
    <row r="117" spans="1:15" x14ac:dyDescent="0.25">
      <c r="A117" s="21">
        <f t="shared" si="38"/>
        <v>98</v>
      </c>
      <c r="B117" s="1">
        <f t="shared" si="37"/>
        <v>100</v>
      </c>
      <c r="C117" s="1">
        <f t="shared" si="39"/>
        <v>100.00000011857112</v>
      </c>
      <c r="D117" s="1">
        <f t="shared" ca="1" si="40"/>
        <v>99.999999710519774</v>
      </c>
      <c r="E117" s="1">
        <f t="shared" ca="1" si="41"/>
        <v>400.00000115792113</v>
      </c>
      <c r="F117" s="1">
        <f t="shared" si="35"/>
        <v>4</v>
      </c>
      <c r="G117" s="1">
        <f t="shared" si="42"/>
        <v>400.00000047428449</v>
      </c>
      <c r="I117" s="1">
        <f t="shared" si="43"/>
        <v>99.999999881428892</v>
      </c>
      <c r="J117" s="1">
        <f t="shared" si="44"/>
        <v>0</v>
      </c>
      <c r="L117" s="1">
        <f t="shared" si="45"/>
        <v>99.999999881428892</v>
      </c>
      <c r="M117" s="1">
        <f t="shared" si="46"/>
        <v>0</v>
      </c>
      <c r="N117" s="1">
        <f t="shared" ca="1" si="47"/>
        <v>99.999999710519774</v>
      </c>
      <c r="O117" s="1">
        <f t="shared" si="36"/>
        <v>4</v>
      </c>
    </row>
    <row r="118" spans="1:15" x14ac:dyDescent="0.25">
      <c r="A118" s="21">
        <f t="shared" si="38"/>
        <v>99</v>
      </c>
      <c r="B118" s="1">
        <f t="shared" si="37"/>
        <v>100</v>
      </c>
      <c r="C118" s="1">
        <f t="shared" si="39"/>
        <v>100.0000000948569</v>
      </c>
      <c r="D118" s="1">
        <f t="shared" ca="1" si="40"/>
        <v>99.999999768415819</v>
      </c>
      <c r="E118" s="1">
        <f t="shared" ca="1" si="41"/>
        <v>400.00000092633695</v>
      </c>
      <c r="F118" s="1">
        <f t="shared" si="35"/>
        <v>4</v>
      </c>
      <c r="G118" s="1">
        <f t="shared" si="42"/>
        <v>400.0000003794276</v>
      </c>
      <c r="I118" s="1">
        <f t="shared" si="43"/>
        <v>99.999999905143113</v>
      </c>
      <c r="J118" s="1">
        <f t="shared" si="44"/>
        <v>0</v>
      </c>
      <c r="L118" s="1">
        <f t="shared" si="45"/>
        <v>99.999999905143113</v>
      </c>
      <c r="M118" s="1">
        <f t="shared" si="46"/>
        <v>0</v>
      </c>
      <c r="N118" s="1">
        <f t="shared" ca="1" si="47"/>
        <v>99.999999768415819</v>
      </c>
      <c r="O118" s="1">
        <f t="shared" si="36"/>
        <v>4</v>
      </c>
    </row>
    <row r="119" spans="1:15" x14ac:dyDescent="0.25">
      <c r="A119" s="21">
        <f t="shared" si="38"/>
        <v>100</v>
      </c>
      <c r="B119" s="1">
        <f t="shared" si="37"/>
        <v>100</v>
      </c>
      <c r="C119" s="1">
        <f t="shared" si="39"/>
        <v>100.00000007588552</v>
      </c>
      <c r="D119" s="1">
        <f t="shared" ca="1" si="40"/>
        <v>99.999999814732632</v>
      </c>
      <c r="E119" s="1">
        <f t="shared" ca="1" si="41"/>
        <v>400.00000074106958</v>
      </c>
      <c r="F119" s="1">
        <f t="shared" si="35"/>
        <v>4</v>
      </c>
      <c r="G119" s="1">
        <f t="shared" si="42"/>
        <v>400.00000030354209</v>
      </c>
      <c r="I119" s="1">
        <f t="shared" si="43"/>
        <v>99.999999924114491</v>
      </c>
      <c r="J119" s="1">
        <f t="shared" si="44"/>
        <v>0</v>
      </c>
      <c r="L119" s="1">
        <f t="shared" si="45"/>
        <v>99.999999924114491</v>
      </c>
      <c r="M119" s="1">
        <f t="shared" si="46"/>
        <v>0</v>
      </c>
      <c r="N119" s="1">
        <f t="shared" ca="1" si="47"/>
        <v>99.999999814732632</v>
      </c>
      <c r="O119" s="1">
        <f t="shared" si="36"/>
        <v>4</v>
      </c>
    </row>
    <row r="120" spans="1:15" x14ac:dyDescent="0.25">
      <c r="A120" s="21">
        <f t="shared" si="38"/>
        <v>101</v>
      </c>
      <c r="B120" s="1">
        <f t="shared" si="37"/>
        <v>100</v>
      </c>
      <c r="C120" s="1">
        <f t="shared" si="39"/>
        <v>100.00000006070843</v>
      </c>
      <c r="D120" s="1">
        <f t="shared" ca="1" si="40"/>
        <v>99.999999851786129</v>
      </c>
      <c r="E120" s="1">
        <f t="shared" ca="1" si="41"/>
        <v>400.00000059285571</v>
      </c>
      <c r="F120" s="1">
        <f t="shared" si="35"/>
        <v>4</v>
      </c>
      <c r="G120" s="1">
        <f t="shared" si="42"/>
        <v>400.00000024283372</v>
      </c>
      <c r="I120" s="1">
        <f t="shared" si="43"/>
        <v>99.999999939291627</v>
      </c>
      <c r="J120" s="1">
        <f t="shared" si="44"/>
        <v>0</v>
      </c>
      <c r="L120" s="1">
        <f t="shared" si="45"/>
        <v>99.999999939291627</v>
      </c>
      <c r="M120" s="1">
        <f t="shared" si="46"/>
        <v>0</v>
      </c>
      <c r="N120" s="1">
        <f t="shared" ca="1" si="47"/>
        <v>99.999999851786129</v>
      </c>
      <c r="O120" s="1">
        <f t="shared" si="36"/>
        <v>4</v>
      </c>
    </row>
    <row r="121" spans="1:15" x14ac:dyDescent="0.25">
      <c r="A121" s="21">
        <f t="shared" si="38"/>
        <v>102</v>
      </c>
      <c r="B121" s="1">
        <f t="shared" si="37"/>
        <v>100</v>
      </c>
      <c r="C121" s="1">
        <f t="shared" si="39"/>
        <v>100.00000004856675</v>
      </c>
      <c r="D121" s="1">
        <f t="shared" ca="1" si="40"/>
        <v>99.999999881428892</v>
      </c>
      <c r="E121" s="1">
        <f t="shared" ca="1" si="41"/>
        <v>400.0000004742846</v>
      </c>
      <c r="F121" s="1">
        <f t="shared" si="35"/>
        <v>4</v>
      </c>
      <c r="G121" s="1">
        <f t="shared" si="42"/>
        <v>400.00000019426699</v>
      </c>
      <c r="I121" s="1">
        <f t="shared" si="43"/>
        <v>99.999999951433267</v>
      </c>
      <c r="J121" s="1">
        <f t="shared" si="44"/>
        <v>0</v>
      </c>
      <c r="L121" s="1">
        <f t="shared" si="45"/>
        <v>99.999999951433267</v>
      </c>
      <c r="M121" s="1">
        <f t="shared" si="46"/>
        <v>0</v>
      </c>
      <c r="N121" s="1">
        <f t="shared" ca="1" si="47"/>
        <v>99.999999881428892</v>
      </c>
      <c r="O121" s="1">
        <f t="shared" si="36"/>
        <v>4</v>
      </c>
    </row>
    <row r="122" spans="1:15" x14ac:dyDescent="0.25">
      <c r="A122" s="21">
        <f t="shared" si="38"/>
        <v>103</v>
      </c>
      <c r="B122" s="1">
        <f t="shared" si="37"/>
        <v>100</v>
      </c>
      <c r="C122" s="1">
        <f t="shared" si="39"/>
        <v>100.0000000388534</v>
      </c>
      <c r="D122" s="1">
        <f t="shared" ca="1" si="40"/>
        <v>99.999999905143113</v>
      </c>
      <c r="E122" s="1">
        <f t="shared" ca="1" si="41"/>
        <v>400.00000037942772</v>
      </c>
      <c r="F122" s="1">
        <f t="shared" si="35"/>
        <v>4</v>
      </c>
      <c r="G122" s="1">
        <f t="shared" si="42"/>
        <v>400.0000001554136</v>
      </c>
      <c r="I122" s="1">
        <f t="shared" si="43"/>
        <v>99.999999961146614</v>
      </c>
      <c r="J122" s="1">
        <f t="shared" si="44"/>
        <v>0</v>
      </c>
      <c r="L122" s="1">
        <f t="shared" si="45"/>
        <v>99.999999961146614</v>
      </c>
      <c r="M122" s="1">
        <f t="shared" si="46"/>
        <v>0</v>
      </c>
      <c r="N122" s="1">
        <f t="shared" ca="1" si="47"/>
        <v>99.999999905143113</v>
      </c>
      <c r="O122" s="1">
        <f t="shared" si="36"/>
        <v>4</v>
      </c>
    </row>
    <row r="123" spans="1:15" x14ac:dyDescent="0.25">
      <c r="A123" s="21">
        <f t="shared" si="38"/>
        <v>104</v>
      </c>
      <c r="B123" s="1">
        <f t="shared" si="37"/>
        <v>100</v>
      </c>
      <c r="C123" s="1">
        <f t="shared" si="39"/>
        <v>100.00000003108272</v>
      </c>
      <c r="D123" s="1">
        <f t="shared" ca="1" si="40"/>
        <v>99.999999924114491</v>
      </c>
      <c r="E123" s="1">
        <f t="shared" ca="1" si="41"/>
        <v>400.00000030354221</v>
      </c>
      <c r="F123" s="1">
        <f t="shared" si="35"/>
        <v>4</v>
      </c>
      <c r="G123" s="1">
        <f t="shared" si="42"/>
        <v>400.00000012433088</v>
      </c>
      <c r="I123" s="1">
        <f t="shared" si="43"/>
        <v>99.99999996891728</v>
      </c>
      <c r="J123" s="1">
        <f t="shared" si="44"/>
        <v>0</v>
      </c>
      <c r="L123" s="1">
        <f t="shared" si="45"/>
        <v>99.99999996891728</v>
      </c>
      <c r="M123" s="1">
        <f t="shared" si="46"/>
        <v>0</v>
      </c>
      <c r="N123" s="1">
        <f t="shared" ca="1" si="47"/>
        <v>99.999999924114491</v>
      </c>
      <c r="O123" s="1">
        <f t="shared" si="36"/>
        <v>4</v>
      </c>
    </row>
    <row r="124" spans="1:15" x14ac:dyDescent="0.25">
      <c r="A124" s="21">
        <f t="shared" si="38"/>
        <v>105</v>
      </c>
      <c r="B124" s="1">
        <f t="shared" si="37"/>
        <v>100</v>
      </c>
      <c r="C124" s="1">
        <f t="shared" si="39"/>
        <v>100.00000002486618</v>
      </c>
      <c r="D124" s="1">
        <f t="shared" ca="1" si="40"/>
        <v>99.999999939291627</v>
      </c>
      <c r="E124" s="1">
        <f t="shared" ca="1" si="41"/>
        <v>400.00000024283383</v>
      </c>
      <c r="F124" s="1">
        <f t="shared" si="35"/>
        <v>4</v>
      </c>
      <c r="G124" s="1">
        <f t="shared" si="42"/>
        <v>400.00000009946473</v>
      </c>
      <c r="I124" s="1">
        <f t="shared" si="43"/>
        <v>99.999999975133846</v>
      </c>
      <c r="J124" s="1">
        <f t="shared" si="44"/>
        <v>0</v>
      </c>
      <c r="L124" s="1">
        <f t="shared" si="45"/>
        <v>99.999999975133846</v>
      </c>
      <c r="M124" s="1">
        <f t="shared" si="46"/>
        <v>0</v>
      </c>
      <c r="N124" s="1">
        <f t="shared" ca="1" si="47"/>
        <v>99.999999939291627</v>
      </c>
      <c r="O124" s="1">
        <f t="shared" si="36"/>
        <v>4</v>
      </c>
    </row>
    <row r="125" spans="1:15" x14ac:dyDescent="0.25">
      <c r="A125" s="21">
        <f t="shared" si="38"/>
        <v>106</v>
      </c>
      <c r="B125" s="1">
        <f t="shared" si="37"/>
        <v>100</v>
      </c>
      <c r="C125" s="1">
        <f t="shared" si="39"/>
        <v>100.00000001989295</v>
      </c>
      <c r="D125" s="1">
        <f t="shared" ca="1" si="40"/>
        <v>99.999999951433267</v>
      </c>
      <c r="E125" s="1">
        <f t="shared" ca="1" si="41"/>
        <v>400.0000001942671</v>
      </c>
      <c r="F125" s="1">
        <f t="shared" si="35"/>
        <v>4</v>
      </c>
      <c r="G125" s="1">
        <f t="shared" si="42"/>
        <v>400.00000007957181</v>
      </c>
      <c r="I125" s="1">
        <f t="shared" si="43"/>
        <v>99.999999980107077</v>
      </c>
      <c r="J125" s="1">
        <f t="shared" si="44"/>
        <v>0</v>
      </c>
      <c r="L125" s="1">
        <f t="shared" si="45"/>
        <v>99.999999980107077</v>
      </c>
      <c r="M125" s="1">
        <f t="shared" si="46"/>
        <v>0</v>
      </c>
      <c r="N125" s="1">
        <f t="shared" ca="1" si="47"/>
        <v>99.999999951433267</v>
      </c>
      <c r="O125" s="1">
        <f t="shared" si="36"/>
        <v>4</v>
      </c>
    </row>
    <row r="126" spans="1:15" x14ac:dyDescent="0.25">
      <c r="A126" s="21">
        <f t="shared" si="38"/>
        <v>107</v>
      </c>
      <c r="B126" s="1">
        <f t="shared" si="37"/>
        <v>100</v>
      </c>
      <c r="C126" s="1">
        <f t="shared" si="39"/>
        <v>100.00000001591437</v>
      </c>
      <c r="D126" s="1">
        <f t="shared" ca="1" si="40"/>
        <v>99.999999961146614</v>
      </c>
      <c r="E126" s="1">
        <f t="shared" ca="1" si="41"/>
        <v>400.00000015541372</v>
      </c>
      <c r="F126" s="1">
        <f t="shared" si="35"/>
        <v>4</v>
      </c>
      <c r="G126" s="1">
        <f t="shared" si="42"/>
        <v>400.00000006365747</v>
      </c>
      <c r="I126" s="1">
        <f t="shared" si="43"/>
        <v>99.999999984085662</v>
      </c>
      <c r="J126" s="1">
        <f t="shared" si="44"/>
        <v>0</v>
      </c>
      <c r="L126" s="1">
        <f t="shared" si="45"/>
        <v>99.999999984085662</v>
      </c>
      <c r="M126" s="1">
        <f t="shared" si="46"/>
        <v>0</v>
      </c>
      <c r="N126" s="1">
        <f t="shared" ca="1" si="47"/>
        <v>99.999999961146614</v>
      </c>
      <c r="O126" s="1">
        <f t="shared" si="36"/>
        <v>4</v>
      </c>
    </row>
    <row r="127" spans="1:15" x14ac:dyDescent="0.25">
      <c r="A127" s="21">
        <f t="shared" si="38"/>
        <v>108</v>
      </c>
      <c r="B127" s="1">
        <f t="shared" si="37"/>
        <v>100</v>
      </c>
      <c r="C127" s="1">
        <f t="shared" si="39"/>
        <v>100.0000000127315</v>
      </c>
      <c r="D127" s="1">
        <f t="shared" ca="1" si="40"/>
        <v>99.99999996891728</v>
      </c>
      <c r="E127" s="1">
        <f t="shared" ca="1" si="41"/>
        <v>400.000000124331</v>
      </c>
      <c r="F127" s="1">
        <f t="shared" si="35"/>
        <v>4</v>
      </c>
      <c r="G127" s="1">
        <f t="shared" si="42"/>
        <v>400.00000005092602</v>
      </c>
      <c r="I127" s="1">
        <f t="shared" si="43"/>
        <v>99.999999987268552</v>
      </c>
      <c r="J127" s="1">
        <f t="shared" si="44"/>
        <v>0</v>
      </c>
      <c r="L127" s="1">
        <f t="shared" si="45"/>
        <v>99.999999987268552</v>
      </c>
      <c r="M127" s="1">
        <f t="shared" si="46"/>
        <v>0</v>
      </c>
      <c r="N127" s="1">
        <f t="shared" ca="1" si="47"/>
        <v>99.99999996891728</v>
      </c>
      <c r="O127" s="1">
        <f t="shared" si="36"/>
        <v>4</v>
      </c>
    </row>
    <row r="128" spans="1:15" x14ac:dyDescent="0.25">
      <c r="A128" s="21">
        <f t="shared" si="38"/>
        <v>109</v>
      </c>
      <c r="B128" s="1">
        <f t="shared" si="37"/>
        <v>100</v>
      </c>
      <c r="C128" s="1">
        <f t="shared" si="39"/>
        <v>100.0000000101852</v>
      </c>
      <c r="D128" s="1">
        <f t="shared" ca="1" si="40"/>
        <v>99.999999975133846</v>
      </c>
      <c r="E128" s="1">
        <f t="shared" ca="1" si="41"/>
        <v>400.00000009946484</v>
      </c>
      <c r="F128" s="1">
        <f t="shared" si="35"/>
        <v>4</v>
      </c>
      <c r="G128" s="1">
        <f t="shared" si="42"/>
        <v>400.00000004074082</v>
      </c>
      <c r="I128" s="1">
        <f t="shared" si="43"/>
        <v>99.999999989814796</v>
      </c>
      <c r="J128" s="1">
        <f t="shared" si="44"/>
        <v>0</v>
      </c>
      <c r="L128" s="1">
        <f t="shared" si="45"/>
        <v>99.999999989814796</v>
      </c>
      <c r="M128" s="1">
        <f t="shared" si="46"/>
        <v>0</v>
      </c>
      <c r="N128" s="1">
        <f t="shared" ca="1" si="47"/>
        <v>99.999999975133846</v>
      </c>
      <c r="O128" s="1">
        <f t="shared" si="36"/>
        <v>4</v>
      </c>
    </row>
    <row r="129" spans="1:15" x14ac:dyDescent="0.25">
      <c r="A129" s="21">
        <f t="shared" si="38"/>
        <v>110</v>
      </c>
      <c r="B129" s="1">
        <f t="shared" ref="B129:B160" si="48">D$10</f>
        <v>100</v>
      </c>
      <c r="C129" s="1">
        <f t="shared" si="39"/>
        <v>100.00000000814816</v>
      </c>
      <c r="D129" s="1">
        <f t="shared" ca="1" si="40"/>
        <v>99.999999980107077</v>
      </c>
      <c r="E129" s="1">
        <f t="shared" ca="1" si="41"/>
        <v>400.00000007957192</v>
      </c>
      <c r="F129" s="1">
        <f t="shared" si="35"/>
        <v>4</v>
      </c>
      <c r="G129" s="1">
        <f t="shared" si="42"/>
        <v>400.00000003259265</v>
      </c>
      <c r="I129" s="1">
        <f t="shared" si="43"/>
        <v>99.999999991851837</v>
      </c>
      <c r="J129" s="1">
        <f t="shared" si="44"/>
        <v>0</v>
      </c>
      <c r="L129" s="1">
        <f t="shared" si="45"/>
        <v>99.999999991851837</v>
      </c>
      <c r="M129" s="1">
        <f t="shared" si="46"/>
        <v>0</v>
      </c>
      <c r="N129" s="1">
        <f t="shared" ca="1" si="47"/>
        <v>99.999999980107077</v>
      </c>
      <c r="O129" s="1">
        <f t="shared" si="36"/>
        <v>4</v>
      </c>
    </row>
    <row r="130" spans="1:15" x14ac:dyDescent="0.25">
      <c r="A130" s="21">
        <f t="shared" si="38"/>
        <v>111</v>
      </c>
      <c r="B130" s="1">
        <f t="shared" si="48"/>
        <v>100</v>
      </c>
      <c r="C130" s="1">
        <f t="shared" si="39"/>
        <v>100.00000000651853</v>
      </c>
      <c r="D130" s="1">
        <f t="shared" ca="1" si="40"/>
        <v>99.999999984085662</v>
      </c>
      <c r="E130" s="1">
        <f t="shared" ca="1" si="41"/>
        <v>400.00000006365758</v>
      </c>
      <c r="F130" s="1">
        <f t="shared" si="35"/>
        <v>4</v>
      </c>
      <c r="G130" s="1">
        <f t="shared" si="42"/>
        <v>400.00000002607413</v>
      </c>
      <c r="I130" s="1">
        <f t="shared" si="43"/>
        <v>99.999999993481481</v>
      </c>
      <c r="J130" s="1">
        <f t="shared" si="44"/>
        <v>0</v>
      </c>
      <c r="L130" s="1">
        <f t="shared" si="45"/>
        <v>99.999999993481481</v>
      </c>
      <c r="M130" s="1">
        <f t="shared" si="46"/>
        <v>0</v>
      </c>
      <c r="N130" s="1">
        <f t="shared" ca="1" si="47"/>
        <v>99.999999984085662</v>
      </c>
      <c r="O130" s="1">
        <f t="shared" si="36"/>
        <v>4</v>
      </c>
    </row>
    <row r="131" spans="1:15" x14ac:dyDescent="0.25">
      <c r="A131" s="21">
        <f t="shared" si="38"/>
        <v>112</v>
      </c>
      <c r="B131" s="1">
        <f t="shared" si="48"/>
        <v>100</v>
      </c>
      <c r="C131" s="1">
        <f t="shared" si="39"/>
        <v>100.00000000521483</v>
      </c>
      <c r="D131" s="1">
        <f t="shared" ca="1" si="40"/>
        <v>99.999999987268552</v>
      </c>
      <c r="E131" s="1">
        <f t="shared" ca="1" si="41"/>
        <v>400.00000005092613</v>
      </c>
      <c r="F131" s="1">
        <f t="shared" si="35"/>
        <v>4</v>
      </c>
      <c r="G131" s="1">
        <f t="shared" si="42"/>
        <v>400.00000002085932</v>
      </c>
      <c r="I131" s="1">
        <f t="shared" si="43"/>
        <v>99.999999994785185</v>
      </c>
      <c r="J131" s="1">
        <f t="shared" si="44"/>
        <v>0</v>
      </c>
      <c r="L131" s="1">
        <f t="shared" si="45"/>
        <v>99.999999994785185</v>
      </c>
      <c r="M131" s="1">
        <f t="shared" si="46"/>
        <v>0</v>
      </c>
      <c r="N131" s="1">
        <f t="shared" ca="1" si="47"/>
        <v>99.999999987268552</v>
      </c>
      <c r="O131" s="1">
        <f t="shared" si="36"/>
        <v>4</v>
      </c>
    </row>
    <row r="132" spans="1:15" x14ac:dyDescent="0.25">
      <c r="A132" s="21">
        <f t="shared" si="38"/>
        <v>113</v>
      </c>
      <c r="B132" s="1">
        <f t="shared" si="48"/>
        <v>100</v>
      </c>
      <c r="C132" s="1">
        <f t="shared" si="39"/>
        <v>100.00000000417187</v>
      </c>
      <c r="D132" s="1">
        <f t="shared" ca="1" si="40"/>
        <v>99.999999989814796</v>
      </c>
      <c r="E132" s="1">
        <f t="shared" ca="1" si="41"/>
        <v>400.00000004074093</v>
      </c>
      <c r="F132" s="1">
        <f t="shared" si="35"/>
        <v>4</v>
      </c>
      <c r="G132" s="1">
        <f t="shared" si="42"/>
        <v>400.00000001668747</v>
      </c>
      <c r="I132" s="1">
        <f t="shared" si="43"/>
        <v>99.999999995828148</v>
      </c>
      <c r="J132" s="1">
        <f t="shared" si="44"/>
        <v>0</v>
      </c>
      <c r="L132" s="1">
        <f t="shared" si="45"/>
        <v>99.999999995828148</v>
      </c>
      <c r="M132" s="1">
        <f t="shared" si="46"/>
        <v>0</v>
      </c>
      <c r="N132" s="1">
        <f t="shared" ca="1" si="47"/>
        <v>99.999999989814796</v>
      </c>
      <c r="O132" s="1">
        <f t="shared" si="36"/>
        <v>4</v>
      </c>
    </row>
    <row r="133" spans="1:15" x14ac:dyDescent="0.25">
      <c r="A133" s="21">
        <f t="shared" si="38"/>
        <v>114</v>
      </c>
      <c r="B133" s="1">
        <f t="shared" si="48"/>
        <v>100</v>
      </c>
      <c r="C133" s="1">
        <f t="shared" si="39"/>
        <v>100.0000000033375</v>
      </c>
      <c r="D133" s="1">
        <f t="shared" ca="1" si="40"/>
        <v>99.999999991851837</v>
      </c>
      <c r="E133" s="1">
        <f t="shared" ca="1" si="41"/>
        <v>400.00000003259277</v>
      </c>
      <c r="F133" s="1">
        <f t="shared" si="35"/>
        <v>4</v>
      </c>
      <c r="G133" s="1">
        <f t="shared" si="42"/>
        <v>400.00000001335002</v>
      </c>
      <c r="I133" s="1">
        <f t="shared" si="43"/>
        <v>99.999999996662552</v>
      </c>
      <c r="J133" s="1">
        <f t="shared" si="44"/>
        <v>0</v>
      </c>
      <c r="L133" s="1">
        <f t="shared" si="45"/>
        <v>99.999999996662552</v>
      </c>
      <c r="M133" s="1">
        <f t="shared" si="46"/>
        <v>0</v>
      </c>
      <c r="N133" s="1">
        <f t="shared" ca="1" si="47"/>
        <v>99.999999991851837</v>
      </c>
      <c r="O133" s="1">
        <f t="shared" si="36"/>
        <v>4</v>
      </c>
    </row>
    <row r="134" spans="1:15" x14ac:dyDescent="0.25">
      <c r="A134" s="21">
        <f t="shared" si="38"/>
        <v>115</v>
      </c>
      <c r="B134" s="1">
        <f t="shared" si="48"/>
        <v>100</v>
      </c>
      <c r="C134" s="1">
        <f t="shared" si="39"/>
        <v>100.00000000267001</v>
      </c>
      <c r="D134" s="1">
        <f t="shared" ca="1" si="40"/>
        <v>99.999999993481481</v>
      </c>
      <c r="E134" s="1">
        <f t="shared" ca="1" si="41"/>
        <v>400.00000002607425</v>
      </c>
      <c r="F134" s="1">
        <f t="shared" si="35"/>
        <v>4</v>
      </c>
      <c r="G134" s="1">
        <f t="shared" si="42"/>
        <v>400.00000001068003</v>
      </c>
      <c r="I134" s="1">
        <f t="shared" si="43"/>
        <v>99.999999997330008</v>
      </c>
      <c r="J134" s="1">
        <f t="shared" si="44"/>
        <v>0</v>
      </c>
      <c r="L134" s="1">
        <f t="shared" si="45"/>
        <v>99.999999997330008</v>
      </c>
      <c r="M134" s="1">
        <f t="shared" si="46"/>
        <v>0</v>
      </c>
      <c r="N134" s="1">
        <f t="shared" ca="1" si="47"/>
        <v>99.999999993481481</v>
      </c>
      <c r="O134" s="1">
        <f t="shared" si="36"/>
        <v>4</v>
      </c>
    </row>
    <row r="135" spans="1:15" x14ac:dyDescent="0.25">
      <c r="A135" s="21">
        <f t="shared" si="38"/>
        <v>116</v>
      </c>
      <c r="B135" s="1">
        <f t="shared" si="48"/>
        <v>100</v>
      </c>
      <c r="C135" s="1">
        <f t="shared" si="39"/>
        <v>100.00000000213601</v>
      </c>
      <c r="D135" s="1">
        <f t="shared" ca="1" si="40"/>
        <v>99.999999994785185</v>
      </c>
      <c r="E135" s="1">
        <f t="shared" ca="1" si="41"/>
        <v>400.00000002085943</v>
      </c>
      <c r="F135" s="1">
        <f t="shared" si="35"/>
        <v>4</v>
      </c>
      <c r="G135" s="1">
        <f t="shared" si="42"/>
        <v>400.00000000854402</v>
      </c>
      <c r="I135" s="1">
        <f t="shared" si="43"/>
        <v>99.999999997863995</v>
      </c>
      <c r="J135" s="1">
        <f t="shared" si="44"/>
        <v>0</v>
      </c>
      <c r="L135" s="1">
        <f t="shared" si="45"/>
        <v>99.999999997863995</v>
      </c>
      <c r="M135" s="1">
        <f t="shared" si="46"/>
        <v>0</v>
      </c>
      <c r="N135" s="1">
        <f t="shared" ca="1" si="47"/>
        <v>99.999999994785185</v>
      </c>
      <c r="O135" s="1">
        <f t="shared" si="36"/>
        <v>4</v>
      </c>
    </row>
    <row r="136" spans="1:15" x14ac:dyDescent="0.25">
      <c r="A136" s="21">
        <f t="shared" si="38"/>
        <v>117</v>
      </c>
      <c r="B136" s="1">
        <f t="shared" si="48"/>
        <v>100</v>
      </c>
      <c r="C136" s="1">
        <f t="shared" si="39"/>
        <v>100.00000000170881</v>
      </c>
      <c r="D136" s="1">
        <f t="shared" ca="1" si="40"/>
        <v>99.999999995828148</v>
      </c>
      <c r="E136" s="1">
        <f t="shared" ca="1" si="41"/>
        <v>400.00000001668758</v>
      </c>
      <c r="F136" s="1">
        <f t="shared" si="35"/>
        <v>4</v>
      </c>
      <c r="G136" s="1">
        <f t="shared" si="42"/>
        <v>400.00000000683525</v>
      </c>
      <c r="I136" s="1">
        <f t="shared" si="43"/>
        <v>99.99999999829123</v>
      </c>
      <c r="J136" s="1">
        <f t="shared" si="44"/>
        <v>0</v>
      </c>
      <c r="L136" s="1">
        <f t="shared" si="45"/>
        <v>99.99999999829123</v>
      </c>
      <c r="M136" s="1">
        <f t="shared" si="46"/>
        <v>0</v>
      </c>
      <c r="N136" s="1">
        <f t="shared" ca="1" si="47"/>
        <v>99.999999995828148</v>
      </c>
      <c r="O136" s="1">
        <f t="shared" si="36"/>
        <v>4</v>
      </c>
    </row>
    <row r="137" spans="1:15" x14ac:dyDescent="0.25">
      <c r="A137" s="21">
        <f t="shared" si="38"/>
        <v>118</v>
      </c>
      <c r="B137" s="1">
        <f t="shared" si="48"/>
        <v>100</v>
      </c>
      <c r="C137" s="1">
        <f t="shared" si="39"/>
        <v>100.00000000136706</v>
      </c>
      <c r="D137" s="1">
        <f t="shared" ca="1" si="40"/>
        <v>99.999999996662552</v>
      </c>
      <c r="E137" s="1">
        <f t="shared" ca="1" si="41"/>
        <v>400.00000001335013</v>
      </c>
      <c r="F137" s="1">
        <f t="shared" si="35"/>
        <v>4</v>
      </c>
      <c r="G137" s="1">
        <f t="shared" si="42"/>
        <v>400.00000000546822</v>
      </c>
      <c r="I137" s="1">
        <f t="shared" si="43"/>
        <v>99.999999998632973</v>
      </c>
      <c r="J137" s="1">
        <f t="shared" si="44"/>
        <v>0</v>
      </c>
      <c r="L137" s="1">
        <f t="shared" si="45"/>
        <v>99.999999998632973</v>
      </c>
      <c r="M137" s="1">
        <f t="shared" si="46"/>
        <v>0</v>
      </c>
      <c r="N137" s="1">
        <f t="shared" ca="1" si="47"/>
        <v>99.999999996662552</v>
      </c>
      <c r="O137" s="1">
        <f t="shared" si="36"/>
        <v>4</v>
      </c>
    </row>
    <row r="138" spans="1:15" x14ac:dyDescent="0.25">
      <c r="A138" s="21">
        <f t="shared" si="38"/>
        <v>119</v>
      </c>
      <c r="B138" s="1">
        <f t="shared" si="48"/>
        <v>100</v>
      </c>
      <c r="C138" s="1">
        <f t="shared" si="39"/>
        <v>100.00000000109365</v>
      </c>
      <c r="D138" s="1">
        <f t="shared" ca="1" si="40"/>
        <v>99.999999997330008</v>
      </c>
      <c r="E138" s="1">
        <f t="shared" ca="1" si="41"/>
        <v>400.00000001068014</v>
      </c>
      <c r="F138" s="1">
        <f t="shared" si="35"/>
        <v>4</v>
      </c>
      <c r="G138" s="1">
        <f t="shared" si="42"/>
        <v>400.00000000437461</v>
      </c>
      <c r="I138" s="1">
        <f t="shared" si="43"/>
        <v>99.999999998906389</v>
      </c>
      <c r="J138" s="1">
        <f t="shared" si="44"/>
        <v>0</v>
      </c>
      <c r="L138" s="1">
        <f t="shared" si="45"/>
        <v>99.999999998906389</v>
      </c>
      <c r="M138" s="1">
        <f t="shared" si="46"/>
        <v>0</v>
      </c>
      <c r="N138" s="1">
        <f t="shared" ca="1" si="47"/>
        <v>99.999999997330008</v>
      </c>
      <c r="O138" s="1">
        <f t="shared" si="36"/>
        <v>4</v>
      </c>
    </row>
    <row r="139" spans="1:15" x14ac:dyDescent="0.25">
      <c r="A139" s="21">
        <f t="shared" si="38"/>
        <v>120</v>
      </c>
      <c r="B139" s="1">
        <f t="shared" si="48"/>
        <v>100</v>
      </c>
      <c r="C139" s="1">
        <f t="shared" si="39"/>
        <v>100.00000000087493</v>
      </c>
      <c r="D139" s="1">
        <f t="shared" ca="1" si="40"/>
        <v>99.999999997863995</v>
      </c>
      <c r="E139" s="1">
        <f t="shared" ca="1" si="41"/>
        <v>400.00000000854413</v>
      </c>
      <c r="F139" s="1">
        <f t="shared" si="35"/>
        <v>4</v>
      </c>
      <c r="G139" s="1">
        <f t="shared" si="42"/>
        <v>400.00000000349974</v>
      </c>
      <c r="I139" s="1">
        <f t="shared" si="43"/>
        <v>99.999999999125123</v>
      </c>
      <c r="J139" s="1">
        <f t="shared" si="44"/>
        <v>0</v>
      </c>
      <c r="L139" s="1">
        <f t="shared" si="45"/>
        <v>99.999999999125123</v>
      </c>
      <c r="M139" s="1">
        <f t="shared" si="46"/>
        <v>0</v>
      </c>
      <c r="N139" s="1">
        <f t="shared" ca="1" si="47"/>
        <v>99.999999997863995</v>
      </c>
      <c r="O139" s="1">
        <f t="shared" si="36"/>
        <v>4</v>
      </c>
    </row>
    <row r="140" spans="1:15" x14ac:dyDescent="0.25">
      <c r="A140" s="21">
        <f t="shared" si="38"/>
        <v>121</v>
      </c>
      <c r="B140" s="1">
        <f t="shared" si="48"/>
        <v>100</v>
      </c>
      <c r="C140" s="1">
        <f t="shared" si="39"/>
        <v>100.00000000069996</v>
      </c>
      <c r="D140" s="1">
        <f t="shared" ca="1" si="40"/>
        <v>99.99999999829123</v>
      </c>
      <c r="E140" s="1">
        <f t="shared" ca="1" si="41"/>
        <v>400.00000000683536</v>
      </c>
      <c r="F140" s="1">
        <f t="shared" si="35"/>
        <v>4</v>
      </c>
      <c r="G140" s="1">
        <f t="shared" si="42"/>
        <v>400.00000000279982</v>
      </c>
      <c r="I140" s="1">
        <f t="shared" si="43"/>
        <v>99.999999999300087</v>
      </c>
      <c r="J140" s="1">
        <f t="shared" si="44"/>
        <v>0</v>
      </c>
      <c r="L140" s="1">
        <f t="shared" si="45"/>
        <v>99.999999999300087</v>
      </c>
      <c r="M140" s="1">
        <f t="shared" si="46"/>
        <v>0</v>
      </c>
      <c r="N140" s="1">
        <f t="shared" ca="1" si="47"/>
        <v>99.99999999829123</v>
      </c>
      <c r="O140" s="1">
        <f t="shared" si="36"/>
        <v>4</v>
      </c>
    </row>
    <row r="141" spans="1:15" x14ac:dyDescent="0.25">
      <c r="A141" s="21">
        <f t="shared" si="38"/>
        <v>122</v>
      </c>
      <c r="B141" s="1">
        <f t="shared" si="48"/>
        <v>100</v>
      </c>
      <c r="C141" s="1">
        <f t="shared" si="39"/>
        <v>100.00000000055996</v>
      </c>
      <c r="D141" s="1">
        <f t="shared" ca="1" si="40"/>
        <v>99.999999998632973</v>
      </c>
      <c r="E141" s="1">
        <f t="shared" ca="1" si="41"/>
        <v>400.00000000546834</v>
      </c>
      <c r="F141" s="1">
        <f t="shared" si="35"/>
        <v>4</v>
      </c>
      <c r="G141" s="1">
        <f t="shared" si="42"/>
        <v>400.00000000223986</v>
      </c>
      <c r="I141" s="1">
        <f t="shared" si="43"/>
        <v>99.999999999440035</v>
      </c>
      <c r="J141" s="1">
        <f t="shared" si="44"/>
        <v>0</v>
      </c>
      <c r="L141" s="1">
        <f t="shared" si="45"/>
        <v>99.999999999440035</v>
      </c>
      <c r="M141" s="1">
        <f t="shared" si="46"/>
        <v>0</v>
      </c>
      <c r="N141" s="1">
        <f t="shared" ca="1" si="47"/>
        <v>99.999999998632973</v>
      </c>
      <c r="O141" s="1">
        <f t="shared" si="36"/>
        <v>4</v>
      </c>
    </row>
    <row r="142" spans="1:15" x14ac:dyDescent="0.25">
      <c r="A142" s="21">
        <f t="shared" si="38"/>
        <v>123</v>
      </c>
      <c r="B142" s="1">
        <f t="shared" si="48"/>
        <v>100</v>
      </c>
      <c r="C142" s="1">
        <f t="shared" si="39"/>
        <v>100.00000000044798</v>
      </c>
      <c r="D142" s="1">
        <f t="shared" ca="1" si="40"/>
        <v>99.999999998906389</v>
      </c>
      <c r="E142" s="1">
        <f t="shared" ca="1" si="41"/>
        <v>400.00000000437473</v>
      </c>
      <c r="F142" s="1">
        <f t="shared" si="35"/>
        <v>4</v>
      </c>
      <c r="G142" s="1">
        <f t="shared" si="42"/>
        <v>400.00000000179193</v>
      </c>
      <c r="I142" s="1">
        <f t="shared" si="43"/>
        <v>99.999999999552074</v>
      </c>
      <c r="J142" s="1">
        <f t="shared" si="44"/>
        <v>0</v>
      </c>
      <c r="L142" s="1">
        <f t="shared" si="45"/>
        <v>99.999999999552074</v>
      </c>
      <c r="M142" s="1">
        <f t="shared" si="46"/>
        <v>0</v>
      </c>
      <c r="N142" s="1">
        <f t="shared" ca="1" si="47"/>
        <v>99.999999998906389</v>
      </c>
      <c r="O142" s="1">
        <f t="shared" si="36"/>
        <v>4</v>
      </c>
    </row>
    <row r="143" spans="1:15" x14ac:dyDescent="0.25">
      <c r="A143" s="21">
        <f t="shared" si="38"/>
        <v>124</v>
      </c>
      <c r="B143" s="1">
        <f t="shared" si="48"/>
        <v>100</v>
      </c>
      <c r="C143" s="1">
        <f t="shared" si="39"/>
        <v>100.0000000003584</v>
      </c>
      <c r="D143" s="1">
        <f t="shared" ca="1" si="40"/>
        <v>99.999999999125123</v>
      </c>
      <c r="E143" s="1">
        <f t="shared" ca="1" si="41"/>
        <v>400.00000000349985</v>
      </c>
      <c r="F143" s="1">
        <f t="shared" si="35"/>
        <v>4</v>
      </c>
      <c r="G143" s="1">
        <f t="shared" si="42"/>
        <v>400.00000000143359</v>
      </c>
      <c r="I143" s="1">
        <f t="shared" si="43"/>
        <v>99.999999999641659</v>
      </c>
      <c r="J143" s="1">
        <f t="shared" si="44"/>
        <v>0</v>
      </c>
      <c r="L143" s="1">
        <f t="shared" si="45"/>
        <v>99.999999999641659</v>
      </c>
      <c r="M143" s="1">
        <f t="shared" si="46"/>
        <v>0</v>
      </c>
      <c r="N143" s="1">
        <f t="shared" ca="1" si="47"/>
        <v>99.999999999125123</v>
      </c>
      <c r="O143" s="1">
        <f t="shared" si="36"/>
        <v>4</v>
      </c>
    </row>
    <row r="144" spans="1:15" x14ac:dyDescent="0.25">
      <c r="A144" s="21">
        <f t="shared" si="38"/>
        <v>125</v>
      </c>
      <c r="B144" s="1">
        <f t="shared" si="48"/>
        <v>100</v>
      </c>
      <c r="C144" s="1">
        <f t="shared" si="39"/>
        <v>100.00000000028672</v>
      </c>
      <c r="D144" s="1">
        <f t="shared" ca="1" si="40"/>
        <v>99.999999999300087</v>
      </c>
      <c r="E144" s="1">
        <f t="shared" ca="1" si="41"/>
        <v>400.00000000279994</v>
      </c>
      <c r="F144" s="1">
        <f t="shared" si="35"/>
        <v>4</v>
      </c>
      <c r="G144" s="1">
        <f t="shared" si="42"/>
        <v>400.00000000114687</v>
      </c>
      <c r="I144" s="1">
        <f t="shared" si="43"/>
        <v>99.999999999713282</v>
      </c>
      <c r="J144" s="1">
        <f t="shared" si="44"/>
        <v>0</v>
      </c>
      <c r="L144" s="1">
        <f t="shared" si="45"/>
        <v>99.999999999713282</v>
      </c>
      <c r="M144" s="1">
        <f t="shared" si="46"/>
        <v>0</v>
      </c>
      <c r="N144" s="1">
        <f t="shared" ca="1" si="47"/>
        <v>99.999999999300087</v>
      </c>
      <c r="O144" s="1">
        <f t="shared" si="36"/>
        <v>4</v>
      </c>
    </row>
    <row r="145" spans="1:15" x14ac:dyDescent="0.25">
      <c r="A145" s="21">
        <f t="shared" si="38"/>
        <v>126</v>
      </c>
      <c r="B145" s="1">
        <f t="shared" si="48"/>
        <v>100</v>
      </c>
      <c r="C145" s="1">
        <f t="shared" si="39"/>
        <v>100.00000000022938</v>
      </c>
      <c r="D145" s="1">
        <f t="shared" ca="1" si="40"/>
        <v>99.999999999440035</v>
      </c>
      <c r="E145" s="1">
        <f t="shared" ca="1" si="41"/>
        <v>400.00000000223997</v>
      </c>
      <c r="F145" s="1">
        <f t="shared" si="35"/>
        <v>4</v>
      </c>
      <c r="G145" s="1">
        <f t="shared" si="42"/>
        <v>400.00000000091751</v>
      </c>
      <c r="I145" s="1">
        <f t="shared" si="43"/>
        <v>99.999999999770637</v>
      </c>
      <c r="J145" s="1">
        <f t="shared" si="44"/>
        <v>0</v>
      </c>
      <c r="L145" s="1">
        <f t="shared" si="45"/>
        <v>99.999999999770637</v>
      </c>
      <c r="M145" s="1">
        <f t="shared" si="46"/>
        <v>0</v>
      </c>
      <c r="N145" s="1">
        <f t="shared" ca="1" si="47"/>
        <v>99.999999999440035</v>
      </c>
      <c r="O145" s="1">
        <f t="shared" si="36"/>
        <v>4</v>
      </c>
    </row>
    <row r="146" spans="1:15" x14ac:dyDescent="0.25">
      <c r="A146" s="21">
        <f t="shared" si="38"/>
        <v>127</v>
      </c>
      <c r="B146" s="1">
        <f t="shared" si="48"/>
        <v>100</v>
      </c>
      <c r="C146" s="1">
        <f t="shared" si="39"/>
        <v>100.0000000001835</v>
      </c>
      <c r="D146" s="1">
        <f t="shared" ca="1" si="40"/>
        <v>99.999999999552074</v>
      </c>
      <c r="E146" s="1">
        <f t="shared" ca="1" si="41"/>
        <v>400.00000000179205</v>
      </c>
      <c r="F146" s="1">
        <f t="shared" si="35"/>
        <v>4</v>
      </c>
      <c r="G146" s="1">
        <f t="shared" si="42"/>
        <v>400.00000000073402</v>
      </c>
      <c r="I146" s="1">
        <f t="shared" si="43"/>
        <v>99.999999999816509</v>
      </c>
      <c r="J146" s="1">
        <f t="shared" si="44"/>
        <v>0</v>
      </c>
      <c r="L146" s="1">
        <f t="shared" si="45"/>
        <v>99.999999999816509</v>
      </c>
      <c r="M146" s="1">
        <f t="shared" si="46"/>
        <v>0</v>
      </c>
      <c r="N146" s="1">
        <f t="shared" ca="1" si="47"/>
        <v>99.999999999552074</v>
      </c>
      <c r="O146" s="1">
        <f t="shared" si="36"/>
        <v>4</v>
      </c>
    </row>
    <row r="147" spans="1:15" x14ac:dyDescent="0.25">
      <c r="A147" s="21">
        <f t="shared" si="38"/>
        <v>128</v>
      </c>
      <c r="B147" s="1">
        <f t="shared" si="48"/>
        <v>100</v>
      </c>
      <c r="C147" s="1">
        <f t="shared" si="39"/>
        <v>100.00000000014681</v>
      </c>
      <c r="D147" s="1">
        <f t="shared" ca="1" si="40"/>
        <v>99.999999999641659</v>
      </c>
      <c r="E147" s="1">
        <f t="shared" ca="1" si="41"/>
        <v>400.0000000014337</v>
      </c>
      <c r="F147" s="1">
        <f t="shared" si="35"/>
        <v>4</v>
      </c>
      <c r="G147" s="1">
        <f t="shared" si="42"/>
        <v>400.00000000058725</v>
      </c>
      <c r="I147" s="1">
        <f t="shared" si="43"/>
        <v>99.99999999985323</v>
      </c>
      <c r="J147" s="1">
        <f t="shared" si="44"/>
        <v>0</v>
      </c>
      <c r="L147" s="1">
        <f t="shared" si="45"/>
        <v>99.99999999985323</v>
      </c>
      <c r="M147" s="1">
        <f t="shared" si="46"/>
        <v>0</v>
      </c>
      <c r="N147" s="1">
        <f t="shared" ca="1" si="47"/>
        <v>99.999999999641659</v>
      </c>
      <c r="O147" s="1">
        <f t="shared" si="36"/>
        <v>4</v>
      </c>
    </row>
    <row r="148" spans="1:15" x14ac:dyDescent="0.25">
      <c r="A148" s="21">
        <f t="shared" si="38"/>
        <v>129</v>
      </c>
      <c r="B148" s="1">
        <f t="shared" si="48"/>
        <v>100</v>
      </c>
      <c r="C148" s="1">
        <f t="shared" ref="C148:C179" si="49">D$9*B148+(1-D$9)*C147</f>
        <v>100.00000000011745</v>
      </c>
      <c r="D148" s="1">
        <f t="shared" ref="D148:D179" ca="1" si="50">N148</f>
        <v>99.999999999713282</v>
      </c>
      <c r="E148" s="1">
        <f t="shared" ref="E148:E179" ca="1" si="51">E147+D148-B148</f>
        <v>400.00000000114699</v>
      </c>
      <c r="F148" s="1">
        <f t="shared" si="35"/>
        <v>4</v>
      </c>
      <c r="G148" s="1">
        <f t="shared" ref="G148:G179" si="52">F148*C148</f>
        <v>400.00000000046981</v>
      </c>
      <c r="I148" s="1">
        <f t="shared" ref="I148:I179" si="53">MAX(0,J147+B148+G148-G147)</f>
        <v>99.999999999882561</v>
      </c>
      <c r="J148" s="1">
        <f t="shared" ref="J148:J179" si="54">MIN(0,J147+B148+G148-G147)</f>
        <v>0</v>
      </c>
      <c r="L148" s="1">
        <f t="shared" ref="L148:L179" si="55">MAX(0,MIN(L$9,I148+M147))</f>
        <v>99.999999999882561</v>
      </c>
      <c r="M148" s="1">
        <f t="shared" ref="M148:M179" si="56">MAX(0,M147+I148-L148)</f>
        <v>0</v>
      </c>
      <c r="N148" s="1">
        <f t="shared" ref="N148:N179" ca="1" si="57">IF(A148&lt;=L$10,D$10,OFFSET(N148,-L$10,-2))</f>
        <v>99.999999999713282</v>
      </c>
      <c r="O148" s="1">
        <f t="shared" si="36"/>
        <v>4</v>
      </c>
    </row>
    <row r="149" spans="1:15" x14ac:dyDescent="0.25">
      <c r="A149" s="21">
        <f t="shared" si="38"/>
        <v>130</v>
      </c>
      <c r="B149" s="1">
        <f t="shared" si="48"/>
        <v>100</v>
      </c>
      <c r="C149" s="1">
        <f t="shared" si="49"/>
        <v>100.00000000009396</v>
      </c>
      <c r="D149" s="1">
        <f t="shared" ca="1" si="50"/>
        <v>99.999999999770637</v>
      </c>
      <c r="E149" s="1">
        <f t="shared" ca="1" si="51"/>
        <v>400.00000000091762</v>
      </c>
      <c r="F149" s="1">
        <f t="shared" ref="F149:F209" si="58">O148</f>
        <v>4</v>
      </c>
      <c r="G149" s="1">
        <f t="shared" si="52"/>
        <v>400.00000000037585</v>
      </c>
      <c r="I149" s="1">
        <f t="shared" si="53"/>
        <v>99.999999999906038</v>
      </c>
      <c r="J149" s="1">
        <f t="shared" si="54"/>
        <v>0</v>
      </c>
      <c r="L149" s="1">
        <f t="shared" si="55"/>
        <v>99.999999999906038</v>
      </c>
      <c r="M149" s="1">
        <f t="shared" si="56"/>
        <v>0</v>
      </c>
      <c r="N149" s="1">
        <f t="shared" ca="1" si="57"/>
        <v>99.999999999770637</v>
      </c>
      <c r="O149" s="1">
        <f t="shared" ref="O149:O209" si="59">L$10+M149/L$9</f>
        <v>4</v>
      </c>
    </row>
    <row r="150" spans="1:15" x14ac:dyDescent="0.25">
      <c r="A150" s="21">
        <f t="shared" si="38"/>
        <v>131</v>
      </c>
      <c r="B150" s="1">
        <f t="shared" si="48"/>
        <v>100</v>
      </c>
      <c r="C150" s="1">
        <f t="shared" si="49"/>
        <v>100.00000000007518</v>
      </c>
      <c r="D150" s="1">
        <f t="shared" ca="1" si="50"/>
        <v>99.999999999816509</v>
      </c>
      <c r="E150" s="1">
        <f t="shared" ca="1" si="51"/>
        <v>400.00000000073413</v>
      </c>
      <c r="F150" s="1">
        <f t="shared" si="58"/>
        <v>4</v>
      </c>
      <c r="G150" s="1">
        <f t="shared" si="52"/>
        <v>400.0000000003007</v>
      </c>
      <c r="I150" s="1">
        <f t="shared" si="53"/>
        <v>99.999999999924853</v>
      </c>
      <c r="J150" s="1">
        <f t="shared" si="54"/>
        <v>0</v>
      </c>
      <c r="L150" s="1">
        <f t="shared" si="55"/>
        <v>99.999999999924853</v>
      </c>
      <c r="M150" s="1">
        <f t="shared" si="56"/>
        <v>0</v>
      </c>
      <c r="N150" s="1">
        <f t="shared" ca="1" si="57"/>
        <v>99.999999999816509</v>
      </c>
      <c r="O150" s="1">
        <f t="shared" si="59"/>
        <v>4</v>
      </c>
    </row>
    <row r="151" spans="1:15" x14ac:dyDescent="0.25">
      <c r="A151" s="21">
        <f t="shared" si="38"/>
        <v>132</v>
      </c>
      <c r="B151" s="1">
        <f t="shared" si="48"/>
        <v>100</v>
      </c>
      <c r="C151" s="1">
        <f t="shared" si="49"/>
        <v>100.00000000006014</v>
      </c>
      <c r="D151" s="1">
        <f t="shared" ca="1" si="50"/>
        <v>99.99999999985323</v>
      </c>
      <c r="E151" s="1">
        <f t="shared" ca="1" si="51"/>
        <v>400.00000000058736</v>
      </c>
      <c r="F151" s="1">
        <f t="shared" si="58"/>
        <v>4</v>
      </c>
      <c r="G151" s="1">
        <f t="shared" si="52"/>
        <v>400.00000000024056</v>
      </c>
      <c r="I151" s="1">
        <f t="shared" si="53"/>
        <v>99.99999999993986</v>
      </c>
      <c r="J151" s="1">
        <f t="shared" si="54"/>
        <v>0</v>
      </c>
      <c r="L151" s="1">
        <f t="shared" si="55"/>
        <v>99.99999999993986</v>
      </c>
      <c r="M151" s="1">
        <f t="shared" si="56"/>
        <v>0</v>
      </c>
      <c r="N151" s="1">
        <f t="shared" ca="1" si="57"/>
        <v>99.99999999985323</v>
      </c>
      <c r="O151" s="1">
        <f t="shared" si="59"/>
        <v>4</v>
      </c>
    </row>
    <row r="152" spans="1:15" x14ac:dyDescent="0.25">
      <c r="A152" s="21">
        <f t="shared" si="38"/>
        <v>133</v>
      </c>
      <c r="B152" s="1">
        <f t="shared" si="48"/>
        <v>100</v>
      </c>
      <c r="C152" s="1">
        <f t="shared" si="49"/>
        <v>100.00000000004812</v>
      </c>
      <c r="D152" s="1">
        <f t="shared" ca="1" si="50"/>
        <v>99.999999999882561</v>
      </c>
      <c r="E152" s="1">
        <f t="shared" ca="1" si="51"/>
        <v>400.00000000046992</v>
      </c>
      <c r="F152" s="1">
        <f t="shared" si="58"/>
        <v>4</v>
      </c>
      <c r="G152" s="1">
        <f t="shared" si="52"/>
        <v>400.00000000019247</v>
      </c>
      <c r="I152" s="1">
        <f t="shared" si="53"/>
        <v>99.99999999995191</v>
      </c>
      <c r="J152" s="1">
        <f t="shared" si="54"/>
        <v>0</v>
      </c>
      <c r="L152" s="1">
        <f t="shared" si="55"/>
        <v>99.99999999995191</v>
      </c>
      <c r="M152" s="1">
        <f t="shared" si="56"/>
        <v>0</v>
      </c>
      <c r="N152" s="1">
        <f t="shared" ca="1" si="57"/>
        <v>99.999999999882561</v>
      </c>
      <c r="O152" s="1">
        <f t="shared" si="59"/>
        <v>4</v>
      </c>
    </row>
    <row r="153" spans="1:15" x14ac:dyDescent="0.25">
      <c r="A153" s="21">
        <f t="shared" si="38"/>
        <v>134</v>
      </c>
      <c r="B153" s="1">
        <f t="shared" si="48"/>
        <v>100</v>
      </c>
      <c r="C153" s="1">
        <f t="shared" si="49"/>
        <v>100.0000000000385</v>
      </c>
      <c r="D153" s="1">
        <f t="shared" ca="1" si="50"/>
        <v>99.999999999906038</v>
      </c>
      <c r="E153" s="1">
        <f t="shared" ca="1" si="51"/>
        <v>400.00000000037596</v>
      </c>
      <c r="F153" s="1">
        <f t="shared" si="58"/>
        <v>4</v>
      </c>
      <c r="G153" s="1">
        <f t="shared" si="52"/>
        <v>400.00000000015399</v>
      </c>
      <c r="I153" s="1">
        <f t="shared" si="53"/>
        <v>99.999999999961517</v>
      </c>
      <c r="J153" s="1">
        <f t="shared" si="54"/>
        <v>0</v>
      </c>
      <c r="L153" s="1">
        <f t="shared" si="55"/>
        <v>99.999999999961517</v>
      </c>
      <c r="M153" s="1">
        <f t="shared" si="56"/>
        <v>0</v>
      </c>
      <c r="N153" s="1">
        <f t="shared" ca="1" si="57"/>
        <v>99.999999999906038</v>
      </c>
      <c r="O153" s="1">
        <f t="shared" si="59"/>
        <v>4</v>
      </c>
    </row>
    <row r="154" spans="1:15" x14ac:dyDescent="0.25">
      <c r="A154" s="21">
        <f t="shared" si="38"/>
        <v>135</v>
      </c>
      <c r="B154" s="1">
        <f t="shared" si="48"/>
        <v>100</v>
      </c>
      <c r="C154" s="1">
        <f t="shared" si="49"/>
        <v>100.00000000003081</v>
      </c>
      <c r="D154" s="1">
        <f t="shared" ca="1" si="50"/>
        <v>99.999999999924853</v>
      </c>
      <c r="E154" s="1">
        <f t="shared" ca="1" si="51"/>
        <v>400.00000000030082</v>
      </c>
      <c r="F154" s="1">
        <f t="shared" si="58"/>
        <v>4</v>
      </c>
      <c r="G154" s="1">
        <f t="shared" si="52"/>
        <v>400.00000000012324</v>
      </c>
      <c r="I154" s="1">
        <f t="shared" si="53"/>
        <v>99.999999999969248</v>
      </c>
      <c r="J154" s="1">
        <f t="shared" si="54"/>
        <v>0</v>
      </c>
      <c r="L154" s="1">
        <f t="shared" si="55"/>
        <v>99.999999999969248</v>
      </c>
      <c r="M154" s="1">
        <f t="shared" si="56"/>
        <v>0</v>
      </c>
      <c r="N154" s="1">
        <f t="shared" ca="1" si="57"/>
        <v>99.999999999924853</v>
      </c>
      <c r="O154" s="1">
        <f t="shared" si="59"/>
        <v>4</v>
      </c>
    </row>
    <row r="155" spans="1:15" x14ac:dyDescent="0.25">
      <c r="A155" s="21">
        <f t="shared" si="38"/>
        <v>136</v>
      </c>
      <c r="B155" s="1">
        <f t="shared" si="48"/>
        <v>100</v>
      </c>
      <c r="C155" s="1">
        <f t="shared" si="49"/>
        <v>100.00000000002466</v>
      </c>
      <c r="D155" s="1">
        <f t="shared" ca="1" si="50"/>
        <v>99.99999999993986</v>
      </c>
      <c r="E155" s="1">
        <f t="shared" ca="1" si="51"/>
        <v>400.00000000024068</v>
      </c>
      <c r="F155" s="1">
        <f t="shared" si="58"/>
        <v>4</v>
      </c>
      <c r="G155" s="1">
        <f t="shared" si="52"/>
        <v>400.00000000009862</v>
      </c>
      <c r="I155" s="1">
        <f t="shared" si="53"/>
        <v>99.999999999975387</v>
      </c>
      <c r="J155" s="1">
        <f t="shared" si="54"/>
        <v>0</v>
      </c>
      <c r="L155" s="1">
        <f t="shared" si="55"/>
        <v>99.999999999975387</v>
      </c>
      <c r="M155" s="1">
        <f t="shared" si="56"/>
        <v>0</v>
      </c>
      <c r="N155" s="1">
        <f t="shared" ca="1" si="57"/>
        <v>99.99999999993986</v>
      </c>
      <c r="O155" s="1">
        <f t="shared" si="59"/>
        <v>4</v>
      </c>
    </row>
    <row r="156" spans="1:15" x14ac:dyDescent="0.25">
      <c r="A156" s="21">
        <f t="shared" si="38"/>
        <v>137</v>
      </c>
      <c r="B156" s="1">
        <f t="shared" si="48"/>
        <v>100</v>
      </c>
      <c r="C156" s="1">
        <f t="shared" si="49"/>
        <v>100.00000000001972</v>
      </c>
      <c r="D156" s="1">
        <f t="shared" ca="1" si="50"/>
        <v>99.99999999995191</v>
      </c>
      <c r="E156" s="1">
        <f t="shared" ca="1" si="51"/>
        <v>400.00000000019259</v>
      </c>
      <c r="F156" s="1">
        <f t="shared" si="58"/>
        <v>4</v>
      </c>
      <c r="G156" s="1">
        <f t="shared" si="52"/>
        <v>400.0000000000789</v>
      </c>
      <c r="I156" s="1">
        <f t="shared" si="53"/>
        <v>99.999999999980275</v>
      </c>
      <c r="J156" s="1">
        <f t="shared" si="54"/>
        <v>0</v>
      </c>
      <c r="L156" s="1">
        <f t="shared" si="55"/>
        <v>99.999999999980275</v>
      </c>
      <c r="M156" s="1">
        <f t="shared" si="56"/>
        <v>0</v>
      </c>
      <c r="N156" s="1">
        <f t="shared" ca="1" si="57"/>
        <v>99.99999999995191</v>
      </c>
      <c r="O156" s="1">
        <f t="shared" si="59"/>
        <v>4</v>
      </c>
    </row>
    <row r="157" spans="1:15" x14ac:dyDescent="0.25">
      <c r="A157" s="21">
        <f t="shared" si="38"/>
        <v>138</v>
      </c>
      <c r="B157" s="1">
        <f t="shared" si="48"/>
        <v>100</v>
      </c>
      <c r="C157" s="1">
        <f t="shared" si="49"/>
        <v>100.00000000001579</v>
      </c>
      <c r="D157" s="1">
        <f t="shared" ca="1" si="50"/>
        <v>99.999999999961517</v>
      </c>
      <c r="E157" s="1">
        <f t="shared" ca="1" si="51"/>
        <v>400.0000000001541</v>
      </c>
      <c r="F157" s="1">
        <f t="shared" si="58"/>
        <v>4</v>
      </c>
      <c r="G157" s="1">
        <f t="shared" si="52"/>
        <v>400.00000000006315</v>
      </c>
      <c r="I157" s="1">
        <f t="shared" si="53"/>
        <v>99.999999999984254</v>
      </c>
      <c r="J157" s="1">
        <f t="shared" si="54"/>
        <v>0</v>
      </c>
      <c r="L157" s="1">
        <f t="shared" si="55"/>
        <v>99.999999999984254</v>
      </c>
      <c r="M157" s="1">
        <f t="shared" si="56"/>
        <v>0</v>
      </c>
      <c r="N157" s="1">
        <f t="shared" ca="1" si="57"/>
        <v>99.999999999961517</v>
      </c>
      <c r="O157" s="1">
        <f t="shared" si="59"/>
        <v>4</v>
      </c>
    </row>
    <row r="158" spans="1:15" x14ac:dyDescent="0.25">
      <c r="A158" s="21">
        <f t="shared" si="38"/>
        <v>139</v>
      </c>
      <c r="B158" s="1">
        <f t="shared" si="48"/>
        <v>100</v>
      </c>
      <c r="C158" s="1">
        <f t="shared" si="49"/>
        <v>100.00000000001263</v>
      </c>
      <c r="D158" s="1">
        <f t="shared" ca="1" si="50"/>
        <v>99.999999999969248</v>
      </c>
      <c r="E158" s="1">
        <f t="shared" ca="1" si="51"/>
        <v>400.00000000012335</v>
      </c>
      <c r="F158" s="1">
        <f t="shared" si="58"/>
        <v>4</v>
      </c>
      <c r="G158" s="1">
        <f t="shared" si="52"/>
        <v>400.00000000005053</v>
      </c>
      <c r="I158" s="1">
        <f t="shared" si="53"/>
        <v>99.999999999987381</v>
      </c>
      <c r="J158" s="1">
        <f t="shared" si="54"/>
        <v>0</v>
      </c>
      <c r="L158" s="1">
        <f t="shared" si="55"/>
        <v>99.999999999987381</v>
      </c>
      <c r="M158" s="1">
        <f t="shared" si="56"/>
        <v>0</v>
      </c>
      <c r="N158" s="1">
        <f t="shared" ca="1" si="57"/>
        <v>99.999999999969248</v>
      </c>
      <c r="O158" s="1">
        <f t="shared" si="59"/>
        <v>4</v>
      </c>
    </row>
    <row r="159" spans="1:15" x14ac:dyDescent="0.25">
      <c r="A159" s="21">
        <f t="shared" si="38"/>
        <v>140</v>
      </c>
      <c r="B159" s="1">
        <f t="shared" si="48"/>
        <v>100</v>
      </c>
      <c r="C159" s="1">
        <f t="shared" si="49"/>
        <v>100.00000000001012</v>
      </c>
      <c r="D159" s="1">
        <f t="shared" ca="1" si="50"/>
        <v>99.999999999975387</v>
      </c>
      <c r="E159" s="1">
        <f t="shared" ca="1" si="51"/>
        <v>400.00000000009874</v>
      </c>
      <c r="F159" s="1">
        <f t="shared" si="58"/>
        <v>4</v>
      </c>
      <c r="G159" s="1">
        <f t="shared" si="52"/>
        <v>400.00000000004047</v>
      </c>
      <c r="I159" s="1">
        <f t="shared" si="53"/>
        <v>99.999999999989939</v>
      </c>
      <c r="J159" s="1">
        <f t="shared" si="54"/>
        <v>0</v>
      </c>
      <c r="L159" s="1">
        <f t="shared" si="55"/>
        <v>99.999999999989939</v>
      </c>
      <c r="M159" s="1">
        <f t="shared" si="56"/>
        <v>0</v>
      </c>
      <c r="N159" s="1">
        <f t="shared" ca="1" si="57"/>
        <v>99.999999999975387</v>
      </c>
      <c r="O159" s="1">
        <f t="shared" si="59"/>
        <v>4</v>
      </c>
    </row>
    <row r="160" spans="1:15" x14ac:dyDescent="0.25">
      <c r="A160" s="21">
        <f t="shared" si="38"/>
        <v>141</v>
      </c>
      <c r="B160" s="1">
        <f t="shared" si="48"/>
        <v>100</v>
      </c>
      <c r="C160" s="1">
        <f t="shared" si="49"/>
        <v>100.0000000000081</v>
      </c>
      <c r="D160" s="1">
        <f t="shared" ca="1" si="50"/>
        <v>99.999999999980275</v>
      </c>
      <c r="E160" s="1">
        <f t="shared" ca="1" si="51"/>
        <v>400.00000000007901</v>
      </c>
      <c r="F160" s="1">
        <f t="shared" si="58"/>
        <v>4</v>
      </c>
      <c r="G160" s="1">
        <f t="shared" si="52"/>
        <v>400.0000000000324</v>
      </c>
      <c r="I160" s="1">
        <f t="shared" si="53"/>
        <v>99.999999999991928</v>
      </c>
      <c r="J160" s="1">
        <f t="shared" si="54"/>
        <v>0</v>
      </c>
      <c r="L160" s="1">
        <f t="shared" si="55"/>
        <v>99.999999999991928</v>
      </c>
      <c r="M160" s="1">
        <f t="shared" si="56"/>
        <v>0</v>
      </c>
      <c r="N160" s="1">
        <f t="shared" ca="1" si="57"/>
        <v>99.999999999980275</v>
      </c>
      <c r="O160" s="1">
        <f t="shared" si="59"/>
        <v>4</v>
      </c>
    </row>
    <row r="161" spans="1:15" x14ac:dyDescent="0.25">
      <c r="A161" s="21">
        <f t="shared" si="38"/>
        <v>142</v>
      </c>
      <c r="B161" s="1">
        <f t="shared" ref="B161:B192" si="60">D$10</f>
        <v>100</v>
      </c>
      <c r="C161" s="1">
        <f t="shared" si="49"/>
        <v>100.00000000000648</v>
      </c>
      <c r="D161" s="1">
        <f t="shared" ca="1" si="50"/>
        <v>99.999999999984254</v>
      </c>
      <c r="E161" s="1">
        <f t="shared" ca="1" si="51"/>
        <v>400.00000000006327</v>
      </c>
      <c r="F161" s="1">
        <f t="shared" si="58"/>
        <v>4</v>
      </c>
      <c r="G161" s="1">
        <f t="shared" si="52"/>
        <v>400.00000000002592</v>
      </c>
      <c r="I161" s="1">
        <f t="shared" si="53"/>
        <v>99.99999999999352</v>
      </c>
      <c r="J161" s="1">
        <f t="shared" si="54"/>
        <v>0</v>
      </c>
      <c r="L161" s="1">
        <f t="shared" si="55"/>
        <v>99.99999999999352</v>
      </c>
      <c r="M161" s="1">
        <f t="shared" si="56"/>
        <v>0</v>
      </c>
      <c r="N161" s="1">
        <f t="shared" ca="1" si="57"/>
        <v>99.999999999984254</v>
      </c>
      <c r="O161" s="1">
        <f t="shared" si="59"/>
        <v>4</v>
      </c>
    </row>
    <row r="162" spans="1:15" x14ac:dyDescent="0.25">
      <c r="A162" s="21">
        <f t="shared" si="38"/>
        <v>143</v>
      </c>
      <c r="B162" s="1">
        <f t="shared" si="60"/>
        <v>100</v>
      </c>
      <c r="C162" s="1">
        <f t="shared" si="49"/>
        <v>100.00000000000519</v>
      </c>
      <c r="D162" s="1">
        <f t="shared" ca="1" si="50"/>
        <v>99.999999999987381</v>
      </c>
      <c r="E162" s="1">
        <f t="shared" ca="1" si="51"/>
        <v>400.00000000005065</v>
      </c>
      <c r="F162" s="1">
        <f t="shared" si="58"/>
        <v>4</v>
      </c>
      <c r="G162" s="1">
        <f t="shared" si="52"/>
        <v>400.00000000002075</v>
      </c>
      <c r="I162" s="1">
        <f t="shared" si="53"/>
        <v>99.999999999994827</v>
      </c>
      <c r="J162" s="1">
        <f t="shared" si="54"/>
        <v>0</v>
      </c>
      <c r="L162" s="1">
        <f t="shared" si="55"/>
        <v>99.999999999994827</v>
      </c>
      <c r="M162" s="1">
        <f t="shared" si="56"/>
        <v>0</v>
      </c>
      <c r="N162" s="1">
        <f t="shared" ca="1" si="57"/>
        <v>99.999999999987381</v>
      </c>
      <c r="O162" s="1">
        <f t="shared" si="59"/>
        <v>4</v>
      </c>
    </row>
    <row r="163" spans="1:15" x14ac:dyDescent="0.25">
      <c r="A163" s="21">
        <f t="shared" si="38"/>
        <v>144</v>
      </c>
      <c r="B163" s="1">
        <f t="shared" si="60"/>
        <v>100</v>
      </c>
      <c r="C163" s="1">
        <f t="shared" si="49"/>
        <v>100.00000000000415</v>
      </c>
      <c r="D163" s="1">
        <f t="shared" ca="1" si="50"/>
        <v>99.999999999989939</v>
      </c>
      <c r="E163" s="1">
        <f t="shared" ca="1" si="51"/>
        <v>400.00000000004059</v>
      </c>
      <c r="F163" s="1">
        <f t="shared" si="58"/>
        <v>4</v>
      </c>
      <c r="G163" s="1">
        <f t="shared" si="52"/>
        <v>400.0000000000166</v>
      </c>
      <c r="I163" s="1">
        <f t="shared" si="53"/>
        <v>99.99999999999585</v>
      </c>
      <c r="J163" s="1">
        <f t="shared" si="54"/>
        <v>0</v>
      </c>
      <c r="L163" s="1">
        <f t="shared" si="55"/>
        <v>99.99999999999585</v>
      </c>
      <c r="M163" s="1">
        <f t="shared" si="56"/>
        <v>0</v>
      </c>
      <c r="N163" s="1">
        <f t="shared" ca="1" si="57"/>
        <v>99.999999999989939</v>
      </c>
      <c r="O163" s="1">
        <f t="shared" si="59"/>
        <v>4</v>
      </c>
    </row>
    <row r="164" spans="1:15" x14ac:dyDescent="0.25">
      <c r="A164" s="21">
        <f t="shared" ref="A164:A209" si="61">1+A163</f>
        <v>145</v>
      </c>
      <c r="B164" s="1">
        <f t="shared" si="60"/>
        <v>100</v>
      </c>
      <c r="C164" s="1">
        <f t="shared" si="49"/>
        <v>100.00000000000333</v>
      </c>
      <c r="D164" s="1">
        <f t="shared" ca="1" si="50"/>
        <v>99.999999999991928</v>
      </c>
      <c r="E164" s="1">
        <f t="shared" ca="1" si="51"/>
        <v>400.00000000003251</v>
      </c>
      <c r="F164" s="1">
        <f t="shared" si="58"/>
        <v>4</v>
      </c>
      <c r="G164" s="1">
        <f t="shared" si="52"/>
        <v>400.0000000000133</v>
      </c>
      <c r="I164" s="1">
        <f t="shared" si="53"/>
        <v>99.999999999996703</v>
      </c>
      <c r="J164" s="1">
        <f t="shared" si="54"/>
        <v>0</v>
      </c>
      <c r="L164" s="1">
        <f t="shared" si="55"/>
        <v>99.999999999996703</v>
      </c>
      <c r="M164" s="1">
        <f t="shared" si="56"/>
        <v>0</v>
      </c>
      <c r="N164" s="1">
        <f t="shared" ca="1" si="57"/>
        <v>99.999999999991928</v>
      </c>
      <c r="O164" s="1">
        <f t="shared" si="59"/>
        <v>4</v>
      </c>
    </row>
    <row r="165" spans="1:15" x14ac:dyDescent="0.25">
      <c r="A165" s="21">
        <f t="shared" si="61"/>
        <v>146</v>
      </c>
      <c r="B165" s="1">
        <f t="shared" si="60"/>
        <v>100</v>
      </c>
      <c r="C165" s="1">
        <f t="shared" si="49"/>
        <v>100.00000000000267</v>
      </c>
      <c r="D165" s="1">
        <f t="shared" ca="1" si="50"/>
        <v>99.99999999999352</v>
      </c>
      <c r="E165" s="1">
        <f t="shared" ca="1" si="51"/>
        <v>400.00000000002603</v>
      </c>
      <c r="F165" s="1">
        <f t="shared" si="58"/>
        <v>4</v>
      </c>
      <c r="G165" s="1">
        <f t="shared" si="52"/>
        <v>400.00000000001069</v>
      </c>
      <c r="I165" s="1">
        <f t="shared" si="53"/>
        <v>99.999999999997385</v>
      </c>
      <c r="J165" s="1">
        <f t="shared" si="54"/>
        <v>0</v>
      </c>
      <c r="L165" s="1">
        <f t="shared" si="55"/>
        <v>99.999999999997385</v>
      </c>
      <c r="M165" s="1">
        <f t="shared" si="56"/>
        <v>0</v>
      </c>
      <c r="N165" s="1">
        <f t="shared" ca="1" si="57"/>
        <v>99.99999999999352</v>
      </c>
      <c r="O165" s="1">
        <f t="shared" si="59"/>
        <v>4</v>
      </c>
    </row>
    <row r="166" spans="1:15" x14ac:dyDescent="0.25">
      <c r="A166" s="21">
        <f t="shared" si="61"/>
        <v>147</v>
      </c>
      <c r="B166" s="1">
        <f t="shared" si="60"/>
        <v>100</v>
      </c>
      <c r="C166" s="1">
        <f t="shared" si="49"/>
        <v>100.00000000000215</v>
      </c>
      <c r="D166" s="1">
        <f t="shared" ca="1" si="50"/>
        <v>99.999999999994827</v>
      </c>
      <c r="E166" s="1">
        <f t="shared" ca="1" si="51"/>
        <v>400.00000000002086</v>
      </c>
      <c r="F166" s="1">
        <f t="shared" si="58"/>
        <v>4</v>
      </c>
      <c r="G166" s="1">
        <f t="shared" si="52"/>
        <v>400.00000000000858</v>
      </c>
      <c r="I166" s="1">
        <f t="shared" si="53"/>
        <v>99.999999999997897</v>
      </c>
      <c r="J166" s="1">
        <f t="shared" si="54"/>
        <v>0</v>
      </c>
      <c r="L166" s="1">
        <f t="shared" si="55"/>
        <v>99.999999999997897</v>
      </c>
      <c r="M166" s="1">
        <f t="shared" si="56"/>
        <v>0</v>
      </c>
      <c r="N166" s="1">
        <f t="shared" ca="1" si="57"/>
        <v>99.999999999994827</v>
      </c>
      <c r="O166" s="1">
        <f t="shared" si="59"/>
        <v>4</v>
      </c>
    </row>
    <row r="167" spans="1:15" x14ac:dyDescent="0.25">
      <c r="A167" s="21">
        <f t="shared" si="61"/>
        <v>148</v>
      </c>
      <c r="B167" s="1">
        <f t="shared" si="60"/>
        <v>100</v>
      </c>
      <c r="C167" s="1">
        <f t="shared" si="49"/>
        <v>100.00000000000172</v>
      </c>
      <c r="D167" s="1">
        <f t="shared" ca="1" si="50"/>
        <v>99.99999999999585</v>
      </c>
      <c r="E167" s="1">
        <f t="shared" ca="1" si="51"/>
        <v>400.00000000001671</v>
      </c>
      <c r="F167" s="1">
        <f t="shared" si="58"/>
        <v>4</v>
      </c>
      <c r="G167" s="1">
        <f t="shared" si="52"/>
        <v>400.00000000000688</v>
      </c>
      <c r="I167" s="1">
        <f t="shared" si="53"/>
        <v>99.999999999998295</v>
      </c>
      <c r="J167" s="1">
        <f t="shared" si="54"/>
        <v>0</v>
      </c>
      <c r="L167" s="1">
        <f t="shared" si="55"/>
        <v>99.999999999998295</v>
      </c>
      <c r="M167" s="1">
        <f t="shared" si="56"/>
        <v>0</v>
      </c>
      <c r="N167" s="1">
        <f t="shared" ca="1" si="57"/>
        <v>99.99999999999585</v>
      </c>
      <c r="O167" s="1">
        <f t="shared" si="59"/>
        <v>4</v>
      </c>
    </row>
    <row r="168" spans="1:15" x14ac:dyDescent="0.25">
      <c r="A168" s="21">
        <f t="shared" si="61"/>
        <v>149</v>
      </c>
      <c r="B168" s="1">
        <f t="shared" si="60"/>
        <v>100</v>
      </c>
      <c r="C168" s="1">
        <f t="shared" si="49"/>
        <v>100.00000000000138</v>
      </c>
      <c r="D168" s="1">
        <f t="shared" ca="1" si="50"/>
        <v>99.999999999996703</v>
      </c>
      <c r="E168" s="1">
        <f t="shared" ca="1" si="51"/>
        <v>400.00000000001342</v>
      </c>
      <c r="F168" s="1">
        <f t="shared" si="58"/>
        <v>4</v>
      </c>
      <c r="G168" s="1">
        <f t="shared" si="52"/>
        <v>400.00000000000551</v>
      </c>
      <c r="I168" s="1">
        <f t="shared" si="53"/>
        <v>99.999999999998636</v>
      </c>
      <c r="J168" s="1">
        <f t="shared" si="54"/>
        <v>0</v>
      </c>
      <c r="L168" s="1">
        <f t="shared" si="55"/>
        <v>99.999999999998636</v>
      </c>
      <c r="M168" s="1">
        <f t="shared" si="56"/>
        <v>0</v>
      </c>
      <c r="N168" s="1">
        <f t="shared" ca="1" si="57"/>
        <v>99.999999999996703</v>
      </c>
      <c r="O168" s="1">
        <f t="shared" si="59"/>
        <v>4</v>
      </c>
    </row>
    <row r="169" spans="1:15" x14ac:dyDescent="0.25">
      <c r="A169" s="21">
        <f t="shared" si="61"/>
        <v>150</v>
      </c>
      <c r="B169" s="1">
        <f t="shared" si="60"/>
        <v>100</v>
      </c>
      <c r="C169" s="1">
        <f t="shared" si="49"/>
        <v>100.00000000000111</v>
      </c>
      <c r="D169" s="1">
        <f t="shared" ca="1" si="50"/>
        <v>99.999999999997385</v>
      </c>
      <c r="E169" s="1">
        <f t="shared" ca="1" si="51"/>
        <v>400.0000000000108</v>
      </c>
      <c r="F169" s="1">
        <f t="shared" si="58"/>
        <v>4</v>
      </c>
      <c r="G169" s="1">
        <f t="shared" si="52"/>
        <v>400.00000000000443</v>
      </c>
      <c r="I169" s="1">
        <f t="shared" si="53"/>
        <v>99.99999999999892</v>
      </c>
      <c r="J169" s="1">
        <f t="shared" si="54"/>
        <v>0</v>
      </c>
      <c r="L169" s="1">
        <f t="shared" si="55"/>
        <v>99.99999999999892</v>
      </c>
      <c r="M169" s="1">
        <f t="shared" si="56"/>
        <v>0</v>
      </c>
      <c r="N169" s="1">
        <f t="shared" ca="1" si="57"/>
        <v>99.999999999997385</v>
      </c>
      <c r="O169" s="1">
        <f t="shared" si="59"/>
        <v>4</v>
      </c>
    </row>
    <row r="170" spans="1:15" x14ac:dyDescent="0.25">
      <c r="A170" s="21">
        <f t="shared" si="61"/>
        <v>151</v>
      </c>
      <c r="B170" s="1">
        <f t="shared" si="60"/>
        <v>100</v>
      </c>
      <c r="C170" s="1">
        <f t="shared" si="49"/>
        <v>100.0000000000009</v>
      </c>
      <c r="D170" s="1">
        <f t="shared" ca="1" si="50"/>
        <v>99.999999999997897</v>
      </c>
      <c r="E170" s="1">
        <f t="shared" ca="1" si="51"/>
        <v>400.0000000000087</v>
      </c>
      <c r="F170" s="1">
        <f t="shared" si="58"/>
        <v>4</v>
      </c>
      <c r="G170" s="1">
        <f t="shared" si="52"/>
        <v>400.00000000000358</v>
      </c>
      <c r="I170" s="1">
        <f t="shared" si="53"/>
        <v>99.999999999999147</v>
      </c>
      <c r="J170" s="1">
        <f t="shared" si="54"/>
        <v>0</v>
      </c>
      <c r="L170" s="1">
        <f t="shared" si="55"/>
        <v>99.999999999999147</v>
      </c>
      <c r="M170" s="1">
        <f t="shared" si="56"/>
        <v>0</v>
      </c>
      <c r="N170" s="1">
        <f t="shared" ca="1" si="57"/>
        <v>99.999999999997897</v>
      </c>
      <c r="O170" s="1">
        <f t="shared" si="59"/>
        <v>4</v>
      </c>
    </row>
    <row r="171" spans="1:15" x14ac:dyDescent="0.25">
      <c r="A171" s="21">
        <f t="shared" si="61"/>
        <v>152</v>
      </c>
      <c r="B171" s="1">
        <f t="shared" si="60"/>
        <v>100</v>
      </c>
      <c r="C171" s="1">
        <f t="shared" si="49"/>
        <v>100.00000000000072</v>
      </c>
      <c r="D171" s="1">
        <f t="shared" ca="1" si="50"/>
        <v>99.999999999998295</v>
      </c>
      <c r="E171" s="1">
        <f t="shared" ca="1" si="51"/>
        <v>400.00000000000699</v>
      </c>
      <c r="F171" s="1">
        <f t="shared" si="58"/>
        <v>4</v>
      </c>
      <c r="G171" s="1">
        <f t="shared" si="52"/>
        <v>400.0000000000029</v>
      </c>
      <c r="I171" s="1">
        <f t="shared" si="53"/>
        <v>99.999999999999318</v>
      </c>
      <c r="J171" s="1">
        <f t="shared" si="54"/>
        <v>0</v>
      </c>
      <c r="L171" s="1">
        <f t="shared" si="55"/>
        <v>99.999999999999318</v>
      </c>
      <c r="M171" s="1">
        <f t="shared" si="56"/>
        <v>0</v>
      </c>
      <c r="N171" s="1">
        <f t="shared" ca="1" si="57"/>
        <v>99.999999999998295</v>
      </c>
      <c r="O171" s="1">
        <f t="shared" si="59"/>
        <v>4</v>
      </c>
    </row>
    <row r="172" spans="1:15" x14ac:dyDescent="0.25">
      <c r="A172" s="21">
        <f t="shared" si="61"/>
        <v>153</v>
      </c>
      <c r="B172" s="1">
        <f t="shared" si="60"/>
        <v>100</v>
      </c>
      <c r="C172" s="1">
        <f t="shared" si="49"/>
        <v>100.00000000000058</v>
      </c>
      <c r="D172" s="1">
        <f t="shared" ca="1" si="50"/>
        <v>99.999999999998636</v>
      </c>
      <c r="E172" s="1">
        <f t="shared" ca="1" si="51"/>
        <v>400.00000000000563</v>
      </c>
      <c r="F172" s="1">
        <f t="shared" si="58"/>
        <v>4</v>
      </c>
      <c r="G172" s="1">
        <f t="shared" si="52"/>
        <v>400.00000000000233</v>
      </c>
      <c r="I172" s="1">
        <f t="shared" si="53"/>
        <v>99.999999999999432</v>
      </c>
      <c r="J172" s="1">
        <f t="shared" si="54"/>
        <v>0</v>
      </c>
      <c r="L172" s="1">
        <f t="shared" si="55"/>
        <v>99.999999999999432</v>
      </c>
      <c r="M172" s="1">
        <f t="shared" si="56"/>
        <v>0</v>
      </c>
      <c r="N172" s="1">
        <f t="shared" ca="1" si="57"/>
        <v>99.999999999998636</v>
      </c>
      <c r="O172" s="1">
        <f t="shared" si="59"/>
        <v>4</v>
      </c>
    </row>
    <row r="173" spans="1:15" x14ac:dyDescent="0.25">
      <c r="A173" s="21">
        <f t="shared" si="61"/>
        <v>154</v>
      </c>
      <c r="B173" s="1">
        <f t="shared" si="60"/>
        <v>100</v>
      </c>
      <c r="C173" s="1">
        <f t="shared" si="49"/>
        <v>100.00000000000047</v>
      </c>
      <c r="D173" s="1">
        <f t="shared" ca="1" si="50"/>
        <v>99.99999999999892</v>
      </c>
      <c r="E173" s="1">
        <f t="shared" ca="1" si="51"/>
        <v>400.00000000000455</v>
      </c>
      <c r="F173" s="1">
        <f t="shared" si="58"/>
        <v>4</v>
      </c>
      <c r="G173" s="1">
        <f t="shared" si="52"/>
        <v>400.00000000000188</v>
      </c>
      <c r="I173" s="1">
        <f t="shared" si="53"/>
        <v>99.999999999999545</v>
      </c>
      <c r="J173" s="1">
        <f t="shared" si="54"/>
        <v>0</v>
      </c>
      <c r="L173" s="1">
        <f t="shared" si="55"/>
        <v>99.999999999999545</v>
      </c>
      <c r="M173" s="1">
        <f t="shared" si="56"/>
        <v>0</v>
      </c>
      <c r="N173" s="1">
        <f t="shared" ca="1" si="57"/>
        <v>99.99999999999892</v>
      </c>
      <c r="O173" s="1">
        <f t="shared" si="59"/>
        <v>4</v>
      </c>
    </row>
    <row r="174" spans="1:15" x14ac:dyDescent="0.25">
      <c r="A174" s="21">
        <f t="shared" si="61"/>
        <v>155</v>
      </c>
      <c r="B174" s="1">
        <f t="shared" si="60"/>
        <v>100</v>
      </c>
      <c r="C174" s="1">
        <f t="shared" si="49"/>
        <v>100.00000000000038</v>
      </c>
      <c r="D174" s="1">
        <f t="shared" ca="1" si="50"/>
        <v>99.999999999999147</v>
      </c>
      <c r="E174" s="1">
        <f t="shared" ca="1" si="51"/>
        <v>400.00000000000369</v>
      </c>
      <c r="F174" s="1">
        <f t="shared" si="58"/>
        <v>4</v>
      </c>
      <c r="G174" s="1">
        <f t="shared" si="52"/>
        <v>400.00000000000153</v>
      </c>
      <c r="I174" s="1">
        <f t="shared" si="53"/>
        <v>99.999999999999659</v>
      </c>
      <c r="J174" s="1">
        <f t="shared" si="54"/>
        <v>0</v>
      </c>
      <c r="L174" s="1">
        <f t="shared" si="55"/>
        <v>99.999999999999659</v>
      </c>
      <c r="M174" s="1">
        <f t="shared" si="56"/>
        <v>0</v>
      </c>
      <c r="N174" s="1">
        <f t="shared" ca="1" si="57"/>
        <v>99.999999999999147</v>
      </c>
      <c r="O174" s="1">
        <f t="shared" si="59"/>
        <v>4</v>
      </c>
    </row>
    <row r="175" spans="1:15" x14ac:dyDescent="0.25">
      <c r="A175" s="21">
        <f t="shared" si="61"/>
        <v>156</v>
      </c>
      <c r="B175" s="1">
        <f t="shared" si="60"/>
        <v>100</v>
      </c>
      <c r="C175" s="1">
        <f t="shared" si="49"/>
        <v>100.00000000000031</v>
      </c>
      <c r="D175" s="1">
        <f t="shared" ca="1" si="50"/>
        <v>99.999999999999318</v>
      </c>
      <c r="E175" s="1">
        <f t="shared" ca="1" si="51"/>
        <v>400.00000000000301</v>
      </c>
      <c r="F175" s="1">
        <f t="shared" si="58"/>
        <v>4</v>
      </c>
      <c r="G175" s="1">
        <f t="shared" si="52"/>
        <v>400.00000000000125</v>
      </c>
      <c r="I175" s="1">
        <f t="shared" si="53"/>
        <v>99.999999999999716</v>
      </c>
      <c r="J175" s="1">
        <f t="shared" si="54"/>
        <v>0</v>
      </c>
      <c r="L175" s="1">
        <f t="shared" si="55"/>
        <v>99.999999999999716</v>
      </c>
      <c r="M175" s="1">
        <f t="shared" si="56"/>
        <v>0</v>
      </c>
      <c r="N175" s="1">
        <f t="shared" ca="1" si="57"/>
        <v>99.999999999999318</v>
      </c>
      <c r="O175" s="1">
        <f t="shared" si="59"/>
        <v>4</v>
      </c>
    </row>
    <row r="176" spans="1:15" x14ac:dyDescent="0.25">
      <c r="A176" s="21">
        <f t="shared" si="61"/>
        <v>157</v>
      </c>
      <c r="B176" s="1">
        <f t="shared" si="60"/>
        <v>100</v>
      </c>
      <c r="C176" s="1">
        <f t="shared" si="49"/>
        <v>100.00000000000026</v>
      </c>
      <c r="D176" s="1">
        <f t="shared" ca="1" si="50"/>
        <v>99.999999999999432</v>
      </c>
      <c r="E176" s="1">
        <f t="shared" ca="1" si="51"/>
        <v>400.00000000000244</v>
      </c>
      <c r="F176" s="1">
        <f t="shared" si="58"/>
        <v>4</v>
      </c>
      <c r="G176" s="1">
        <f t="shared" si="52"/>
        <v>400.00000000000102</v>
      </c>
      <c r="I176" s="1">
        <f t="shared" si="53"/>
        <v>99.999999999999773</v>
      </c>
      <c r="J176" s="1">
        <f t="shared" si="54"/>
        <v>0</v>
      </c>
      <c r="L176" s="1">
        <f t="shared" si="55"/>
        <v>99.999999999999773</v>
      </c>
      <c r="M176" s="1">
        <f t="shared" si="56"/>
        <v>0</v>
      </c>
      <c r="N176" s="1">
        <f t="shared" ca="1" si="57"/>
        <v>99.999999999999432</v>
      </c>
      <c r="O176" s="1">
        <f t="shared" si="59"/>
        <v>4</v>
      </c>
    </row>
    <row r="177" spans="1:15" x14ac:dyDescent="0.25">
      <c r="A177" s="21">
        <f t="shared" si="61"/>
        <v>158</v>
      </c>
      <c r="B177" s="1">
        <f t="shared" si="60"/>
        <v>100</v>
      </c>
      <c r="C177" s="1">
        <f t="shared" si="49"/>
        <v>100.00000000000021</v>
      </c>
      <c r="D177" s="1">
        <f t="shared" ca="1" si="50"/>
        <v>99.999999999999545</v>
      </c>
      <c r="E177" s="1">
        <f t="shared" ca="1" si="51"/>
        <v>400.00000000000199</v>
      </c>
      <c r="F177" s="1">
        <f t="shared" si="58"/>
        <v>4</v>
      </c>
      <c r="G177" s="1">
        <f t="shared" si="52"/>
        <v>400.00000000000085</v>
      </c>
      <c r="I177" s="1">
        <f t="shared" si="53"/>
        <v>99.999999999999829</v>
      </c>
      <c r="J177" s="1">
        <f t="shared" si="54"/>
        <v>0</v>
      </c>
      <c r="L177" s="1">
        <f t="shared" si="55"/>
        <v>99.999999999999829</v>
      </c>
      <c r="M177" s="1">
        <f t="shared" si="56"/>
        <v>0</v>
      </c>
      <c r="N177" s="1">
        <f t="shared" ca="1" si="57"/>
        <v>99.999999999999545</v>
      </c>
      <c r="O177" s="1">
        <f t="shared" si="59"/>
        <v>4</v>
      </c>
    </row>
    <row r="178" spans="1:15" x14ac:dyDescent="0.25">
      <c r="A178" s="21">
        <f t="shared" si="61"/>
        <v>159</v>
      </c>
      <c r="B178" s="1">
        <f t="shared" si="60"/>
        <v>100</v>
      </c>
      <c r="C178" s="1">
        <f t="shared" si="49"/>
        <v>100.00000000000017</v>
      </c>
      <c r="D178" s="1">
        <f t="shared" ca="1" si="50"/>
        <v>99.999999999999659</v>
      </c>
      <c r="E178" s="1">
        <f t="shared" ca="1" si="51"/>
        <v>400.00000000000165</v>
      </c>
      <c r="F178" s="1">
        <f t="shared" si="58"/>
        <v>4</v>
      </c>
      <c r="G178" s="1">
        <f t="shared" si="52"/>
        <v>400.00000000000068</v>
      </c>
      <c r="I178" s="1">
        <f t="shared" si="53"/>
        <v>99.999999999999829</v>
      </c>
      <c r="J178" s="1">
        <f t="shared" si="54"/>
        <v>0</v>
      </c>
      <c r="L178" s="1">
        <f t="shared" si="55"/>
        <v>99.999999999999829</v>
      </c>
      <c r="M178" s="1">
        <f t="shared" si="56"/>
        <v>0</v>
      </c>
      <c r="N178" s="1">
        <f t="shared" ca="1" si="57"/>
        <v>99.999999999999659</v>
      </c>
      <c r="O178" s="1">
        <f t="shared" si="59"/>
        <v>4</v>
      </c>
    </row>
    <row r="179" spans="1:15" x14ac:dyDescent="0.25">
      <c r="A179" s="21">
        <f t="shared" si="61"/>
        <v>160</v>
      </c>
      <c r="B179" s="1">
        <f t="shared" si="60"/>
        <v>100</v>
      </c>
      <c r="C179" s="1">
        <f t="shared" si="49"/>
        <v>100.00000000000014</v>
      </c>
      <c r="D179" s="1">
        <f t="shared" ca="1" si="50"/>
        <v>99.999999999999716</v>
      </c>
      <c r="E179" s="1">
        <f t="shared" ca="1" si="51"/>
        <v>400.00000000000136</v>
      </c>
      <c r="F179" s="1">
        <f t="shared" si="58"/>
        <v>4</v>
      </c>
      <c r="G179" s="1">
        <f t="shared" si="52"/>
        <v>400.00000000000057</v>
      </c>
      <c r="I179" s="1">
        <f t="shared" si="53"/>
        <v>99.999999999999886</v>
      </c>
      <c r="J179" s="1">
        <f t="shared" si="54"/>
        <v>0</v>
      </c>
      <c r="L179" s="1">
        <f t="shared" si="55"/>
        <v>99.999999999999886</v>
      </c>
      <c r="M179" s="1">
        <f t="shared" si="56"/>
        <v>0</v>
      </c>
      <c r="N179" s="1">
        <f t="shared" ca="1" si="57"/>
        <v>99.999999999999716</v>
      </c>
      <c r="O179" s="1">
        <f t="shared" si="59"/>
        <v>4</v>
      </c>
    </row>
    <row r="180" spans="1:15" x14ac:dyDescent="0.25">
      <c r="A180" s="21">
        <f t="shared" si="61"/>
        <v>161</v>
      </c>
      <c r="B180" s="1">
        <f t="shared" si="60"/>
        <v>100</v>
      </c>
      <c r="C180" s="1">
        <f t="shared" ref="C180:C209" si="62">D$9*B180+(1-D$9)*C179</f>
        <v>100.00000000000011</v>
      </c>
      <c r="D180" s="1">
        <f t="shared" ref="D180:D209" ca="1" si="63">N180</f>
        <v>99.999999999999773</v>
      </c>
      <c r="E180" s="1">
        <f t="shared" ref="E180:E209" ca="1" si="64">E179+D180-B180</f>
        <v>400.00000000000114</v>
      </c>
      <c r="F180" s="1">
        <f t="shared" si="58"/>
        <v>4</v>
      </c>
      <c r="G180" s="1">
        <f t="shared" ref="G180:G209" si="65">F180*C180</f>
        <v>400.00000000000045</v>
      </c>
      <c r="I180" s="1">
        <f t="shared" ref="I180:I209" si="66">MAX(0,J179+B180+G180-G179)</f>
        <v>99.999999999999886</v>
      </c>
      <c r="J180" s="1">
        <f t="shared" ref="J180:J209" si="67">MIN(0,J179+B180+G180-G179)</f>
        <v>0</v>
      </c>
      <c r="L180" s="1">
        <f t="shared" ref="L180:L209" si="68">MAX(0,MIN(L$9,I180+M179))</f>
        <v>99.999999999999886</v>
      </c>
      <c r="M180" s="1">
        <f t="shared" ref="M180:M209" si="69">MAX(0,M179+I180-L180)</f>
        <v>0</v>
      </c>
      <c r="N180" s="1">
        <f t="shared" ref="N180:N209" ca="1" si="70">IF(A180&lt;=L$10,D$10,OFFSET(N180,-L$10,-2))</f>
        <v>99.999999999999773</v>
      </c>
      <c r="O180" s="1">
        <f t="shared" si="59"/>
        <v>4</v>
      </c>
    </row>
    <row r="181" spans="1:15" x14ac:dyDescent="0.25">
      <c r="A181" s="21">
        <f t="shared" si="61"/>
        <v>162</v>
      </c>
      <c r="B181" s="1">
        <f t="shared" si="60"/>
        <v>100</v>
      </c>
      <c r="C181" s="1">
        <f t="shared" si="62"/>
        <v>100.0000000000001</v>
      </c>
      <c r="D181" s="1">
        <f t="shared" ca="1" si="63"/>
        <v>99.999999999999829</v>
      </c>
      <c r="E181" s="1">
        <f t="shared" ca="1" si="64"/>
        <v>400.00000000000097</v>
      </c>
      <c r="F181" s="1">
        <f t="shared" si="58"/>
        <v>4</v>
      </c>
      <c r="G181" s="1">
        <f t="shared" si="65"/>
        <v>400.0000000000004</v>
      </c>
      <c r="I181" s="1">
        <f t="shared" si="66"/>
        <v>99.999999999999943</v>
      </c>
      <c r="J181" s="1">
        <f t="shared" si="67"/>
        <v>0</v>
      </c>
      <c r="L181" s="1">
        <f t="shared" si="68"/>
        <v>99.999999999999943</v>
      </c>
      <c r="M181" s="1">
        <f t="shared" si="69"/>
        <v>0</v>
      </c>
      <c r="N181" s="1">
        <f t="shared" ca="1" si="70"/>
        <v>99.999999999999829</v>
      </c>
      <c r="O181" s="1">
        <f t="shared" si="59"/>
        <v>4</v>
      </c>
    </row>
    <row r="182" spans="1:15" x14ac:dyDescent="0.25">
      <c r="A182" s="21">
        <f t="shared" si="61"/>
        <v>163</v>
      </c>
      <c r="B182" s="1">
        <f t="shared" si="60"/>
        <v>100</v>
      </c>
      <c r="C182" s="1">
        <f t="shared" si="62"/>
        <v>100.00000000000009</v>
      </c>
      <c r="D182" s="1">
        <f t="shared" ca="1" si="63"/>
        <v>99.999999999999829</v>
      </c>
      <c r="E182" s="1">
        <f t="shared" ca="1" si="64"/>
        <v>400.0000000000008</v>
      </c>
      <c r="F182" s="1">
        <f t="shared" si="58"/>
        <v>4</v>
      </c>
      <c r="G182" s="1">
        <f t="shared" si="65"/>
        <v>400.00000000000034</v>
      </c>
      <c r="I182" s="1">
        <f t="shared" si="66"/>
        <v>99.999999999999943</v>
      </c>
      <c r="J182" s="1">
        <f t="shared" si="67"/>
        <v>0</v>
      </c>
      <c r="L182" s="1">
        <f t="shared" si="68"/>
        <v>99.999999999999943</v>
      </c>
      <c r="M182" s="1">
        <f t="shared" si="69"/>
        <v>0</v>
      </c>
      <c r="N182" s="1">
        <f t="shared" ca="1" si="70"/>
        <v>99.999999999999829</v>
      </c>
      <c r="O182" s="1">
        <f t="shared" si="59"/>
        <v>4</v>
      </c>
    </row>
    <row r="183" spans="1:15" x14ac:dyDescent="0.25">
      <c r="A183" s="21">
        <f t="shared" si="61"/>
        <v>164</v>
      </c>
      <c r="B183" s="1">
        <f t="shared" si="60"/>
        <v>100</v>
      </c>
      <c r="C183" s="1">
        <f t="shared" si="62"/>
        <v>100.00000000000007</v>
      </c>
      <c r="D183" s="1">
        <f t="shared" ca="1" si="63"/>
        <v>99.999999999999886</v>
      </c>
      <c r="E183" s="1">
        <f t="shared" ca="1" si="64"/>
        <v>400.00000000000068</v>
      </c>
      <c r="F183" s="1">
        <f t="shared" si="58"/>
        <v>4</v>
      </c>
      <c r="G183" s="1">
        <f t="shared" si="65"/>
        <v>400.00000000000028</v>
      </c>
      <c r="I183" s="1">
        <f t="shared" si="66"/>
        <v>99.999999999999943</v>
      </c>
      <c r="J183" s="1">
        <f t="shared" si="67"/>
        <v>0</v>
      </c>
      <c r="L183" s="1">
        <f t="shared" si="68"/>
        <v>99.999999999999943</v>
      </c>
      <c r="M183" s="1">
        <f t="shared" si="69"/>
        <v>0</v>
      </c>
      <c r="N183" s="1">
        <f t="shared" ca="1" si="70"/>
        <v>99.999999999999886</v>
      </c>
      <c r="O183" s="1">
        <f t="shared" si="59"/>
        <v>4</v>
      </c>
    </row>
    <row r="184" spans="1:15" x14ac:dyDescent="0.25">
      <c r="A184" s="21">
        <f t="shared" si="61"/>
        <v>165</v>
      </c>
      <c r="B184" s="1">
        <f t="shared" si="60"/>
        <v>100</v>
      </c>
      <c r="C184" s="1">
        <f t="shared" si="62"/>
        <v>100.00000000000006</v>
      </c>
      <c r="D184" s="1">
        <f t="shared" ca="1" si="63"/>
        <v>99.999999999999886</v>
      </c>
      <c r="E184" s="1">
        <f t="shared" ca="1" si="64"/>
        <v>400.00000000000057</v>
      </c>
      <c r="F184" s="1">
        <f t="shared" si="58"/>
        <v>4</v>
      </c>
      <c r="G184" s="1">
        <f t="shared" si="65"/>
        <v>400.00000000000023</v>
      </c>
      <c r="I184" s="1">
        <f t="shared" si="66"/>
        <v>99.999999999999943</v>
      </c>
      <c r="J184" s="1">
        <f t="shared" si="67"/>
        <v>0</v>
      </c>
      <c r="L184" s="1">
        <f t="shared" si="68"/>
        <v>99.999999999999943</v>
      </c>
      <c r="M184" s="1">
        <f t="shared" si="69"/>
        <v>0</v>
      </c>
      <c r="N184" s="1">
        <f t="shared" ca="1" si="70"/>
        <v>99.999999999999886</v>
      </c>
      <c r="O184" s="1">
        <f t="shared" si="59"/>
        <v>4</v>
      </c>
    </row>
    <row r="185" spans="1:15" x14ac:dyDescent="0.25">
      <c r="A185" s="21">
        <f t="shared" si="61"/>
        <v>166</v>
      </c>
      <c r="B185" s="1">
        <f t="shared" si="60"/>
        <v>100</v>
      </c>
      <c r="C185" s="1">
        <f t="shared" si="62"/>
        <v>100.00000000000006</v>
      </c>
      <c r="D185" s="1">
        <f t="shared" ca="1" si="63"/>
        <v>99.999999999999943</v>
      </c>
      <c r="E185" s="1">
        <f t="shared" ca="1" si="64"/>
        <v>400.00000000000051</v>
      </c>
      <c r="F185" s="1">
        <f t="shared" si="58"/>
        <v>4</v>
      </c>
      <c r="G185" s="1">
        <f t="shared" si="65"/>
        <v>400.00000000000023</v>
      </c>
      <c r="I185" s="1">
        <f t="shared" si="66"/>
        <v>100</v>
      </c>
      <c r="J185" s="1">
        <f t="shared" si="67"/>
        <v>0</v>
      </c>
      <c r="L185" s="1">
        <f t="shared" si="68"/>
        <v>100</v>
      </c>
      <c r="M185" s="1">
        <f t="shared" si="69"/>
        <v>0</v>
      </c>
      <c r="N185" s="1">
        <f t="shared" ca="1" si="70"/>
        <v>99.999999999999943</v>
      </c>
      <c r="O185" s="1">
        <f t="shared" si="59"/>
        <v>4</v>
      </c>
    </row>
    <row r="186" spans="1:15" x14ac:dyDescent="0.25">
      <c r="A186" s="21">
        <f t="shared" si="61"/>
        <v>167</v>
      </c>
      <c r="B186" s="1">
        <f t="shared" si="60"/>
        <v>100</v>
      </c>
      <c r="C186" s="1">
        <f t="shared" si="62"/>
        <v>100.00000000000006</v>
      </c>
      <c r="D186" s="1">
        <f t="shared" ca="1" si="63"/>
        <v>99.999999999999943</v>
      </c>
      <c r="E186" s="1">
        <f t="shared" ca="1" si="64"/>
        <v>400.00000000000045</v>
      </c>
      <c r="F186" s="1">
        <f t="shared" si="58"/>
        <v>4</v>
      </c>
      <c r="G186" s="1">
        <f t="shared" si="65"/>
        <v>400.00000000000023</v>
      </c>
      <c r="I186" s="1">
        <f t="shared" si="66"/>
        <v>100</v>
      </c>
      <c r="J186" s="1">
        <f t="shared" si="67"/>
        <v>0</v>
      </c>
      <c r="L186" s="1">
        <f t="shared" si="68"/>
        <v>100</v>
      </c>
      <c r="M186" s="1">
        <f t="shared" si="69"/>
        <v>0</v>
      </c>
      <c r="N186" s="1">
        <f t="shared" ca="1" si="70"/>
        <v>99.999999999999943</v>
      </c>
      <c r="O186" s="1">
        <f t="shared" si="59"/>
        <v>4</v>
      </c>
    </row>
    <row r="187" spans="1:15" x14ac:dyDescent="0.25">
      <c r="A187" s="21">
        <f t="shared" si="61"/>
        <v>168</v>
      </c>
      <c r="B187" s="1">
        <f t="shared" si="60"/>
        <v>100</v>
      </c>
      <c r="C187" s="1">
        <f t="shared" si="62"/>
        <v>100.00000000000006</v>
      </c>
      <c r="D187" s="1">
        <f t="shared" ca="1" si="63"/>
        <v>99.999999999999943</v>
      </c>
      <c r="E187" s="1">
        <f t="shared" ca="1" si="64"/>
        <v>400.0000000000004</v>
      </c>
      <c r="F187" s="1">
        <f t="shared" si="58"/>
        <v>4</v>
      </c>
      <c r="G187" s="1">
        <f t="shared" si="65"/>
        <v>400.00000000000023</v>
      </c>
      <c r="I187" s="1">
        <f t="shared" si="66"/>
        <v>100</v>
      </c>
      <c r="J187" s="1">
        <f t="shared" si="67"/>
        <v>0</v>
      </c>
      <c r="L187" s="1">
        <f t="shared" si="68"/>
        <v>100</v>
      </c>
      <c r="M187" s="1">
        <f t="shared" si="69"/>
        <v>0</v>
      </c>
      <c r="N187" s="1">
        <f t="shared" ca="1" si="70"/>
        <v>99.999999999999943</v>
      </c>
      <c r="O187" s="1">
        <f t="shared" si="59"/>
        <v>4</v>
      </c>
    </row>
    <row r="188" spans="1:15" x14ac:dyDescent="0.25">
      <c r="A188" s="21">
        <f t="shared" si="61"/>
        <v>169</v>
      </c>
      <c r="B188" s="1">
        <f t="shared" si="60"/>
        <v>100</v>
      </c>
      <c r="C188" s="1">
        <f t="shared" si="62"/>
        <v>100.00000000000006</v>
      </c>
      <c r="D188" s="1">
        <f t="shared" ca="1" si="63"/>
        <v>99.999999999999943</v>
      </c>
      <c r="E188" s="1">
        <f t="shared" ca="1" si="64"/>
        <v>400.00000000000034</v>
      </c>
      <c r="F188" s="1">
        <f t="shared" si="58"/>
        <v>4</v>
      </c>
      <c r="G188" s="1">
        <f t="shared" si="65"/>
        <v>400.00000000000023</v>
      </c>
      <c r="I188" s="1">
        <f t="shared" si="66"/>
        <v>100</v>
      </c>
      <c r="J188" s="1">
        <f t="shared" si="67"/>
        <v>0</v>
      </c>
      <c r="L188" s="1">
        <f t="shared" si="68"/>
        <v>100</v>
      </c>
      <c r="M188" s="1">
        <f t="shared" si="69"/>
        <v>0</v>
      </c>
      <c r="N188" s="1">
        <f t="shared" ca="1" si="70"/>
        <v>99.999999999999943</v>
      </c>
      <c r="O188" s="1">
        <f t="shared" si="59"/>
        <v>4</v>
      </c>
    </row>
    <row r="189" spans="1:15" x14ac:dyDescent="0.25">
      <c r="A189" s="21">
        <f t="shared" si="61"/>
        <v>170</v>
      </c>
      <c r="B189" s="1">
        <f t="shared" si="60"/>
        <v>100</v>
      </c>
      <c r="C189" s="1">
        <f t="shared" si="62"/>
        <v>100.00000000000006</v>
      </c>
      <c r="D189" s="1">
        <f t="shared" ca="1" si="63"/>
        <v>100</v>
      </c>
      <c r="E189" s="1">
        <f t="shared" ca="1" si="64"/>
        <v>400.00000000000034</v>
      </c>
      <c r="F189" s="1">
        <f t="shared" si="58"/>
        <v>4</v>
      </c>
      <c r="G189" s="1">
        <f t="shared" si="65"/>
        <v>400.00000000000023</v>
      </c>
      <c r="I189" s="1">
        <f t="shared" si="66"/>
        <v>100</v>
      </c>
      <c r="J189" s="1">
        <f t="shared" si="67"/>
        <v>0</v>
      </c>
      <c r="L189" s="1">
        <f t="shared" si="68"/>
        <v>100</v>
      </c>
      <c r="M189" s="1">
        <f t="shared" si="69"/>
        <v>0</v>
      </c>
      <c r="N189" s="1">
        <f t="shared" ca="1" si="70"/>
        <v>100</v>
      </c>
      <c r="O189" s="1">
        <f t="shared" si="59"/>
        <v>4</v>
      </c>
    </row>
    <row r="190" spans="1:15" x14ac:dyDescent="0.25">
      <c r="A190" s="21">
        <f t="shared" si="61"/>
        <v>171</v>
      </c>
      <c r="B190" s="1">
        <f t="shared" si="60"/>
        <v>100</v>
      </c>
      <c r="C190" s="1">
        <f t="shared" si="62"/>
        <v>100.00000000000006</v>
      </c>
      <c r="D190" s="1">
        <f t="shared" ca="1" si="63"/>
        <v>100</v>
      </c>
      <c r="E190" s="1">
        <f t="shared" ca="1" si="64"/>
        <v>400.00000000000034</v>
      </c>
      <c r="F190" s="1">
        <f t="shared" si="58"/>
        <v>4</v>
      </c>
      <c r="G190" s="1">
        <f t="shared" si="65"/>
        <v>400.00000000000023</v>
      </c>
      <c r="I190" s="1">
        <f t="shared" si="66"/>
        <v>100</v>
      </c>
      <c r="J190" s="1">
        <f t="shared" si="67"/>
        <v>0</v>
      </c>
      <c r="L190" s="1">
        <f t="shared" si="68"/>
        <v>100</v>
      </c>
      <c r="M190" s="1">
        <f t="shared" si="69"/>
        <v>0</v>
      </c>
      <c r="N190" s="1">
        <f t="shared" ca="1" si="70"/>
        <v>100</v>
      </c>
      <c r="O190" s="1">
        <f t="shared" si="59"/>
        <v>4</v>
      </c>
    </row>
    <row r="191" spans="1:15" x14ac:dyDescent="0.25">
      <c r="A191" s="21">
        <f t="shared" si="61"/>
        <v>172</v>
      </c>
      <c r="B191" s="1">
        <f t="shared" si="60"/>
        <v>100</v>
      </c>
      <c r="C191" s="1">
        <f t="shared" si="62"/>
        <v>100.00000000000006</v>
      </c>
      <c r="D191" s="1">
        <f t="shared" ca="1" si="63"/>
        <v>100</v>
      </c>
      <c r="E191" s="1">
        <f t="shared" ca="1" si="64"/>
        <v>400.00000000000034</v>
      </c>
      <c r="F191" s="1">
        <f t="shared" si="58"/>
        <v>4</v>
      </c>
      <c r="G191" s="1">
        <f t="shared" si="65"/>
        <v>400.00000000000023</v>
      </c>
      <c r="I191" s="1">
        <f t="shared" si="66"/>
        <v>100</v>
      </c>
      <c r="J191" s="1">
        <f t="shared" si="67"/>
        <v>0</v>
      </c>
      <c r="L191" s="1">
        <f t="shared" si="68"/>
        <v>100</v>
      </c>
      <c r="M191" s="1">
        <f t="shared" si="69"/>
        <v>0</v>
      </c>
      <c r="N191" s="1">
        <f t="shared" ca="1" si="70"/>
        <v>100</v>
      </c>
      <c r="O191" s="1">
        <f t="shared" si="59"/>
        <v>4</v>
      </c>
    </row>
    <row r="192" spans="1:15" x14ac:dyDescent="0.25">
      <c r="A192" s="21">
        <f t="shared" si="61"/>
        <v>173</v>
      </c>
      <c r="B192" s="1">
        <f t="shared" si="60"/>
        <v>100</v>
      </c>
      <c r="C192" s="1">
        <f t="shared" si="62"/>
        <v>100.00000000000006</v>
      </c>
      <c r="D192" s="1">
        <f t="shared" ca="1" si="63"/>
        <v>100</v>
      </c>
      <c r="E192" s="1">
        <f t="shared" ca="1" si="64"/>
        <v>400.00000000000034</v>
      </c>
      <c r="F192" s="1">
        <f t="shared" si="58"/>
        <v>4</v>
      </c>
      <c r="G192" s="1">
        <f t="shared" si="65"/>
        <v>400.00000000000023</v>
      </c>
      <c r="I192" s="1">
        <f t="shared" si="66"/>
        <v>100</v>
      </c>
      <c r="J192" s="1">
        <f t="shared" si="67"/>
        <v>0</v>
      </c>
      <c r="L192" s="1">
        <f t="shared" si="68"/>
        <v>100</v>
      </c>
      <c r="M192" s="1">
        <f t="shared" si="69"/>
        <v>0</v>
      </c>
      <c r="N192" s="1">
        <f t="shared" ca="1" si="70"/>
        <v>100</v>
      </c>
      <c r="O192" s="1">
        <f t="shared" si="59"/>
        <v>4</v>
      </c>
    </row>
    <row r="193" spans="1:15" x14ac:dyDescent="0.25">
      <c r="A193" s="21">
        <f t="shared" si="61"/>
        <v>174</v>
      </c>
      <c r="B193" s="1">
        <f t="shared" ref="B193:B209" si="71">D$10</f>
        <v>100</v>
      </c>
      <c r="C193" s="1">
        <f t="shared" si="62"/>
        <v>100.00000000000006</v>
      </c>
      <c r="D193" s="1">
        <f t="shared" ca="1" si="63"/>
        <v>100</v>
      </c>
      <c r="E193" s="1">
        <f t="shared" ca="1" si="64"/>
        <v>400.00000000000034</v>
      </c>
      <c r="F193" s="1">
        <f t="shared" si="58"/>
        <v>4</v>
      </c>
      <c r="G193" s="1">
        <f t="shared" si="65"/>
        <v>400.00000000000023</v>
      </c>
      <c r="I193" s="1">
        <f t="shared" si="66"/>
        <v>100</v>
      </c>
      <c r="J193" s="1">
        <f t="shared" si="67"/>
        <v>0</v>
      </c>
      <c r="L193" s="1">
        <f t="shared" si="68"/>
        <v>100</v>
      </c>
      <c r="M193" s="1">
        <f t="shared" si="69"/>
        <v>0</v>
      </c>
      <c r="N193" s="1">
        <f t="shared" ca="1" si="70"/>
        <v>100</v>
      </c>
      <c r="O193" s="1">
        <f t="shared" si="59"/>
        <v>4</v>
      </c>
    </row>
    <row r="194" spans="1:15" x14ac:dyDescent="0.25">
      <c r="A194" s="21">
        <f t="shared" si="61"/>
        <v>175</v>
      </c>
      <c r="B194" s="1">
        <f t="shared" si="71"/>
        <v>100</v>
      </c>
      <c r="C194" s="1">
        <f t="shared" si="62"/>
        <v>100.00000000000006</v>
      </c>
      <c r="D194" s="1">
        <f t="shared" ca="1" si="63"/>
        <v>100</v>
      </c>
      <c r="E194" s="1">
        <f t="shared" ca="1" si="64"/>
        <v>400.00000000000034</v>
      </c>
      <c r="F194" s="1">
        <f t="shared" si="58"/>
        <v>4</v>
      </c>
      <c r="G194" s="1">
        <f t="shared" si="65"/>
        <v>400.00000000000023</v>
      </c>
      <c r="I194" s="1">
        <f t="shared" si="66"/>
        <v>100</v>
      </c>
      <c r="J194" s="1">
        <f t="shared" si="67"/>
        <v>0</v>
      </c>
      <c r="L194" s="1">
        <f t="shared" si="68"/>
        <v>100</v>
      </c>
      <c r="M194" s="1">
        <f t="shared" si="69"/>
        <v>0</v>
      </c>
      <c r="N194" s="1">
        <f t="shared" ca="1" si="70"/>
        <v>100</v>
      </c>
      <c r="O194" s="1">
        <f t="shared" si="59"/>
        <v>4</v>
      </c>
    </row>
    <row r="195" spans="1:15" x14ac:dyDescent="0.25">
      <c r="A195" s="21">
        <f t="shared" si="61"/>
        <v>176</v>
      </c>
      <c r="B195" s="1">
        <f t="shared" si="71"/>
        <v>100</v>
      </c>
      <c r="C195" s="1">
        <f t="shared" si="62"/>
        <v>100.00000000000006</v>
      </c>
      <c r="D195" s="1">
        <f t="shared" ca="1" si="63"/>
        <v>100</v>
      </c>
      <c r="E195" s="1">
        <f t="shared" ca="1" si="64"/>
        <v>400.00000000000034</v>
      </c>
      <c r="F195" s="1">
        <f t="shared" si="58"/>
        <v>4</v>
      </c>
      <c r="G195" s="1">
        <f t="shared" si="65"/>
        <v>400.00000000000023</v>
      </c>
      <c r="I195" s="1">
        <f t="shared" si="66"/>
        <v>100</v>
      </c>
      <c r="J195" s="1">
        <f t="shared" si="67"/>
        <v>0</v>
      </c>
      <c r="L195" s="1">
        <f t="shared" si="68"/>
        <v>100</v>
      </c>
      <c r="M195" s="1">
        <f t="shared" si="69"/>
        <v>0</v>
      </c>
      <c r="N195" s="1">
        <f t="shared" ca="1" si="70"/>
        <v>100</v>
      </c>
      <c r="O195" s="1">
        <f t="shared" si="59"/>
        <v>4</v>
      </c>
    </row>
    <row r="196" spans="1:15" x14ac:dyDescent="0.25">
      <c r="A196" s="21">
        <f t="shared" si="61"/>
        <v>177</v>
      </c>
      <c r="B196" s="1">
        <f t="shared" si="71"/>
        <v>100</v>
      </c>
      <c r="C196" s="1">
        <f t="shared" si="62"/>
        <v>100.00000000000006</v>
      </c>
      <c r="D196" s="1">
        <f t="shared" ca="1" si="63"/>
        <v>100</v>
      </c>
      <c r="E196" s="1">
        <f t="shared" ca="1" si="64"/>
        <v>400.00000000000034</v>
      </c>
      <c r="F196" s="1">
        <f t="shared" si="58"/>
        <v>4</v>
      </c>
      <c r="G196" s="1">
        <f t="shared" si="65"/>
        <v>400.00000000000023</v>
      </c>
      <c r="I196" s="1">
        <f t="shared" si="66"/>
        <v>100</v>
      </c>
      <c r="J196" s="1">
        <f t="shared" si="67"/>
        <v>0</v>
      </c>
      <c r="L196" s="1">
        <f t="shared" si="68"/>
        <v>100</v>
      </c>
      <c r="M196" s="1">
        <f t="shared" si="69"/>
        <v>0</v>
      </c>
      <c r="N196" s="1">
        <f t="shared" ca="1" si="70"/>
        <v>100</v>
      </c>
      <c r="O196" s="1">
        <f t="shared" si="59"/>
        <v>4</v>
      </c>
    </row>
    <row r="197" spans="1:15" x14ac:dyDescent="0.25">
      <c r="A197" s="21">
        <f t="shared" si="61"/>
        <v>178</v>
      </c>
      <c r="B197" s="1">
        <f t="shared" si="71"/>
        <v>100</v>
      </c>
      <c r="C197" s="1">
        <f t="shared" si="62"/>
        <v>100.00000000000006</v>
      </c>
      <c r="D197" s="1">
        <f t="shared" ca="1" si="63"/>
        <v>100</v>
      </c>
      <c r="E197" s="1">
        <f t="shared" ca="1" si="64"/>
        <v>400.00000000000034</v>
      </c>
      <c r="F197" s="1">
        <f t="shared" si="58"/>
        <v>4</v>
      </c>
      <c r="G197" s="1">
        <f t="shared" si="65"/>
        <v>400.00000000000023</v>
      </c>
      <c r="I197" s="1">
        <f t="shared" si="66"/>
        <v>100</v>
      </c>
      <c r="J197" s="1">
        <f t="shared" si="67"/>
        <v>0</v>
      </c>
      <c r="L197" s="1">
        <f t="shared" si="68"/>
        <v>100</v>
      </c>
      <c r="M197" s="1">
        <f t="shared" si="69"/>
        <v>0</v>
      </c>
      <c r="N197" s="1">
        <f t="shared" ca="1" si="70"/>
        <v>100</v>
      </c>
      <c r="O197" s="1">
        <f t="shared" si="59"/>
        <v>4</v>
      </c>
    </row>
    <row r="198" spans="1:15" x14ac:dyDescent="0.25">
      <c r="A198" s="21">
        <f t="shared" si="61"/>
        <v>179</v>
      </c>
      <c r="B198" s="1">
        <f t="shared" si="71"/>
        <v>100</v>
      </c>
      <c r="C198" s="1">
        <f t="shared" si="62"/>
        <v>100.00000000000006</v>
      </c>
      <c r="D198" s="1">
        <f t="shared" ca="1" si="63"/>
        <v>100</v>
      </c>
      <c r="E198" s="1">
        <f t="shared" ca="1" si="64"/>
        <v>400.00000000000034</v>
      </c>
      <c r="F198" s="1">
        <f t="shared" si="58"/>
        <v>4</v>
      </c>
      <c r="G198" s="1">
        <f t="shared" si="65"/>
        <v>400.00000000000023</v>
      </c>
      <c r="I198" s="1">
        <f t="shared" si="66"/>
        <v>100</v>
      </c>
      <c r="J198" s="1">
        <f t="shared" si="67"/>
        <v>0</v>
      </c>
      <c r="L198" s="1">
        <f t="shared" si="68"/>
        <v>100</v>
      </c>
      <c r="M198" s="1">
        <f t="shared" si="69"/>
        <v>0</v>
      </c>
      <c r="N198" s="1">
        <f t="shared" ca="1" si="70"/>
        <v>100</v>
      </c>
      <c r="O198" s="1">
        <f t="shared" si="59"/>
        <v>4</v>
      </c>
    </row>
    <row r="199" spans="1:15" x14ac:dyDescent="0.25">
      <c r="A199" s="21">
        <f t="shared" si="61"/>
        <v>180</v>
      </c>
      <c r="B199" s="1">
        <f t="shared" si="71"/>
        <v>100</v>
      </c>
      <c r="C199" s="1">
        <f t="shared" si="62"/>
        <v>100.00000000000006</v>
      </c>
      <c r="D199" s="1">
        <f t="shared" ca="1" si="63"/>
        <v>100</v>
      </c>
      <c r="E199" s="1">
        <f t="shared" ca="1" si="64"/>
        <v>400.00000000000034</v>
      </c>
      <c r="F199" s="1">
        <f t="shared" si="58"/>
        <v>4</v>
      </c>
      <c r="G199" s="1">
        <f t="shared" si="65"/>
        <v>400.00000000000023</v>
      </c>
      <c r="I199" s="1">
        <f t="shared" si="66"/>
        <v>100</v>
      </c>
      <c r="J199" s="1">
        <f t="shared" si="67"/>
        <v>0</v>
      </c>
      <c r="L199" s="1">
        <f t="shared" si="68"/>
        <v>100</v>
      </c>
      <c r="M199" s="1">
        <f t="shared" si="69"/>
        <v>0</v>
      </c>
      <c r="N199" s="1">
        <f t="shared" ca="1" si="70"/>
        <v>100</v>
      </c>
      <c r="O199" s="1">
        <f t="shared" si="59"/>
        <v>4</v>
      </c>
    </row>
    <row r="200" spans="1:15" x14ac:dyDescent="0.25">
      <c r="A200" s="21">
        <f t="shared" si="61"/>
        <v>181</v>
      </c>
      <c r="B200" s="1">
        <f t="shared" si="71"/>
        <v>100</v>
      </c>
      <c r="C200" s="1">
        <f t="shared" si="62"/>
        <v>100.00000000000006</v>
      </c>
      <c r="D200" s="1">
        <f t="shared" ca="1" si="63"/>
        <v>100</v>
      </c>
      <c r="E200" s="1">
        <f t="shared" ca="1" si="64"/>
        <v>400.00000000000034</v>
      </c>
      <c r="F200" s="1">
        <f t="shared" si="58"/>
        <v>4</v>
      </c>
      <c r="G200" s="1">
        <f t="shared" si="65"/>
        <v>400.00000000000023</v>
      </c>
      <c r="I200" s="1">
        <f t="shared" si="66"/>
        <v>100</v>
      </c>
      <c r="J200" s="1">
        <f t="shared" si="67"/>
        <v>0</v>
      </c>
      <c r="L200" s="1">
        <f t="shared" si="68"/>
        <v>100</v>
      </c>
      <c r="M200" s="1">
        <f t="shared" si="69"/>
        <v>0</v>
      </c>
      <c r="N200" s="1">
        <f t="shared" ca="1" si="70"/>
        <v>100</v>
      </c>
      <c r="O200" s="1">
        <f t="shared" si="59"/>
        <v>4</v>
      </c>
    </row>
    <row r="201" spans="1:15" x14ac:dyDescent="0.25">
      <c r="A201" s="21">
        <f t="shared" si="61"/>
        <v>182</v>
      </c>
      <c r="B201" s="1">
        <f t="shared" si="71"/>
        <v>100</v>
      </c>
      <c r="C201" s="1">
        <f t="shared" si="62"/>
        <v>100.00000000000006</v>
      </c>
      <c r="D201" s="1">
        <f t="shared" ca="1" si="63"/>
        <v>100</v>
      </c>
      <c r="E201" s="1">
        <f t="shared" ca="1" si="64"/>
        <v>400.00000000000034</v>
      </c>
      <c r="F201" s="1">
        <f t="shared" si="58"/>
        <v>4</v>
      </c>
      <c r="G201" s="1">
        <f t="shared" si="65"/>
        <v>400.00000000000023</v>
      </c>
      <c r="I201" s="1">
        <f t="shared" si="66"/>
        <v>100</v>
      </c>
      <c r="J201" s="1">
        <f t="shared" si="67"/>
        <v>0</v>
      </c>
      <c r="L201" s="1">
        <f t="shared" si="68"/>
        <v>100</v>
      </c>
      <c r="M201" s="1">
        <f t="shared" si="69"/>
        <v>0</v>
      </c>
      <c r="N201" s="1">
        <f t="shared" ca="1" si="70"/>
        <v>100</v>
      </c>
      <c r="O201" s="1">
        <f t="shared" si="59"/>
        <v>4</v>
      </c>
    </row>
    <row r="202" spans="1:15" x14ac:dyDescent="0.25">
      <c r="A202" s="21">
        <f t="shared" si="61"/>
        <v>183</v>
      </c>
      <c r="B202" s="1">
        <f t="shared" si="71"/>
        <v>100</v>
      </c>
      <c r="C202" s="1">
        <f t="shared" si="62"/>
        <v>100.00000000000006</v>
      </c>
      <c r="D202" s="1">
        <f t="shared" ca="1" si="63"/>
        <v>100</v>
      </c>
      <c r="E202" s="1">
        <f t="shared" ca="1" si="64"/>
        <v>400.00000000000034</v>
      </c>
      <c r="F202" s="1">
        <f t="shared" si="58"/>
        <v>4</v>
      </c>
      <c r="G202" s="1">
        <f t="shared" si="65"/>
        <v>400.00000000000023</v>
      </c>
      <c r="I202" s="1">
        <f t="shared" si="66"/>
        <v>100</v>
      </c>
      <c r="J202" s="1">
        <f t="shared" si="67"/>
        <v>0</v>
      </c>
      <c r="L202" s="1">
        <f t="shared" si="68"/>
        <v>100</v>
      </c>
      <c r="M202" s="1">
        <f t="shared" si="69"/>
        <v>0</v>
      </c>
      <c r="N202" s="1">
        <f t="shared" ca="1" si="70"/>
        <v>100</v>
      </c>
      <c r="O202" s="1">
        <f t="shared" si="59"/>
        <v>4</v>
      </c>
    </row>
    <row r="203" spans="1:15" x14ac:dyDescent="0.25">
      <c r="A203" s="21">
        <f t="shared" si="61"/>
        <v>184</v>
      </c>
      <c r="B203" s="1">
        <f t="shared" si="71"/>
        <v>100</v>
      </c>
      <c r="C203" s="1">
        <f t="shared" si="62"/>
        <v>100.00000000000006</v>
      </c>
      <c r="D203" s="1">
        <f t="shared" ca="1" si="63"/>
        <v>100</v>
      </c>
      <c r="E203" s="1">
        <f t="shared" ca="1" si="64"/>
        <v>400.00000000000034</v>
      </c>
      <c r="F203" s="1">
        <f t="shared" si="58"/>
        <v>4</v>
      </c>
      <c r="G203" s="1">
        <f t="shared" si="65"/>
        <v>400.00000000000023</v>
      </c>
      <c r="I203" s="1">
        <f t="shared" si="66"/>
        <v>100</v>
      </c>
      <c r="J203" s="1">
        <f t="shared" si="67"/>
        <v>0</v>
      </c>
      <c r="L203" s="1">
        <f t="shared" si="68"/>
        <v>100</v>
      </c>
      <c r="M203" s="1">
        <f t="shared" si="69"/>
        <v>0</v>
      </c>
      <c r="N203" s="1">
        <f t="shared" ca="1" si="70"/>
        <v>100</v>
      </c>
      <c r="O203" s="1">
        <f t="shared" si="59"/>
        <v>4</v>
      </c>
    </row>
    <row r="204" spans="1:15" x14ac:dyDescent="0.25">
      <c r="A204" s="21">
        <f t="shared" si="61"/>
        <v>185</v>
      </c>
      <c r="B204" s="1">
        <f t="shared" si="71"/>
        <v>100</v>
      </c>
      <c r="C204" s="1">
        <f t="shared" si="62"/>
        <v>100.00000000000006</v>
      </c>
      <c r="D204" s="1">
        <f t="shared" ca="1" si="63"/>
        <v>100</v>
      </c>
      <c r="E204" s="1">
        <f t="shared" ca="1" si="64"/>
        <v>400.00000000000034</v>
      </c>
      <c r="F204" s="1">
        <f t="shared" si="58"/>
        <v>4</v>
      </c>
      <c r="G204" s="1">
        <f t="shared" si="65"/>
        <v>400.00000000000023</v>
      </c>
      <c r="I204" s="1">
        <f t="shared" si="66"/>
        <v>100</v>
      </c>
      <c r="J204" s="1">
        <f t="shared" si="67"/>
        <v>0</v>
      </c>
      <c r="L204" s="1">
        <f t="shared" si="68"/>
        <v>100</v>
      </c>
      <c r="M204" s="1">
        <f t="shared" si="69"/>
        <v>0</v>
      </c>
      <c r="N204" s="1">
        <f t="shared" ca="1" si="70"/>
        <v>100</v>
      </c>
      <c r="O204" s="1">
        <f t="shared" si="59"/>
        <v>4</v>
      </c>
    </row>
    <row r="205" spans="1:15" x14ac:dyDescent="0.25">
      <c r="A205" s="21">
        <f t="shared" si="61"/>
        <v>186</v>
      </c>
      <c r="B205" s="1">
        <f t="shared" si="71"/>
        <v>100</v>
      </c>
      <c r="C205" s="1">
        <f t="shared" si="62"/>
        <v>100.00000000000006</v>
      </c>
      <c r="D205" s="1">
        <f t="shared" ca="1" si="63"/>
        <v>100</v>
      </c>
      <c r="E205" s="1">
        <f t="shared" ca="1" si="64"/>
        <v>400.00000000000034</v>
      </c>
      <c r="F205" s="1">
        <f t="shared" si="58"/>
        <v>4</v>
      </c>
      <c r="G205" s="1">
        <f t="shared" si="65"/>
        <v>400.00000000000023</v>
      </c>
      <c r="I205" s="1">
        <f t="shared" si="66"/>
        <v>100</v>
      </c>
      <c r="J205" s="1">
        <f t="shared" si="67"/>
        <v>0</v>
      </c>
      <c r="L205" s="1">
        <f t="shared" si="68"/>
        <v>100</v>
      </c>
      <c r="M205" s="1">
        <f t="shared" si="69"/>
        <v>0</v>
      </c>
      <c r="N205" s="1">
        <f t="shared" ca="1" si="70"/>
        <v>100</v>
      </c>
      <c r="O205" s="1">
        <f t="shared" si="59"/>
        <v>4</v>
      </c>
    </row>
    <row r="206" spans="1:15" x14ac:dyDescent="0.25">
      <c r="A206" s="21">
        <f t="shared" si="61"/>
        <v>187</v>
      </c>
      <c r="B206" s="1">
        <f t="shared" si="71"/>
        <v>100</v>
      </c>
      <c r="C206" s="1">
        <f t="shared" si="62"/>
        <v>100.00000000000006</v>
      </c>
      <c r="D206" s="1">
        <f t="shared" ca="1" si="63"/>
        <v>100</v>
      </c>
      <c r="E206" s="1">
        <f t="shared" ca="1" si="64"/>
        <v>400.00000000000034</v>
      </c>
      <c r="F206" s="1">
        <f t="shared" si="58"/>
        <v>4</v>
      </c>
      <c r="G206" s="1">
        <f t="shared" si="65"/>
        <v>400.00000000000023</v>
      </c>
      <c r="I206" s="1">
        <f t="shared" si="66"/>
        <v>100</v>
      </c>
      <c r="J206" s="1">
        <f t="shared" si="67"/>
        <v>0</v>
      </c>
      <c r="L206" s="1">
        <f t="shared" si="68"/>
        <v>100</v>
      </c>
      <c r="M206" s="1">
        <f t="shared" si="69"/>
        <v>0</v>
      </c>
      <c r="N206" s="1">
        <f t="shared" ca="1" si="70"/>
        <v>100</v>
      </c>
      <c r="O206" s="1">
        <f t="shared" si="59"/>
        <v>4</v>
      </c>
    </row>
    <row r="207" spans="1:15" x14ac:dyDescent="0.25">
      <c r="A207" s="21">
        <f t="shared" si="61"/>
        <v>188</v>
      </c>
      <c r="B207" s="1">
        <f t="shared" si="71"/>
        <v>100</v>
      </c>
      <c r="C207" s="1">
        <f t="shared" si="62"/>
        <v>100.00000000000006</v>
      </c>
      <c r="D207" s="1">
        <f t="shared" ca="1" si="63"/>
        <v>100</v>
      </c>
      <c r="E207" s="1">
        <f t="shared" ca="1" si="64"/>
        <v>400.00000000000034</v>
      </c>
      <c r="F207" s="1">
        <f t="shared" si="58"/>
        <v>4</v>
      </c>
      <c r="G207" s="1">
        <f t="shared" si="65"/>
        <v>400.00000000000023</v>
      </c>
      <c r="I207" s="1">
        <f t="shared" si="66"/>
        <v>100</v>
      </c>
      <c r="J207" s="1">
        <f t="shared" si="67"/>
        <v>0</v>
      </c>
      <c r="L207" s="1">
        <f t="shared" si="68"/>
        <v>100</v>
      </c>
      <c r="M207" s="1">
        <f t="shared" si="69"/>
        <v>0</v>
      </c>
      <c r="N207" s="1">
        <f t="shared" ca="1" si="70"/>
        <v>100</v>
      </c>
      <c r="O207" s="1">
        <f t="shared" si="59"/>
        <v>4</v>
      </c>
    </row>
    <row r="208" spans="1:15" x14ac:dyDescent="0.25">
      <c r="A208" s="21">
        <f t="shared" si="61"/>
        <v>189</v>
      </c>
      <c r="B208" s="1">
        <f t="shared" si="71"/>
        <v>100</v>
      </c>
      <c r="C208" s="1">
        <f t="shared" si="62"/>
        <v>100.00000000000006</v>
      </c>
      <c r="D208" s="1">
        <f t="shared" ca="1" si="63"/>
        <v>100</v>
      </c>
      <c r="E208" s="1">
        <f t="shared" ca="1" si="64"/>
        <v>400.00000000000034</v>
      </c>
      <c r="F208" s="1">
        <f t="shared" si="58"/>
        <v>4</v>
      </c>
      <c r="G208" s="1">
        <f t="shared" si="65"/>
        <v>400.00000000000023</v>
      </c>
      <c r="I208" s="1">
        <f t="shared" si="66"/>
        <v>100</v>
      </c>
      <c r="J208" s="1">
        <f t="shared" si="67"/>
        <v>0</v>
      </c>
      <c r="L208" s="1">
        <f t="shared" si="68"/>
        <v>100</v>
      </c>
      <c r="M208" s="1">
        <f t="shared" si="69"/>
        <v>0</v>
      </c>
      <c r="N208" s="1">
        <f t="shared" ca="1" si="70"/>
        <v>100</v>
      </c>
      <c r="O208" s="1">
        <f t="shared" si="59"/>
        <v>4</v>
      </c>
    </row>
    <row r="209" spans="1:15" x14ac:dyDescent="0.25">
      <c r="A209" s="21">
        <f t="shared" si="61"/>
        <v>190</v>
      </c>
      <c r="B209" s="1">
        <f t="shared" si="71"/>
        <v>100</v>
      </c>
      <c r="C209" s="1">
        <f t="shared" si="62"/>
        <v>100.00000000000006</v>
      </c>
      <c r="D209" s="1">
        <f t="shared" ca="1" si="63"/>
        <v>100</v>
      </c>
      <c r="E209" s="1">
        <f t="shared" ca="1" si="64"/>
        <v>400.00000000000034</v>
      </c>
      <c r="F209" s="1">
        <f t="shared" si="58"/>
        <v>4</v>
      </c>
      <c r="G209" s="1">
        <f t="shared" si="65"/>
        <v>400.00000000000023</v>
      </c>
      <c r="I209" s="1">
        <f t="shared" si="66"/>
        <v>100</v>
      </c>
      <c r="J209" s="1">
        <f t="shared" si="67"/>
        <v>0</v>
      </c>
      <c r="L209" s="1">
        <f t="shared" si="68"/>
        <v>100</v>
      </c>
      <c r="M209" s="1">
        <f t="shared" si="69"/>
        <v>0</v>
      </c>
      <c r="N209" s="1">
        <f t="shared" ca="1" si="70"/>
        <v>100</v>
      </c>
      <c r="O209" s="1">
        <f t="shared" si="59"/>
        <v>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35"/>
  <sheetViews>
    <sheetView tabSelected="1" topLeftCell="L49" workbookViewId="0">
      <selection activeCell="AA53" sqref="AA53"/>
    </sheetView>
  </sheetViews>
  <sheetFormatPr defaultRowHeight="15" x14ac:dyDescent="0.25"/>
  <cols>
    <col min="2" max="7" width="12.7109375" customWidth="1"/>
  </cols>
  <sheetData>
    <row r="3" spans="2:7" x14ac:dyDescent="0.25">
      <c r="B3" t="s">
        <v>17</v>
      </c>
    </row>
    <row r="4" spans="2:7" ht="15.75" thickBot="1" x14ac:dyDescent="0.3"/>
    <row r="5" spans="2:7" ht="30" x14ac:dyDescent="0.25">
      <c r="B5" s="4" t="s">
        <v>4</v>
      </c>
      <c r="C5" s="5" t="s">
        <v>15</v>
      </c>
      <c r="D5" s="5" t="s">
        <v>16</v>
      </c>
      <c r="E5" s="5" t="s">
        <v>20</v>
      </c>
      <c r="F5" s="5" t="s">
        <v>21</v>
      </c>
      <c r="G5" s="9" t="s">
        <v>22</v>
      </c>
    </row>
    <row r="6" spans="2:7" x14ac:dyDescent="0.25">
      <c r="B6" s="6">
        <v>0</v>
      </c>
      <c r="C6" s="3">
        <v>260</v>
      </c>
      <c r="D6" s="3">
        <v>250</v>
      </c>
      <c r="E6" s="3">
        <v>7</v>
      </c>
      <c r="F6" s="3">
        <v>7</v>
      </c>
      <c r="G6" s="10">
        <v>10</v>
      </c>
    </row>
    <row r="7" spans="2:7" x14ac:dyDescent="0.25">
      <c r="B7" s="6">
        <v>0.1</v>
      </c>
      <c r="C7" s="3">
        <v>380</v>
      </c>
      <c r="D7" s="3">
        <v>350</v>
      </c>
      <c r="E7" s="3">
        <v>7</v>
      </c>
      <c r="F7" s="3">
        <v>15</v>
      </c>
      <c r="G7" s="10">
        <v>26</v>
      </c>
    </row>
    <row r="8" spans="2:7" x14ac:dyDescent="0.25">
      <c r="B8" s="6">
        <f t="shared" ref="B8:B16" si="0">0.1+B7</f>
        <v>0.2</v>
      </c>
      <c r="C8" s="3">
        <v>460</v>
      </c>
      <c r="D8" s="3">
        <v>385</v>
      </c>
      <c r="E8" s="3">
        <v>7</v>
      </c>
      <c r="F8" s="3">
        <v>14</v>
      </c>
      <c r="G8" s="10">
        <v>18</v>
      </c>
    </row>
    <row r="9" spans="2:7" x14ac:dyDescent="0.25">
      <c r="B9" s="6">
        <f t="shared" si="0"/>
        <v>0.30000000000000004</v>
      </c>
      <c r="C9" s="3">
        <v>540</v>
      </c>
      <c r="D9" s="3">
        <v>400</v>
      </c>
      <c r="E9" s="3">
        <v>7</v>
      </c>
      <c r="F9" s="3">
        <v>12</v>
      </c>
      <c r="G9" s="10">
        <v>14</v>
      </c>
    </row>
    <row r="10" spans="2:7" x14ac:dyDescent="0.25">
      <c r="B10" s="6">
        <f t="shared" si="0"/>
        <v>0.4</v>
      </c>
      <c r="C10" s="3">
        <v>620</v>
      </c>
      <c r="D10" s="3">
        <v>406</v>
      </c>
      <c r="E10" s="3">
        <v>7</v>
      </c>
      <c r="F10" s="3">
        <v>12</v>
      </c>
      <c r="G10" s="10">
        <v>14</v>
      </c>
    </row>
    <row r="11" spans="2:7" x14ac:dyDescent="0.25">
      <c r="B11" s="6">
        <f t="shared" si="0"/>
        <v>0.5</v>
      </c>
      <c r="C11" s="3">
        <v>700</v>
      </c>
      <c r="D11" s="3">
        <v>408</v>
      </c>
      <c r="E11" s="3">
        <v>7</v>
      </c>
      <c r="F11" s="3">
        <v>12</v>
      </c>
      <c r="G11" s="10">
        <v>15</v>
      </c>
    </row>
    <row r="12" spans="2:7" x14ac:dyDescent="0.25">
      <c r="B12" s="6">
        <f t="shared" si="0"/>
        <v>0.6</v>
      </c>
      <c r="C12" s="3">
        <v>780</v>
      </c>
      <c r="D12" s="3">
        <v>403</v>
      </c>
      <c r="E12" s="3">
        <v>7</v>
      </c>
      <c r="F12" s="3">
        <v>12</v>
      </c>
      <c r="G12" s="10">
        <v>14</v>
      </c>
    </row>
    <row r="13" spans="2:7" x14ac:dyDescent="0.25">
      <c r="B13" s="6">
        <f t="shared" si="0"/>
        <v>0.7</v>
      </c>
      <c r="C13" s="3">
        <v>860</v>
      </c>
      <c r="D13" s="3">
        <v>400</v>
      </c>
      <c r="E13" s="3">
        <v>7</v>
      </c>
      <c r="F13" s="3">
        <v>11</v>
      </c>
      <c r="G13" s="10">
        <v>14</v>
      </c>
    </row>
    <row r="14" spans="2:7" x14ac:dyDescent="0.25">
      <c r="B14" s="6">
        <f t="shared" si="0"/>
        <v>0.79999999999999993</v>
      </c>
      <c r="C14" s="3">
        <v>940</v>
      </c>
      <c r="D14" s="3">
        <v>400</v>
      </c>
      <c r="E14" s="3">
        <v>7</v>
      </c>
      <c r="F14" s="3">
        <v>11</v>
      </c>
      <c r="G14" s="10">
        <v>14</v>
      </c>
    </row>
    <row r="15" spans="2:7" x14ac:dyDescent="0.25">
      <c r="B15" s="6">
        <f t="shared" si="0"/>
        <v>0.89999999999999991</v>
      </c>
      <c r="C15" s="3">
        <v>1020</v>
      </c>
      <c r="D15" s="3">
        <v>356</v>
      </c>
      <c r="E15" s="3">
        <v>7</v>
      </c>
      <c r="F15" s="3">
        <v>10</v>
      </c>
      <c r="G15" s="10">
        <v>13</v>
      </c>
    </row>
    <row r="16" spans="2:7" ht="15.75" thickBot="1" x14ac:dyDescent="0.3">
      <c r="B16" s="7">
        <f t="shared" si="0"/>
        <v>0.99999999999999989</v>
      </c>
      <c r="C16" s="8">
        <v>1100</v>
      </c>
      <c r="D16" s="8">
        <v>350</v>
      </c>
      <c r="E16" s="8">
        <v>7</v>
      </c>
      <c r="F16" s="8">
        <v>9</v>
      </c>
      <c r="G16" s="11">
        <v>12</v>
      </c>
    </row>
    <row r="20" spans="2:7" x14ac:dyDescent="0.25">
      <c r="B20" t="s">
        <v>18</v>
      </c>
    </row>
    <row r="21" spans="2:7" ht="15.75" thickBot="1" x14ac:dyDescent="0.3"/>
    <row r="22" spans="2:7" ht="30" x14ac:dyDescent="0.25">
      <c r="B22" s="4" t="s">
        <v>19</v>
      </c>
      <c r="C22" s="5" t="s">
        <v>15</v>
      </c>
      <c r="D22" s="5" t="s">
        <v>16</v>
      </c>
      <c r="E22" s="5" t="s">
        <v>20</v>
      </c>
      <c r="F22" s="5" t="s">
        <v>21</v>
      </c>
      <c r="G22" s="9" t="s">
        <v>22</v>
      </c>
    </row>
    <row r="23" spans="2:7" x14ac:dyDescent="0.25">
      <c r="B23" s="6">
        <v>2</v>
      </c>
      <c r="C23" s="3">
        <v>380</v>
      </c>
      <c r="D23" s="3">
        <v>328</v>
      </c>
      <c r="E23" s="3">
        <v>5</v>
      </c>
      <c r="F23" s="3">
        <v>11</v>
      </c>
      <c r="G23" s="10">
        <v>16</v>
      </c>
    </row>
    <row r="24" spans="2:7" x14ac:dyDescent="0.25">
      <c r="B24" s="6">
        <v>3</v>
      </c>
      <c r="C24" s="3">
        <v>420</v>
      </c>
      <c r="D24" s="3">
        <v>350</v>
      </c>
      <c r="E24" s="3">
        <v>6</v>
      </c>
      <c r="F24" s="3">
        <v>13</v>
      </c>
      <c r="G24" s="10">
        <v>17</v>
      </c>
    </row>
    <row r="25" spans="2:7" x14ac:dyDescent="0.25">
      <c r="B25" s="6">
        <v>4</v>
      </c>
      <c r="C25" s="3">
        <v>460</v>
      </c>
      <c r="D25" s="3">
        <v>385</v>
      </c>
      <c r="E25" s="3">
        <v>7</v>
      </c>
      <c r="F25" s="3">
        <v>14</v>
      </c>
      <c r="G25" s="10">
        <v>18</v>
      </c>
    </row>
    <row r="26" spans="2:7" x14ac:dyDescent="0.25">
      <c r="B26" s="6">
        <v>5</v>
      </c>
      <c r="C26" s="3">
        <v>500</v>
      </c>
      <c r="D26" s="3">
        <v>400</v>
      </c>
      <c r="E26" s="3">
        <v>8</v>
      </c>
      <c r="F26" s="3">
        <v>15</v>
      </c>
      <c r="G26" s="10">
        <v>19</v>
      </c>
    </row>
    <row r="27" spans="2:7" ht="15.75" thickBot="1" x14ac:dyDescent="0.3">
      <c r="B27" s="7">
        <v>6</v>
      </c>
      <c r="C27" s="8">
        <v>540</v>
      </c>
      <c r="D27" s="8">
        <v>450</v>
      </c>
      <c r="E27" s="8">
        <v>9</v>
      </c>
      <c r="F27" s="8">
        <v>16</v>
      </c>
      <c r="G27" s="11">
        <v>20</v>
      </c>
    </row>
    <row r="29" spans="2:7" ht="15.75" thickBot="1" x14ac:dyDescent="0.3"/>
    <row r="30" spans="2:7" ht="30" x14ac:dyDescent="0.25">
      <c r="B30" s="4" t="s">
        <v>7</v>
      </c>
      <c r="C30" s="5" t="s">
        <v>15</v>
      </c>
      <c r="D30" s="5" t="s">
        <v>16</v>
      </c>
      <c r="E30" s="5" t="s">
        <v>20</v>
      </c>
      <c r="F30" s="5" t="s">
        <v>21</v>
      </c>
      <c r="G30" s="9" t="s">
        <v>22</v>
      </c>
    </row>
    <row r="31" spans="2:7" x14ac:dyDescent="0.25">
      <c r="B31" s="6">
        <v>120</v>
      </c>
      <c r="C31" s="3">
        <v>460</v>
      </c>
      <c r="D31" s="3">
        <v>360</v>
      </c>
      <c r="E31" s="3">
        <v>13</v>
      </c>
      <c r="F31" s="3">
        <v>21</v>
      </c>
      <c r="G31" s="10">
        <v>24</v>
      </c>
    </row>
    <row r="32" spans="2:7" x14ac:dyDescent="0.25">
      <c r="B32" s="6">
        <v>135</v>
      </c>
      <c r="C32" s="3">
        <v>460</v>
      </c>
      <c r="D32" s="3">
        <v>385</v>
      </c>
      <c r="E32" s="3">
        <v>9</v>
      </c>
      <c r="F32" s="3">
        <v>14</v>
      </c>
      <c r="G32" s="10">
        <v>18</v>
      </c>
    </row>
    <row r="33" spans="2:7" x14ac:dyDescent="0.25">
      <c r="B33" s="6">
        <v>150</v>
      </c>
      <c r="C33" s="3">
        <v>460</v>
      </c>
      <c r="D33" s="3">
        <v>385</v>
      </c>
      <c r="E33" s="3">
        <v>7</v>
      </c>
      <c r="F33" s="3">
        <v>14</v>
      </c>
      <c r="G33" s="10">
        <v>18</v>
      </c>
    </row>
    <row r="34" spans="2:7" x14ac:dyDescent="0.25">
      <c r="B34" s="6">
        <v>165</v>
      </c>
      <c r="C34" s="3">
        <v>460</v>
      </c>
      <c r="D34" s="3">
        <v>390</v>
      </c>
      <c r="E34" s="3">
        <v>7</v>
      </c>
      <c r="F34" s="3">
        <v>14</v>
      </c>
      <c r="G34" s="10">
        <v>18</v>
      </c>
    </row>
    <row r="35" spans="2:7" ht="15.75" thickBot="1" x14ac:dyDescent="0.3">
      <c r="B35" s="7">
        <v>180</v>
      </c>
      <c r="C35" s="8">
        <v>460</v>
      </c>
      <c r="D35" s="8">
        <v>398</v>
      </c>
      <c r="E35" s="8">
        <v>6</v>
      </c>
      <c r="F35" s="8">
        <v>14</v>
      </c>
      <c r="G35" s="11">
        <v>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1"/>
  <sheetViews>
    <sheetView topLeftCell="F4" workbookViewId="0">
      <selection activeCell="R13" sqref="R13"/>
    </sheetView>
  </sheetViews>
  <sheetFormatPr defaultRowHeight="15" x14ac:dyDescent="0.25"/>
  <cols>
    <col min="1" max="1" width="9.140625" style="21"/>
    <col min="5" max="5" width="9.140625" style="1"/>
    <col min="8" max="10" width="9.140625" style="1"/>
    <col min="18" max="18" width="13.140625" customWidth="1"/>
    <col min="20" max="20" width="11.42578125" customWidth="1"/>
    <col min="21" max="21" width="11.85546875" customWidth="1"/>
    <col min="22" max="22" width="11.7109375" customWidth="1"/>
    <col min="24" max="24" width="11.28515625" customWidth="1"/>
  </cols>
  <sheetData>
    <row r="1" spans="1:30" x14ac:dyDescent="0.25">
      <c r="A1" s="21" t="s">
        <v>23</v>
      </c>
      <c r="C1" s="1"/>
      <c r="E1"/>
      <c r="F1" s="1"/>
      <c r="G1" s="1"/>
      <c r="I1"/>
      <c r="J1"/>
    </row>
    <row r="2" spans="1:30" x14ac:dyDescent="0.25">
      <c r="A2" s="22" t="s">
        <v>24</v>
      </c>
      <c r="B2" s="14"/>
      <c r="C2" s="15"/>
      <c r="D2" s="14"/>
      <c r="E2" s="14"/>
      <c r="F2" s="1"/>
      <c r="G2" s="1"/>
      <c r="I2"/>
      <c r="J2"/>
    </row>
    <row r="3" spans="1:30" x14ac:dyDescent="0.25">
      <c r="A3" s="21" t="s">
        <v>36</v>
      </c>
      <c r="C3" s="1"/>
      <c r="E3"/>
      <c r="F3" s="1"/>
      <c r="G3" s="1"/>
      <c r="I3"/>
      <c r="J3"/>
    </row>
    <row r="4" spans="1:30" x14ac:dyDescent="0.25">
      <c r="A4" s="21" t="s">
        <v>37</v>
      </c>
      <c r="G4" s="1"/>
      <c r="I4"/>
      <c r="J4"/>
    </row>
    <row r="5" spans="1:30" x14ac:dyDescent="0.25">
      <c r="A5" s="23" t="s">
        <v>29</v>
      </c>
      <c r="B5" s="19"/>
      <c r="C5" s="20"/>
      <c r="D5" s="19"/>
      <c r="E5"/>
      <c r="F5" s="1"/>
      <c r="G5" s="1"/>
      <c r="I5"/>
      <c r="J5"/>
    </row>
    <row r="6" spans="1:30" x14ac:dyDescent="0.25">
      <c r="A6" s="21" t="s">
        <v>31</v>
      </c>
      <c r="C6" s="1"/>
      <c r="E6"/>
      <c r="F6" s="1"/>
      <c r="G6" s="1"/>
      <c r="I6"/>
      <c r="J6"/>
    </row>
    <row r="7" spans="1:30" x14ac:dyDescent="0.25">
      <c r="A7" s="21" t="s">
        <v>27</v>
      </c>
      <c r="C7" s="1"/>
      <c r="E7"/>
      <c r="F7" s="1"/>
      <c r="G7" s="1"/>
      <c r="I7"/>
      <c r="J7"/>
    </row>
    <row r="8" spans="1:30" x14ac:dyDescent="0.25">
      <c r="A8" s="21" t="s">
        <v>35</v>
      </c>
      <c r="C8" s="1"/>
      <c r="E8"/>
      <c r="F8" s="1"/>
      <c r="G8" s="1"/>
      <c r="I8"/>
      <c r="J8"/>
    </row>
    <row r="9" spans="1:30" x14ac:dyDescent="0.25">
      <c r="C9" s="1"/>
      <c r="E9"/>
      <c r="F9" s="1"/>
      <c r="G9" s="1"/>
      <c r="I9"/>
      <c r="J9"/>
    </row>
    <row r="11" spans="1:30" x14ac:dyDescent="0.25">
      <c r="D11" s="16" t="s">
        <v>4</v>
      </c>
      <c r="E11" s="25">
        <v>0.2</v>
      </c>
      <c r="M11" t="s">
        <v>7</v>
      </c>
      <c r="N11" s="14">
        <v>150</v>
      </c>
    </row>
    <row r="12" spans="1:30" x14ac:dyDescent="0.25">
      <c r="D12" s="16" t="s">
        <v>38</v>
      </c>
      <c r="E12" s="15">
        <v>100</v>
      </c>
      <c r="M12" t="s">
        <v>39</v>
      </c>
      <c r="N12" s="14">
        <v>4</v>
      </c>
      <c r="Y12" s="26"/>
      <c r="Z12" s="26"/>
      <c r="AA12" s="26"/>
      <c r="AB12" s="26"/>
      <c r="AC12" s="26"/>
      <c r="AD12" s="26"/>
    </row>
    <row r="13" spans="1:30" x14ac:dyDescent="0.25">
      <c r="Y13" s="26"/>
      <c r="Z13" s="26"/>
      <c r="AA13" s="26"/>
      <c r="AB13" s="26"/>
      <c r="AC13" s="26"/>
      <c r="AD13" s="26"/>
    </row>
    <row r="14" spans="1:30" x14ac:dyDescent="0.25">
      <c r="E14" s="1" t="s">
        <v>16</v>
      </c>
      <c r="G14" s="1">
        <f ca="1">I14-I15</f>
        <v>260.49382716049377</v>
      </c>
      <c r="H14" t="s">
        <v>13</v>
      </c>
      <c r="I14" s="1">
        <f ca="1">MAX(G22:G211)</f>
        <v>460.49382716049377</v>
      </c>
      <c r="Y14" s="27"/>
      <c r="Z14" s="28"/>
      <c r="AA14" s="28"/>
      <c r="AB14" s="28"/>
      <c r="AC14" s="28"/>
      <c r="AD14" s="26"/>
    </row>
    <row r="15" spans="1:30" x14ac:dyDescent="0.25">
      <c r="H15" t="s">
        <v>14</v>
      </c>
      <c r="I15" s="1">
        <f ca="1">MIN(G22:G211)</f>
        <v>200</v>
      </c>
      <c r="Y15" s="27"/>
      <c r="Z15" s="27"/>
      <c r="AA15" s="27"/>
      <c r="AB15" s="27"/>
      <c r="AC15" s="27"/>
      <c r="AD15" s="26"/>
    </row>
    <row r="16" spans="1:30" x14ac:dyDescent="0.25">
      <c r="E16" s="1" t="s">
        <v>15</v>
      </c>
      <c r="G16" s="1">
        <f>MAX(K22:K211)-MIN(K22:K211)</f>
        <v>180.246913580247</v>
      </c>
      <c r="K16" s="1"/>
      <c r="Y16" s="27"/>
      <c r="Z16" s="27"/>
      <c r="AA16" s="27"/>
      <c r="AB16" s="27"/>
      <c r="AC16" s="27"/>
      <c r="AD16" s="26"/>
    </row>
    <row r="17" spans="1:30" x14ac:dyDescent="0.25">
      <c r="Y17" s="27"/>
      <c r="Z17" s="27"/>
      <c r="AA17" s="27"/>
      <c r="AB17" s="27"/>
      <c r="AC17" s="27"/>
      <c r="AD17" s="26"/>
    </row>
    <row r="18" spans="1:30" x14ac:dyDescent="0.25">
      <c r="Y18" s="27"/>
      <c r="Z18" s="27"/>
      <c r="AA18" s="27"/>
      <c r="AB18" s="27"/>
      <c r="AC18" s="27"/>
      <c r="AD18" s="26"/>
    </row>
    <row r="19" spans="1:30" x14ac:dyDescent="0.25">
      <c r="E19" s="1" t="s">
        <v>0</v>
      </c>
      <c r="F19" t="s">
        <v>5</v>
      </c>
      <c r="G19" t="s">
        <v>5</v>
      </c>
      <c r="H19" s="1" t="s">
        <v>3</v>
      </c>
      <c r="I19" s="1" t="s">
        <v>40</v>
      </c>
      <c r="Y19" s="27"/>
      <c r="Z19" s="27"/>
      <c r="AA19" s="27"/>
      <c r="AB19" s="27"/>
      <c r="AC19" s="27"/>
      <c r="AD19" s="26"/>
    </row>
    <row r="20" spans="1:30" x14ac:dyDescent="0.25">
      <c r="A20" s="21" t="s">
        <v>28</v>
      </c>
      <c r="B20" t="s">
        <v>41</v>
      </c>
      <c r="C20" t="s">
        <v>42</v>
      </c>
      <c r="D20" t="s">
        <v>0</v>
      </c>
      <c r="E20" s="1" t="s">
        <v>1</v>
      </c>
      <c r="F20" t="s">
        <v>6</v>
      </c>
      <c r="H20" s="1" t="s">
        <v>1</v>
      </c>
      <c r="K20" t="s">
        <v>2</v>
      </c>
      <c r="L20" t="s">
        <v>12</v>
      </c>
      <c r="N20" t="s">
        <v>8</v>
      </c>
      <c r="O20" t="s">
        <v>9</v>
      </c>
      <c r="P20" t="s">
        <v>10</v>
      </c>
      <c r="Q20" t="s">
        <v>11</v>
      </c>
      <c r="R20" t="s">
        <v>43</v>
      </c>
      <c r="Y20" s="27"/>
      <c r="Z20" s="27"/>
      <c r="AA20" s="27"/>
      <c r="AB20" s="27"/>
      <c r="AC20" s="27"/>
      <c r="AD20" s="26"/>
    </row>
    <row r="21" spans="1:30" x14ac:dyDescent="0.25">
      <c r="E21" s="1">
        <f>E12</f>
        <v>100</v>
      </c>
      <c r="G21">
        <f>N12*E12</f>
        <v>400</v>
      </c>
      <c r="H21" s="1">
        <f>N12</f>
        <v>4</v>
      </c>
      <c r="I21" s="1">
        <f>E21*H21</f>
        <v>400</v>
      </c>
      <c r="L21">
        <v>0</v>
      </c>
      <c r="O21">
        <v>0</v>
      </c>
      <c r="Q21">
        <f>N12</f>
        <v>4</v>
      </c>
      <c r="Y21" s="27"/>
      <c r="Z21" s="27"/>
      <c r="AA21" s="27"/>
      <c r="AB21" s="27"/>
      <c r="AC21" s="27"/>
      <c r="AD21" s="26"/>
    </row>
    <row r="22" spans="1:30" x14ac:dyDescent="0.25">
      <c r="A22" s="21">
        <f>1</f>
        <v>1</v>
      </c>
      <c r="B22" s="1">
        <f t="shared" ref="B22:B30" si="0">N$11</f>
        <v>150</v>
      </c>
      <c r="C22" s="1">
        <f>B22</f>
        <v>150</v>
      </c>
      <c r="D22" s="1">
        <f t="shared" ref="D22:D85" si="1">E$12</f>
        <v>100</v>
      </c>
      <c r="E22" s="1">
        <f>E$11*D22+(1-E$11)*E21</f>
        <v>100</v>
      </c>
      <c r="F22" s="1">
        <f ca="1">P22</f>
        <v>100</v>
      </c>
      <c r="G22" s="1">
        <f t="shared" ref="G22:G85" ca="1" si="2">G21+F22-D22</f>
        <v>400</v>
      </c>
      <c r="H22" s="1">
        <f>Q21</f>
        <v>4</v>
      </c>
      <c r="I22" s="1">
        <f t="shared" ref="I22:I85" si="3">H22*E22</f>
        <v>400</v>
      </c>
      <c r="K22" s="1">
        <f t="shared" ref="K22:K85" si="4">MAX(0,L21+D22+I22-I21)</f>
        <v>100</v>
      </c>
      <c r="L22" s="1">
        <f t="shared" ref="L22:L85" si="5">MIN(0,L21+D22+I22-I21)</f>
        <v>0</v>
      </c>
      <c r="N22" s="1">
        <f t="shared" ref="N22:N85" si="6">IF(B22&lt;1,0,MAX(0,MIN(B22,K22+O21)))</f>
        <v>100</v>
      </c>
      <c r="O22" s="1">
        <f t="shared" ref="O22:O85" si="7">MAX(0,O21+K22-N22)</f>
        <v>0</v>
      </c>
      <c r="P22" s="1">
        <f t="shared" ref="P22:P85" ca="1" si="8">IF(A22&lt;=N$12,E$12,OFFSET(P22,-N$12,-2))</f>
        <v>100</v>
      </c>
      <c r="Q22" s="1">
        <f t="shared" ref="Q22:Q85" si="9">IF(B22&gt;=N$11,N$12+O22/B22,N$12+R22)</f>
        <v>4</v>
      </c>
      <c r="R22" s="1">
        <f t="shared" ref="R22:R85" si="10">LOOKUP(C22+O22,C22:C202,A22:A202)-A22</f>
        <v>0</v>
      </c>
      <c r="Y22" s="27"/>
      <c r="Z22" s="27"/>
      <c r="AA22" s="27"/>
      <c r="AB22" s="27"/>
      <c r="AC22" s="27"/>
      <c r="AD22" s="26"/>
    </row>
    <row r="23" spans="1:30" x14ac:dyDescent="0.25">
      <c r="A23" s="21">
        <f>1+A22</f>
        <v>2</v>
      </c>
      <c r="B23" s="1">
        <f t="shared" si="0"/>
        <v>150</v>
      </c>
      <c r="C23" s="1">
        <f>C22+B23</f>
        <v>300</v>
      </c>
      <c r="D23" s="1">
        <f t="shared" si="1"/>
        <v>100</v>
      </c>
      <c r="E23" s="1">
        <f t="shared" ref="E23:E86" si="11">E$11*D23+(1-E$11)*E22</f>
        <v>100</v>
      </c>
      <c r="F23" s="1">
        <f t="shared" ref="F23:F86" ca="1" si="12">P23</f>
        <v>100</v>
      </c>
      <c r="G23" s="1">
        <f t="shared" ca="1" si="2"/>
        <v>400</v>
      </c>
      <c r="H23" s="1">
        <f t="shared" ref="H23:H86" si="13">Q22</f>
        <v>4</v>
      </c>
      <c r="I23" s="1">
        <f t="shared" si="3"/>
        <v>400</v>
      </c>
      <c r="K23" s="1">
        <f t="shared" si="4"/>
        <v>100</v>
      </c>
      <c r="L23" s="1">
        <f t="shared" si="5"/>
        <v>0</v>
      </c>
      <c r="N23" s="1">
        <f t="shared" si="6"/>
        <v>100</v>
      </c>
      <c r="O23" s="1">
        <f t="shared" si="7"/>
        <v>0</v>
      </c>
      <c r="P23" s="1">
        <f t="shared" ca="1" si="8"/>
        <v>100</v>
      </c>
      <c r="Q23" s="1">
        <f t="shared" si="9"/>
        <v>4</v>
      </c>
      <c r="R23" s="1">
        <f t="shared" si="10"/>
        <v>0</v>
      </c>
      <c r="Y23" s="27"/>
      <c r="Z23" s="27"/>
      <c r="AA23" s="27"/>
      <c r="AB23" s="27"/>
      <c r="AC23" s="27"/>
      <c r="AD23" s="26"/>
    </row>
    <row r="24" spans="1:30" x14ac:dyDescent="0.25">
      <c r="A24" s="21">
        <f t="shared" ref="A24:A87" si="14">1+A23</f>
        <v>3</v>
      </c>
      <c r="B24" s="1">
        <f t="shared" si="0"/>
        <v>150</v>
      </c>
      <c r="C24" s="1">
        <f t="shared" ref="C24:C87" si="15">C23+B24</f>
        <v>450</v>
      </c>
      <c r="D24" s="1">
        <f t="shared" si="1"/>
        <v>100</v>
      </c>
      <c r="E24" s="1">
        <f t="shared" si="11"/>
        <v>100</v>
      </c>
      <c r="F24" s="1">
        <f t="shared" ca="1" si="12"/>
        <v>100</v>
      </c>
      <c r="G24" s="1">
        <f t="shared" ca="1" si="2"/>
        <v>400</v>
      </c>
      <c r="H24" s="1">
        <f t="shared" si="13"/>
        <v>4</v>
      </c>
      <c r="I24" s="1">
        <f t="shared" si="3"/>
        <v>400</v>
      </c>
      <c r="K24" s="1">
        <f t="shared" si="4"/>
        <v>100</v>
      </c>
      <c r="L24" s="1">
        <f t="shared" si="5"/>
        <v>0</v>
      </c>
      <c r="N24" s="1">
        <f t="shared" si="6"/>
        <v>100</v>
      </c>
      <c r="O24" s="1">
        <f t="shared" si="7"/>
        <v>0</v>
      </c>
      <c r="P24" s="1">
        <f t="shared" ca="1" si="8"/>
        <v>100</v>
      </c>
      <c r="Q24" s="1">
        <f t="shared" si="9"/>
        <v>4</v>
      </c>
      <c r="R24" s="1">
        <f t="shared" si="10"/>
        <v>0</v>
      </c>
      <c r="Y24" s="27"/>
      <c r="Z24" s="27"/>
      <c r="AA24" s="27"/>
      <c r="AB24" s="27"/>
      <c r="AC24" s="27"/>
      <c r="AD24" s="26"/>
    </row>
    <row r="25" spans="1:30" x14ac:dyDescent="0.25">
      <c r="A25" s="21">
        <f t="shared" si="14"/>
        <v>4</v>
      </c>
      <c r="B25" s="1">
        <f t="shared" si="0"/>
        <v>150</v>
      </c>
      <c r="C25" s="1">
        <f t="shared" si="15"/>
        <v>600</v>
      </c>
      <c r="D25" s="1">
        <f t="shared" si="1"/>
        <v>100</v>
      </c>
      <c r="E25" s="1">
        <f t="shared" si="11"/>
        <v>100</v>
      </c>
      <c r="F25" s="1">
        <f t="shared" ca="1" si="12"/>
        <v>100</v>
      </c>
      <c r="G25" s="1">
        <f t="shared" ca="1" si="2"/>
        <v>400</v>
      </c>
      <c r="H25" s="1">
        <f t="shared" si="13"/>
        <v>4</v>
      </c>
      <c r="I25" s="1">
        <f t="shared" si="3"/>
        <v>400</v>
      </c>
      <c r="K25" s="1">
        <f t="shared" si="4"/>
        <v>100</v>
      </c>
      <c r="L25" s="1">
        <f t="shared" si="5"/>
        <v>0</v>
      </c>
      <c r="N25" s="1">
        <f t="shared" si="6"/>
        <v>100</v>
      </c>
      <c r="O25" s="1">
        <f t="shared" si="7"/>
        <v>0</v>
      </c>
      <c r="P25" s="1">
        <f t="shared" ca="1" si="8"/>
        <v>100</v>
      </c>
      <c r="Q25" s="1">
        <f t="shared" si="9"/>
        <v>4</v>
      </c>
      <c r="R25" s="1">
        <f t="shared" si="10"/>
        <v>0</v>
      </c>
      <c r="Y25" s="27"/>
      <c r="Z25" s="27"/>
      <c r="AA25" s="27"/>
      <c r="AB25" s="27"/>
      <c r="AC25" s="27"/>
      <c r="AD25" s="26"/>
    </row>
    <row r="26" spans="1:30" x14ac:dyDescent="0.25">
      <c r="A26" s="21">
        <f t="shared" si="14"/>
        <v>5</v>
      </c>
      <c r="B26" s="1">
        <f t="shared" si="0"/>
        <v>150</v>
      </c>
      <c r="C26" s="1">
        <f t="shared" si="15"/>
        <v>750</v>
      </c>
      <c r="D26" s="1">
        <f t="shared" si="1"/>
        <v>100</v>
      </c>
      <c r="E26" s="1">
        <f t="shared" si="11"/>
        <v>100</v>
      </c>
      <c r="F26" s="1">
        <f t="shared" ca="1" si="12"/>
        <v>100</v>
      </c>
      <c r="G26" s="1">
        <f t="shared" ca="1" si="2"/>
        <v>400</v>
      </c>
      <c r="H26" s="1">
        <f t="shared" si="13"/>
        <v>4</v>
      </c>
      <c r="I26" s="1">
        <f t="shared" si="3"/>
        <v>400</v>
      </c>
      <c r="K26" s="1">
        <f t="shared" si="4"/>
        <v>100</v>
      </c>
      <c r="L26" s="1">
        <f t="shared" si="5"/>
        <v>0</v>
      </c>
      <c r="N26" s="1">
        <f t="shared" si="6"/>
        <v>100</v>
      </c>
      <c r="O26" s="1">
        <f t="shared" si="7"/>
        <v>0</v>
      </c>
      <c r="P26" s="1">
        <f t="shared" ca="1" si="8"/>
        <v>100</v>
      </c>
      <c r="Q26" s="1">
        <f t="shared" si="9"/>
        <v>4</v>
      </c>
      <c r="R26" s="1">
        <f t="shared" si="10"/>
        <v>0</v>
      </c>
      <c r="Y26" s="26"/>
      <c r="Z26" s="26"/>
      <c r="AA26" s="26"/>
      <c r="AB26" s="26"/>
      <c r="AC26" s="26"/>
      <c r="AD26" s="26"/>
    </row>
    <row r="27" spans="1:30" x14ac:dyDescent="0.25">
      <c r="A27" s="21">
        <f t="shared" si="14"/>
        <v>6</v>
      </c>
      <c r="B27" s="1">
        <f t="shared" si="0"/>
        <v>150</v>
      </c>
      <c r="C27" s="1">
        <f t="shared" si="15"/>
        <v>900</v>
      </c>
      <c r="D27" s="1">
        <f t="shared" si="1"/>
        <v>100</v>
      </c>
      <c r="E27" s="1">
        <f t="shared" si="11"/>
        <v>100</v>
      </c>
      <c r="F27" s="1">
        <f t="shared" ca="1" si="12"/>
        <v>100</v>
      </c>
      <c r="G27" s="1">
        <f t="shared" ca="1" si="2"/>
        <v>400</v>
      </c>
      <c r="H27" s="1">
        <f t="shared" si="13"/>
        <v>4</v>
      </c>
      <c r="I27" s="1">
        <f t="shared" si="3"/>
        <v>400</v>
      </c>
      <c r="K27" s="1">
        <f t="shared" si="4"/>
        <v>100</v>
      </c>
      <c r="L27" s="1">
        <f t="shared" si="5"/>
        <v>0</v>
      </c>
      <c r="N27" s="1">
        <f t="shared" si="6"/>
        <v>100</v>
      </c>
      <c r="O27" s="1">
        <f t="shared" si="7"/>
        <v>0</v>
      </c>
      <c r="P27" s="1">
        <f t="shared" ca="1" si="8"/>
        <v>100</v>
      </c>
      <c r="Q27" s="1">
        <f t="shared" si="9"/>
        <v>4</v>
      </c>
      <c r="R27" s="1">
        <f t="shared" si="10"/>
        <v>0</v>
      </c>
      <c r="Y27" s="26"/>
      <c r="Z27" s="26"/>
      <c r="AA27" s="26"/>
      <c r="AB27" s="26"/>
      <c r="AC27" s="26"/>
      <c r="AD27" s="26"/>
    </row>
    <row r="28" spans="1:30" x14ac:dyDescent="0.25">
      <c r="A28" s="21">
        <f t="shared" si="14"/>
        <v>7</v>
      </c>
      <c r="B28" s="1">
        <f t="shared" si="0"/>
        <v>150</v>
      </c>
      <c r="C28" s="1">
        <f t="shared" si="15"/>
        <v>1050</v>
      </c>
      <c r="D28" s="1">
        <f t="shared" si="1"/>
        <v>100</v>
      </c>
      <c r="E28" s="1">
        <f t="shared" si="11"/>
        <v>100</v>
      </c>
      <c r="F28" s="1">
        <f t="shared" ca="1" si="12"/>
        <v>100</v>
      </c>
      <c r="G28" s="1">
        <f t="shared" ca="1" si="2"/>
        <v>400</v>
      </c>
      <c r="H28" s="1">
        <f t="shared" si="13"/>
        <v>4</v>
      </c>
      <c r="I28" s="1">
        <f t="shared" si="3"/>
        <v>400</v>
      </c>
      <c r="K28" s="1">
        <f t="shared" si="4"/>
        <v>100</v>
      </c>
      <c r="L28" s="1">
        <f t="shared" si="5"/>
        <v>0</v>
      </c>
      <c r="N28" s="1">
        <f t="shared" si="6"/>
        <v>100</v>
      </c>
      <c r="O28" s="1">
        <f t="shared" si="7"/>
        <v>0</v>
      </c>
      <c r="P28" s="1">
        <f t="shared" ca="1" si="8"/>
        <v>100</v>
      </c>
      <c r="Q28" s="1">
        <f t="shared" si="9"/>
        <v>4</v>
      </c>
      <c r="R28" s="1">
        <f t="shared" si="10"/>
        <v>0</v>
      </c>
      <c r="Y28" s="26"/>
      <c r="Z28" s="26"/>
      <c r="AA28" s="26"/>
      <c r="AB28" s="26"/>
      <c r="AC28" s="26"/>
      <c r="AD28" s="26"/>
    </row>
    <row r="29" spans="1:30" x14ac:dyDescent="0.25">
      <c r="A29" s="21">
        <f t="shared" si="14"/>
        <v>8</v>
      </c>
      <c r="B29" s="1">
        <f t="shared" si="0"/>
        <v>150</v>
      </c>
      <c r="C29" s="1">
        <f t="shared" si="15"/>
        <v>1200</v>
      </c>
      <c r="D29" s="1">
        <f t="shared" si="1"/>
        <v>100</v>
      </c>
      <c r="E29" s="1">
        <f t="shared" si="11"/>
        <v>100</v>
      </c>
      <c r="F29" s="1">
        <f t="shared" ca="1" si="12"/>
        <v>100</v>
      </c>
      <c r="G29" s="1">
        <f t="shared" ca="1" si="2"/>
        <v>400</v>
      </c>
      <c r="H29" s="1">
        <f t="shared" si="13"/>
        <v>4</v>
      </c>
      <c r="I29" s="1">
        <f t="shared" si="3"/>
        <v>400</v>
      </c>
      <c r="K29" s="1">
        <f t="shared" si="4"/>
        <v>100</v>
      </c>
      <c r="L29" s="1">
        <f t="shared" si="5"/>
        <v>0</v>
      </c>
      <c r="N29" s="1">
        <f t="shared" si="6"/>
        <v>100</v>
      </c>
      <c r="O29" s="1">
        <f t="shared" si="7"/>
        <v>0</v>
      </c>
      <c r="P29" s="1">
        <f t="shared" ca="1" si="8"/>
        <v>100</v>
      </c>
      <c r="Q29" s="1">
        <f t="shared" si="9"/>
        <v>4</v>
      </c>
      <c r="R29" s="1">
        <f t="shared" si="10"/>
        <v>0</v>
      </c>
    </row>
    <row r="30" spans="1:30" x14ac:dyDescent="0.25">
      <c r="A30" s="21">
        <f t="shared" si="14"/>
        <v>9</v>
      </c>
      <c r="B30" s="1">
        <f t="shared" si="0"/>
        <v>150</v>
      </c>
      <c r="C30" s="1">
        <f t="shared" si="15"/>
        <v>1350</v>
      </c>
      <c r="D30" s="1">
        <f t="shared" si="1"/>
        <v>100</v>
      </c>
      <c r="E30" s="1">
        <f t="shared" si="11"/>
        <v>100</v>
      </c>
      <c r="F30" s="1">
        <f t="shared" ca="1" si="12"/>
        <v>100</v>
      </c>
      <c r="G30" s="1">
        <f t="shared" ca="1" si="2"/>
        <v>400</v>
      </c>
      <c r="H30" s="1">
        <f t="shared" si="13"/>
        <v>4</v>
      </c>
      <c r="I30" s="1">
        <f t="shared" si="3"/>
        <v>400</v>
      </c>
      <c r="K30" s="1">
        <f t="shared" si="4"/>
        <v>100</v>
      </c>
      <c r="L30" s="1">
        <f t="shared" si="5"/>
        <v>0</v>
      </c>
      <c r="N30" s="1">
        <f t="shared" si="6"/>
        <v>100</v>
      </c>
      <c r="O30" s="1">
        <f t="shared" si="7"/>
        <v>0</v>
      </c>
      <c r="P30" s="1">
        <f t="shared" ca="1" si="8"/>
        <v>100</v>
      </c>
      <c r="Q30" s="1">
        <f t="shared" si="9"/>
        <v>4</v>
      </c>
      <c r="R30" s="1">
        <f t="shared" si="10"/>
        <v>0</v>
      </c>
    </row>
    <row r="31" spans="1:30" x14ac:dyDescent="0.25">
      <c r="A31" s="24">
        <f t="shared" si="14"/>
        <v>10</v>
      </c>
      <c r="B31" s="2">
        <v>75</v>
      </c>
      <c r="C31" s="1">
        <f t="shared" si="15"/>
        <v>1425</v>
      </c>
      <c r="D31" s="1">
        <f t="shared" si="1"/>
        <v>100</v>
      </c>
      <c r="E31" s="1">
        <f t="shared" si="11"/>
        <v>100</v>
      </c>
      <c r="F31" s="1">
        <f t="shared" ca="1" si="12"/>
        <v>100</v>
      </c>
      <c r="G31" s="1">
        <f t="shared" ca="1" si="2"/>
        <v>400</v>
      </c>
      <c r="H31" s="1">
        <f t="shared" si="13"/>
        <v>4</v>
      </c>
      <c r="I31" s="1">
        <f t="shared" si="3"/>
        <v>400</v>
      </c>
      <c r="K31" s="1">
        <f t="shared" si="4"/>
        <v>100</v>
      </c>
      <c r="L31" s="1">
        <f t="shared" si="5"/>
        <v>0</v>
      </c>
      <c r="N31" s="1">
        <f t="shared" si="6"/>
        <v>75</v>
      </c>
      <c r="O31" s="1">
        <f t="shared" si="7"/>
        <v>25</v>
      </c>
      <c r="P31" s="1">
        <f t="shared" ca="1" si="8"/>
        <v>100</v>
      </c>
      <c r="Q31" s="1">
        <f t="shared" si="9"/>
        <v>4</v>
      </c>
      <c r="R31" s="1">
        <f t="shared" si="10"/>
        <v>0</v>
      </c>
    </row>
    <row r="32" spans="1:30" x14ac:dyDescent="0.25">
      <c r="A32" s="21">
        <f t="shared" si="14"/>
        <v>11</v>
      </c>
      <c r="B32" s="2">
        <v>60</v>
      </c>
      <c r="C32" s="1">
        <f t="shared" si="15"/>
        <v>1485</v>
      </c>
      <c r="D32" s="12">
        <f t="shared" si="1"/>
        <v>100</v>
      </c>
      <c r="E32" s="1">
        <f t="shared" si="11"/>
        <v>100</v>
      </c>
      <c r="F32" s="1">
        <f t="shared" ca="1" si="12"/>
        <v>100</v>
      </c>
      <c r="G32" s="1">
        <f t="shared" ca="1" si="2"/>
        <v>400</v>
      </c>
      <c r="H32" s="1">
        <f t="shared" si="13"/>
        <v>4</v>
      </c>
      <c r="I32" s="1">
        <f t="shared" si="3"/>
        <v>400</v>
      </c>
      <c r="K32" s="1">
        <f t="shared" si="4"/>
        <v>100</v>
      </c>
      <c r="L32" s="1">
        <f t="shared" si="5"/>
        <v>0</v>
      </c>
      <c r="N32" s="1">
        <f t="shared" si="6"/>
        <v>60</v>
      </c>
      <c r="O32" s="1">
        <f t="shared" si="7"/>
        <v>65</v>
      </c>
      <c r="P32" s="1">
        <f t="shared" ca="1" si="8"/>
        <v>100</v>
      </c>
      <c r="Q32" s="1">
        <f t="shared" si="9"/>
        <v>5</v>
      </c>
      <c r="R32" s="1">
        <f t="shared" si="10"/>
        <v>1</v>
      </c>
    </row>
    <row r="33" spans="1:18" x14ac:dyDescent="0.25">
      <c r="A33" s="21">
        <f t="shared" si="14"/>
        <v>12</v>
      </c>
      <c r="B33" s="2">
        <v>30</v>
      </c>
      <c r="C33" s="1">
        <f t="shared" si="15"/>
        <v>1515</v>
      </c>
      <c r="D33" s="12">
        <f t="shared" si="1"/>
        <v>100</v>
      </c>
      <c r="E33" s="1">
        <f t="shared" si="11"/>
        <v>100</v>
      </c>
      <c r="F33" s="1">
        <f t="shared" ca="1" si="12"/>
        <v>100</v>
      </c>
      <c r="G33" s="1">
        <f t="shared" ca="1" si="2"/>
        <v>400</v>
      </c>
      <c r="H33" s="1">
        <f t="shared" si="13"/>
        <v>5</v>
      </c>
      <c r="I33" s="1">
        <f t="shared" si="3"/>
        <v>500</v>
      </c>
      <c r="K33" s="1">
        <f t="shared" si="4"/>
        <v>200</v>
      </c>
      <c r="L33" s="1">
        <f t="shared" si="5"/>
        <v>0</v>
      </c>
      <c r="N33" s="1">
        <f t="shared" si="6"/>
        <v>30</v>
      </c>
      <c r="O33" s="1">
        <f t="shared" si="7"/>
        <v>235</v>
      </c>
      <c r="P33" s="1">
        <f t="shared" ca="1" si="8"/>
        <v>100</v>
      </c>
      <c r="Q33" s="1">
        <f t="shared" si="9"/>
        <v>6</v>
      </c>
      <c r="R33" s="1">
        <f t="shared" si="10"/>
        <v>2</v>
      </c>
    </row>
    <row r="34" spans="1:18" x14ac:dyDescent="0.25">
      <c r="A34" s="21">
        <f t="shared" si="14"/>
        <v>13</v>
      </c>
      <c r="B34" s="2">
        <v>60</v>
      </c>
      <c r="C34" s="1">
        <f t="shared" si="15"/>
        <v>1575</v>
      </c>
      <c r="D34" s="12">
        <f t="shared" si="1"/>
        <v>100</v>
      </c>
      <c r="E34" s="1">
        <f t="shared" si="11"/>
        <v>100</v>
      </c>
      <c r="F34" s="1">
        <f t="shared" ca="1" si="12"/>
        <v>100</v>
      </c>
      <c r="G34" s="1">
        <f t="shared" ca="1" si="2"/>
        <v>400</v>
      </c>
      <c r="H34" s="1">
        <f t="shared" si="13"/>
        <v>6</v>
      </c>
      <c r="I34" s="1">
        <f t="shared" si="3"/>
        <v>600</v>
      </c>
      <c r="K34" s="1">
        <f t="shared" si="4"/>
        <v>200</v>
      </c>
      <c r="L34" s="1">
        <f t="shared" si="5"/>
        <v>0</v>
      </c>
      <c r="N34" s="1">
        <f t="shared" si="6"/>
        <v>60</v>
      </c>
      <c r="O34" s="1">
        <f t="shared" si="7"/>
        <v>375</v>
      </c>
      <c r="P34" s="1">
        <f t="shared" ca="1" si="8"/>
        <v>100</v>
      </c>
      <c r="Q34" s="1">
        <f t="shared" si="9"/>
        <v>7</v>
      </c>
      <c r="R34" s="1">
        <f t="shared" si="10"/>
        <v>3</v>
      </c>
    </row>
    <row r="35" spans="1:18" x14ac:dyDescent="0.25">
      <c r="A35" s="21">
        <f t="shared" si="14"/>
        <v>14</v>
      </c>
      <c r="B35" s="2">
        <v>75</v>
      </c>
      <c r="C35" s="1">
        <f t="shared" si="15"/>
        <v>1650</v>
      </c>
      <c r="D35" s="12">
        <f t="shared" si="1"/>
        <v>100</v>
      </c>
      <c r="E35" s="1">
        <f t="shared" si="11"/>
        <v>100</v>
      </c>
      <c r="F35" s="1">
        <f t="shared" ca="1" si="12"/>
        <v>75</v>
      </c>
      <c r="G35" s="1">
        <f t="shared" ca="1" si="2"/>
        <v>375</v>
      </c>
      <c r="H35" s="1">
        <f t="shared" si="13"/>
        <v>7</v>
      </c>
      <c r="I35" s="1">
        <f t="shared" si="3"/>
        <v>700</v>
      </c>
      <c r="K35" s="1">
        <f t="shared" si="4"/>
        <v>200</v>
      </c>
      <c r="L35" s="1">
        <f t="shared" si="5"/>
        <v>0</v>
      </c>
      <c r="N35" s="1">
        <f t="shared" si="6"/>
        <v>75</v>
      </c>
      <c r="O35" s="1">
        <f t="shared" si="7"/>
        <v>500</v>
      </c>
      <c r="P35" s="1">
        <f t="shared" ca="1" si="8"/>
        <v>75</v>
      </c>
      <c r="Q35" s="1">
        <f t="shared" si="9"/>
        <v>7</v>
      </c>
      <c r="R35" s="1">
        <f t="shared" si="10"/>
        <v>3</v>
      </c>
    </row>
    <row r="36" spans="1:18" x14ac:dyDescent="0.25">
      <c r="A36" s="21">
        <f t="shared" si="14"/>
        <v>15</v>
      </c>
      <c r="B36" s="12">
        <f t="shared" ref="B36" si="16">N$11</f>
        <v>150</v>
      </c>
      <c r="C36" s="1">
        <f t="shared" si="15"/>
        <v>1800</v>
      </c>
      <c r="D36" s="12">
        <f t="shared" si="1"/>
        <v>100</v>
      </c>
      <c r="E36" s="1">
        <f t="shared" si="11"/>
        <v>100</v>
      </c>
      <c r="F36" s="1">
        <f t="shared" ca="1" si="12"/>
        <v>60</v>
      </c>
      <c r="G36" s="1">
        <f t="shared" ca="1" si="2"/>
        <v>335</v>
      </c>
      <c r="H36" s="1">
        <f t="shared" si="13"/>
        <v>7</v>
      </c>
      <c r="I36" s="1">
        <f t="shared" si="3"/>
        <v>700</v>
      </c>
      <c r="K36" s="1">
        <f t="shared" si="4"/>
        <v>100</v>
      </c>
      <c r="L36" s="1">
        <f t="shared" si="5"/>
        <v>0</v>
      </c>
      <c r="N36" s="1">
        <f t="shared" si="6"/>
        <v>150</v>
      </c>
      <c r="O36" s="1">
        <f t="shared" si="7"/>
        <v>450</v>
      </c>
      <c r="P36" s="1">
        <f t="shared" ca="1" si="8"/>
        <v>60</v>
      </c>
      <c r="Q36" s="1">
        <f t="shared" si="9"/>
        <v>7</v>
      </c>
      <c r="R36" s="1">
        <f t="shared" si="10"/>
        <v>3</v>
      </c>
    </row>
    <row r="37" spans="1:18" x14ac:dyDescent="0.25">
      <c r="A37" s="21">
        <f t="shared" si="14"/>
        <v>16</v>
      </c>
      <c r="B37" s="1">
        <v>150</v>
      </c>
      <c r="C37" s="1">
        <f t="shared" si="15"/>
        <v>1950</v>
      </c>
      <c r="D37" s="12">
        <f t="shared" si="1"/>
        <v>100</v>
      </c>
      <c r="E37" s="1">
        <f t="shared" si="11"/>
        <v>100</v>
      </c>
      <c r="F37" s="1">
        <f t="shared" ca="1" si="12"/>
        <v>30</v>
      </c>
      <c r="G37" s="1">
        <f t="shared" ca="1" si="2"/>
        <v>265</v>
      </c>
      <c r="H37" s="1">
        <f t="shared" si="13"/>
        <v>7</v>
      </c>
      <c r="I37" s="1">
        <f t="shared" si="3"/>
        <v>700</v>
      </c>
      <c r="K37" s="1">
        <f t="shared" si="4"/>
        <v>100</v>
      </c>
      <c r="L37" s="1">
        <f t="shared" si="5"/>
        <v>0</v>
      </c>
      <c r="N37" s="1">
        <f t="shared" si="6"/>
        <v>150</v>
      </c>
      <c r="O37" s="1">
        <f t="shared" si="7"/>
        <v>400</v>
      </c>
      <c r="P37" s="1">
        <f t="shared" ca="1" si="8"/>
        <v>30</v>
      </c>
      <c r="Q37" s="1">
        <f t="shared" si="9"/>
        <v>6.6666666666666661</v>
      </c>
      <c r="R37" s="1">
        <f t="shared" si="10"/>
        <v>2</v>
      </c>
    </row>
    <row r="38" spans="1:18" x14ac:dyDescent="0.25">
      <c r="A38" s="21">
        <f t="shared" si="14"/>
        <v>17</v>
      </c>
      <c r="B38" s="1">
        <f t="shared" ref="B38:B101" si="17">N$11</f>
        <v>150</v>
      </c>
      <c r="C38" s="1">
        <f t="shared" si="15"/>
        <v>2100</v>
      </c>
      <c r="D38" s="12">
        <f t="shared" si="1"/>
        <v>100</v>
      </c>
      <c r="E38" s="1">
        <f t="shared" si="11"/>
        <v>100</v>
      </c>
      <c r="F38" s="1">
        <f t="shared" ca="1" si="12"/>
        <v>60</v>
      </c>
      <c r="G38" s="12">
        <f t="shared" ca="1" si="2"/>
        <v>225</v>
      </c>
      <c r="H38" s="1">
        <f t="shared" si="13"/>
        <v>6.6666666666666661</v>
      </c>
      <c r="I38" s="1">
        <f t="shared" si="3"/>
        <v>666.66666666666663</v>
      </c>
      <c r="K38" s="1">
        <f t="shared" si="4"/>
        <v>66.666666666666629</v>
      </c>
      <c r="L38" s="1">
        <f t="shared" si="5"/>
        <v>0</v>
      </c>
      <c r="N38" s="1">
        <f t="shared" si="6"/>
        <v>150</v>
      </c>
      <c r="O38" s="1">
        <f t="shared" si="7"/>
        <v>316.66666666666663</v>
      </c>
      <c r="P38" s="1">
        <f t="shared" ca="1" si="8"/>
        <v>60</v>
      </c>
      <c r="Q38" s="1">
        <f t="shared" si="9"/>
        <v>6.1111111111111107</v>
      </c>
      <c r="R38" s="1">
        <f t="shared" si="10"/>
        <v>2</v>
      </c>
    </row>
    <row r="39" spans="1:18" x14ac:dyDescent="0.25">
      <c r="A39" s="21">
        <f t="shared" si="14"/>
        <v>18</v>
      </c>
      <c r="B39" s="1">
        <f t="shared" si="17"/>
        <v>150</v>
      </c>
      <c r="C39" s="1">
        <f t="shared" si="15"/>
        <v>2250</v>
      </c>
      <c r="D39" s="12">
        <f t="shared" si="1"/>
        <v>100</v>
      </c>
      <c r="E39" s="1">
        <f t="shared" si="11"/>
        <v>100</v>
      </c>
      <c r="F39" s="1">
        <f t="shared" ca="1" si="12"/>
        <v>75</v>
      </c>
      <c r="G39" s="1">
        <f t="shared" ca="1" si="2"/>
        <v>200</v>
      </c>
      <c r="H39" s="1">
        <f t="shared" si="13"/>
        <v>6.1111111111111107</v>
      </c>
      <c r="I39" s="1">
        <f t="shared" si="3"/>
        <v>611.11111111111109</v>
      </c>
      <c r="K39" s="1">
        <f t="shared" si="4"/>
        <v>44.444444444444457</v>
      </c>
      <c r="L39" s="1">
        <f t="shared" si="5"/>
        <v>0</v>
      </c>
      <c r="N39" s="1">
        <f t="shared" si="6"/>
        <v>150</v>
      </c>
      <c r="O39" s="1">
        <f t="shared" si="7"/>
        <v>211.11111111111109</v>
      </c>
      <c r="P39" s="1">
        <f t="shared" ca="1" si="8"/>
        <v>75</v>
      </c>
      <c r="Q39" s="1">
        <f t="shared" si="9"/>
        <v>5.4074074074074074</v>
      </c>
      <c r="R39" s="1">
        <f t="shared" si="10"/>
        <v>1</v>
      </c>
    </row>
    <row r="40" spans="1:18" x14ac:dyDescent="0.25">
      <c r="A40" s="21">
        <f t="shared" si="14"/>
        <v>19</v>
      </c>
      <c r="B40" s="1">
        <f t="shared" si="17"/>
        <v>150</v>
      </c>
      <c r="C40" s="1">
        <f t="shared" si="15"/>
        <v>2400</v>
      </c>
      <c r="D40" s="12">
        <f t="shared" si="1"/>
        <v>100</v>
      </c>
      <c r="E40" s="1">
        <f t="shared" si="11"/>
        <v>100</v>
      </c>
      <c r="F40" s="1">
        <f t="shared" ca="1" si="12"/>
        <v>150</v>
      </c>
      <c r="G40" s="1">
        <f t="shared" ca="1" si="2"/>
        <v>250</v>
      </c>
      <c r="H40" s="1">
        <f t="shared" si="13"/>
        <v>5.4074074074074074</v>
      </c>
      <c r="I40" s="1">
        <f t="shared" si="3"/>
        <v>540.74074074074076</v>
      </c>
      <c r="K40" s="1">
        <f t="shared" si="4"/>
        <v>29.629629629629676</v>
      </c>
      <c r="L40" s="1">
        <f t="shared" si="5"/>
        <v>0</v>
      </c>
      <c r="N40" s="1">
        <f t="shared" si="6"/>
        <v>150</v>
      </c>
      <c r="O40" s="1">
        <f t="shared" si="7"/>
        <v>90.740740740740762</v>
      </c>
      <c r="P40" s="1">
        <f t="shared" ca="1" si="8"/>
        <v>150</v>
      </c>
      <c r="Q40" s="1">
        <f t="shared" si="9"/>
        <v>4.6049382716049383</v>
      </c>
      <c r="R40" s="1">
        <f t="shared" si="10"/>
        <v>0</v>
      </c>
    </row>
    <row r="41" spans="1:18" x14ac:dyDescent="0.25">
      <c r="A41" s="21">
        <f t="shared" si="14"/>
        <v>20</v>
      </c>
      <c r="B41" s="1">
        <f t="shared" si="17"/>
        <v>150</v>
      </c>
      <c r="C41" s="1">
        <f t="shared" si="15"/>
        <v>2550</v>
      </c>
      <c r="D41" s="12">
        <f t="shared" si="1"/>
        <v>100</v>
      </c>
      <c r="E41" s="1">
        <f t="shared" si="11"/>
        <v>100</v>
      </c>
      <c r="F41" s="1">
        <f t="shared" ca="1" si="12"/>
        <v>150</v>
      </c>
      <c r="G41" s="1">
        <f t="shared" ca="1" si="2"/>
        <v>300</v>
      </c>
      <c r="H41" s="1">
        <f t="shared" si="13"/>
        <v>4.6049382716049383</v>
      </c>
      <c r="I41" s="1">
        <f t="shared" si="3"/>
        <v>460.49382716049382</v>
      </c>
      <c r="K41" s="1">
        <f t="shared" si="4"/>
        <v>19.753086419753004</v>
      </c>
      <c r="L41" s="1">
        <f t="shared" si="5"/>
        <v>0</v>
      </c>
      <c r="N41" s="1">
        <f t="shared" si="6"/>
        <v>110.49382716049377</v>
      </c>
      <c r="O41" s="1">
        <f t="shared" si="7"/>
        <v>0</v>
      </c>
      <c r="P41" s="1">
        <f t="shared" ca="1" si="8"/>
        <v>150</v>
      </c>
      <c r="Q41" s="1">
        <f t="shared" si="9"/>
        <v>4</v>
      </c>
      <c r="R41" s="1">
        <f t="shared" si="10"/>
        <v>0</v>
      </c>
    </row>
    <row r="42" spans="1:18" x14ac:dyDescent="0.25">
      <c r="A42" s="21">
        <f t="shared" si="14"/>
        <v>21</v>
      </c>
      <c r="B42" s="1">
        <f t="shared" si="17"/>
        <v>150</v>
      </c>
      <c r="C42" s="1">
        <f t="shared" si="15"/>
        <v>2700</v>
      </c>
      <c r="D42" s="12">
        <f t="shared" si="1"/>
        <v>100</v>
      </c>
      <c r="E42" s="1">
        <f t="shared" si="11"/>
        <v>100</v>
      </c>
      <c r="F42" s="1">
        <f t="shared" ca="1" si="12"/>
        <v>150</v>
      </c>
      <c r="G42" s="1">
        <f t="shared" ca="1" si="2"/>
        <v>350</v>
      </c>
      <c r="H42" s="1">
        <f t="shared" si="13"/>
        <v>4</v>
      </c>
      <c r="I42" s="1">
        <f t="shared" si="3"/>
        <v>400</v>
      </c>
      <c r="K42" s="1">
        <f t="shared" si="4"/>
        <v>39.506172839506178</v>
      </c>
      <c r="L42" s="1">
        <f t="shared" si="5"/>
        <v>0</v>
      </c>
      <c r="N42" s="1">
        <f t="shared" si="6"/>
        <v>39.506172839506178</v>
      </c>
      <c r="O42" s="1">
        <f t="shared" si="7"/>
        <v>0</v>
      </c>
      <c r="P42" s="1">
        <f t="shared" ca="1" si="8"/>
        <v>150</v>
      </c>
      <c r="Q42" s="1">
        <f t="shared" si="9"/>
        <v>4</v>
      </c>
      <c r="R42" s="1">
        <f t="shared" si="10"/>
        <v>0</v>
      </c>
    </row>
    <row r="43" spans="1:18" x14ac:dyDescent="0.25">
      <c r="A43" s="21">
        <f t="shared" si="14"/>
        <v>22</v>
      </c>
      <c r="B43" s="1">
        <f t="shared" si="17"/>
        <v>150</v>
      </c>
      <c r="C43" s="1">
        <f t="shared" si="15"/>
        <v>2850</v>
      </c>
      <c r="D43" s="12">
        <f t="shared" si="1"/>
        <v>100</v>
      </c>
      <c r="E43" s="1">
        <f t="shared" si="11"/>
        <v>100</v>
      </c>
      <c r="F43" s="1">
        <f t="shared" ca="1" si="12"/>
        <v>150</v>
      </c>
      <c r="G43" s="1">
        <f t="shared" ca="1" si="2"/>
        <v>400</v>
      </c>
      <c r="H43" s="1">
        <f t="shared" si="13"/>
        <v>4</v>
      </c>
      <c r="I43" s="1">
        <f t="shared" si="3"/>
        <v>400</v>
      </c>
      <c r="K43" s="1">
        <f t="shared" si="4"/>
        <v>100</v>
      </c>
      <c r="L43" s="1">
        <f t="shared" si="5"/>
        <v>0</v>
      </c>
      <c r="N43" s="1">
        <f t="shared" si="6"/>
        <v>100</v>
      </c>
      <c r="O43" s="1">
        <f t="shared" si="7"/>
        <v>0</v>
      </c>
      <c r="P43" s="1">
        <f t="shared" ca="1" si="8"/>
        <v>150</v>
      </c>
      <c r="Q43" s="1">
        <f t="shared" si="9"/>
        <v>4</v>
      </c>
      <c r="R43" s="1">
        <f t="shared" si="10"/>
        <v>0</v>
      </c>
    </row>
    <row r="44" spans="1:18" x14ac:dyDescent="0.25">
      <c r="A44" s="21">
        <f t="shared" si="14"/>
        <v>23</v>
      </c>
      <c r="B44" s="1">
        <f t="shared" si="17"/>
        <v>150</v>
      </c>
      <c r="C44" s="1">
        <f t="shared" si="15"/>
        <v>3000</v>
      </c>
      <c r="D44" s="12">
        <f t="shared" si="1"/>
        <v>100</v>
      </c>
      <c r="E44" s="1">
        <f t="shared" si="11"/>
        <v>100</v>
      </c>
      <c r="F44" s="1">
        <f t="shared" ca="1" si="12"/>
        <v>150</v>
      </c>
      <c r="G44" s="1">
        <f t="shared" ca="1" si="2"/>
        <v>450</v>
      </c>
      <c r="H44" s="1">
        <f t="shared" si="13"/>
        <v>4</v>
      </c>
      <c r="I44" s="1">
        <f t="shared" si="3"/>
        <v>400</v>
      </c>
      <c r="K44" s="1">
        <f t="shared" si="4"/>
        <v>100</v>
      </c>
      <c r="L44" s="1">
        <f t="shared" si="5"/>
        <v>0</v>
      </c>
      <c r="N44" s="1">
        <f t="shared" si="6"/>
        <v>100</v>
      </c>
      <c r="O44" s="1">
        <f t="shared" si="7"/>
        <v>0</v>
      </c>
      <c r="P44" s="1">
        <f t="shared" ca="1" si="8"/>
        <v>150</v>
      </c>
      <c r="Q44" s="1">
        <f t="shared" si="9"/>
        <v>4</v>
      </c>
      <c r="R44" s="1">
        <f t="shared" si="10"/>
        <v>0</v>
      </c>
    </row>
    <row r="45" spans="1:18" x14ac:dyDescent="0.25">
      <c r="A45" s="21">
        <f t="shared" si="14"/>
        <v>24</v>
      </c>
      <c r="B45" s="1">
        <f t="shared" si="17"/>
        <v>150</v>
      </c>
      <c r="C45" s="1">
        <f t="shared" si="15"/>
        <v>3150</v>
      </c>
      <c r="D45" s="12">
        <f t="shared" si="1"/>
        <v>100</v>
      </c>
      <c r="E45" s="1">
        <f t="shared" si="11"/>
        <v>100</v>
      </c>
      <c r="F45" s="1">
        <f t="shared" ca="1" si="12"/>
        <v>110.49382716049377</v>
      </c>
      <c r="G45" s="1">
        <f t="shared" ca="1" si="2"/>
        <v>460.49382716049377</v>
      </c>
      <c r="H45" s="1">
        <f t="shared" si="13"/>
        <v>4</v>
      </c>
      <c r="I45" s="1">
        <f t="shared" si="3"/>
        <v>400</v>
      </c>
      <c r="K45" s="1">
        <f t="shared" si="4"/>
        <v>100</v>
      </c>
      <c r="L45" s="1">
        <f t="shared" si="5"/>
        <v>0</v>
      </c>
      <c r="N45" s="1">
        <f t="shared" si="6"/>
        <v>100</v>
      </c>
      <c r="O45" s="1">
        <f t="shared" si="7"/>
        <v>0</v>
      </c>
      <c r="P45" s="1">
        <f t="shared" ca="1" si="8"/>
        <v>110.49382716049377</v>
      </c>
      <c r="Q45" s="1">
        <f t="shared" si="9"/>
        <v>4</v>
      </c>
      <c r="R45" s="1">
        <f t="shared" si="10"/>
        <v>0</v>
      </c>
    </row>
    <row r="46" spans="1:18" x14ac:dyDescent="0.25">
      <c r="A46" s="21">
        <f t="shared" si="14"/>
        <v>25</v>
      </c>
      <c r="B46" s="1">
        <f t="shared" si="17"/>
        <v>150</v>
      </c>
      <c r="C46" s="1">
        <f t="shared" si="15"/>
        <v>3300</v>
      </c>
      <c r="D46" s="12">
        <f t="shared" si="1"/>
        <v>100</v>
      </c>
      <c r="E46" s="1">
        <f t="shared" si="11"/>
        <v>100</v>
      </c>
      <c r="F46" s="1">
        <f t="shared" ca="1" si="12"/>
        <v>39.506172839506178</v>
      </c>
      <c r="G46" s="1">
        <f t="shared" ca="1" si="2"/>
        <v>399.99999999999994</v>
      </c>
      <c r="H46" s="1">
        <f t="shared" si="13"/>
        <v>4</v>
      </c>
      <c r="I46" s="1">
        <f t="shared" si="3"/>
        <v>400</v>
      </c>
      <c r="K46" s="1">
        <f t="shared" si="4"/>
        <v>100</v>
      </c>
      <c r="L46" s="1">
        <f t="shared" si="5"/>
        <v>0</v>
      </c>
      <c r="N46" s="1">
        <f t="shared" si="6"/>
        <v>100</v>
      </c>
      <c r="O46" s="1">
        <f t="shared" si="7"/>
        <v>0</v>
      </c>
      <c r="P46" s="1">
        <f t="shared" ca="1" si="8"/>
        <v>39.506172839506178</v>
      </c>
      <c r="Q46" s="1">
        <f t="shared" si="9"/>
        <v>4</v>
      </c>
      <c r="R46" s="1">
        <f t="shared" si="10"/>
        <v>0</v>
      </c>
    </row>
    <row r="47" spans="1:18" x14ac:dyDescent="0.25">
      <c r="A47" s="21">
        <f t="shared" si="14"/>
        <v>26</v>
      </c>
      <c r="B47" s="1">
        <f t="shared" si="17"/>
        <v>150</v>
      </c>
      <c r="C47" s="1">
        <f t="shared" si="15"/>
        <v>3450</v>
      </c>
      <c r="D47" s="12">
        <f t="shared" si="1"/>
        <v>100</v>
      </c>
      <c r="E47" s="1">
        <f t="shared" si="11"/>
        <v>100</v>
      </c>
      <c r="F47" s="1">
        <f t="shared" ca="1" si="12"/>
        <v>100</v>
      </c>
      <c r="G47" s="1">
        <f t="shared" ca="1" si="2"/>
        <v>399.99999999999994</v>
      </c>
      <c r="H47" s="1">
        <f t="shared" si="13"/>
        <v>4</v>
      </c>
      <c r="I47" s="1">
        <f t="shared" si="3"/>
        <v>400</v>
      </c>
      <c r="K47" s="1">
        <f t="shared" si="4"/>
        <v>100</v>
      </c>
      <c r="L47" s="1">
        <f t="shared" si="5"/>
        <v>0</v>
      </c>
      <c r="N47" s="1">
        <f t="shared" si="6"/>
        <v>100</v>
      </c>
      <c r="O47" s="1">
        <f t="shared" si="7"/>
        <v>0</v>
      </c>
      <c r="P47" s="1">
        <f t="shared" ca="1" si="8"/>
        <v>100</v>
      </c>
      <c r="Q47" s="1">
        <f t="shared" si="9"/>
        <v>4</v>
      </c>
      <c r="R47" s="1">
        <f t="shared" si="10"/>
        <v>0</v>
      </c>
    </row>
    <row r="48" spans="1:18" x14ac:dyDescent="0.25">
      <c r="A48" s="21">
        <f t="shared" si="14"/>
        <v>27</v>
      </c>
      <c r="B48" s="1">
        <f t="shared" si="17"/>
        <v>150</v>
      </c>
      <c r="C48" s="1">
        <f t="shared" si="15"/>
        <v>3600</v>
      </c>
      <c r="D48" s="12">
        <f t="shared" si="1"/>
        <v>100</v>
      </c>
      <c r="E48" s="1">
        <f t="shared" si="11"/>
        <v>100</v>
      </c>
      <c r="F48" s="1">
        <f t="shared" ca="1" si="12"/>
        <v>100</v>
      </c>
      <c r="G48" s="1">
        <f t="shared" ca="1" si="2"/>
        <v>399.99999999999994</v>
      </c>
      <c r="H48" s="1">
        <f t="shared" si="13"/>
        <v>4</v>
      </c>
      <c r="I48" s="1">
        <f t="shared" si="3"/>
        <v>400</v>
      </c>
      <c r="K48" s="1">
        <f t="shared" si="4"/>
        <v>100</v>
      </c>
      <c r="L48" s="1">
        <f t="shared" si="5"/>
        <v>0</v>
      </c>
      <c r="N48" s="1">
        <f t="shared" si="6"/>
        <v>100</v>
      </c>
      <c r="O48" s="1">
        <f t="shared" si="7"/>
        <v>0</v>
      </c>
      <c r="P48" s="1">
        <f t="shared" ca="1" si="8"/>
        <v>100</v>
      </c>
      <c r="Q48" s="1">
        <f t="shared" si="9"/>
        <v>4</v>
      </c>
      <c r="R48" s="1">
        <f t="shared" si="10"/>
        <v>0</v>
      </c>
    </row>
    <row r="49" spans="1:18" x14ac:dyDescent="0.25">
      <c r="A49" s="21">
        <f t="shared" si="14"/>
        <v>28</v>
      </c>
      <c r="B49" s="1">
        <f t="shared" si="17"/>
        <v>150</v>
      </c>
      <c r="C49" s="1">
        <f t="shared" si="15"/>
        <v>3750</v>
      </c>
      <c r="D49" s="12">
        <f t="shared" si="1"/>
        <v>100</v>
      </c>
      <c r="E49" s="1">
        <f t="shared" si="11"/>
        <v>100</v>
      </c>
      <c r="F49" s="1">
        <f t="shared" ca="1" si="12"/>
        <v>100</v>
      </c>
      <c r="G49" s="1">
        <f t="shared" ca="1" si="2"/>
        <v>399.99999999999994</v>
      </c>
      <c r="H49" s="1">
        <f t="shared" si="13"/>
        <v>4</v>
      </c>
      <c r="I49" s="1">
        <f t="shared" si="3"/>
        <v>400</v>
      </c>
      <c r="K49" s="1">
        <f t="shared" si="4"/>
        <v>100</v>
      </c>
      <c r="L49" s="1">
        <f t="shared" si="5"/>
        <v>0</v>
      </c>
      <c r="N49" s="1">
        <f t="shared" si="6"/>
        <v>100</v>
      </c>
      <c r="O49" s="1">
        <f t="shared" si="7"/>
        <v>0</v>
      </c>
      <c r="P49" s="1">
        <f t="shared" ca="1" si="8"/>
        <v>100</v>
      </c>
      <c r="Q49" s="1">
        <f t="shared" si="9"/>
        <v>4</v>
      </c>
      <c r="R49" s="1">
        <f t="shared" si="10"/>
        <v>0</v>
      </c>
    </row>
    <row r="50" spans="1:18" x14ac:dyDescent="0.25">
      <c r="A50" s="21">
        <f t="shared" si="14"/>
        <v>29</v>
      </c>
      <c r="B50" s="1">
        <f t="shared" si="17"/>
        <v>150</v>
      </c>
      <c r="C50" s="1">
        <f t="shared" si="15"/>
        <v>3900</v>
      </c>
      <c r="D50" s="12">
        <f t="shared" si="1"/>
        <v>100</v>
      </c>
      <c r="E50" s="1">
        <f t="shared" si="11"/>
        <v>100</v>
      </c>
      <c r="F50" s="1">
        <f t="shared" ca="1" si="12"/>
        <v>100</v>
      </c>
      <c r="G50" s="1">
        <f t="shared" ca="1" si="2"/>
        <v>399.99999999999994</v>
      </c>
      <c r="H50" s="1">
        <f t="shared" si="13"/>
        <v>4</v>
      </c>
      <c r="I50" s="1">
        <f t="shared" si="3"/>
        <v>400</v>
      </c>
      <c r="K50" s="1">
        <f t="shared" si="4"/>
        <v>100</v>
      </c>
      <c r="L50" s="1">
        <f t="shared" si="5"/>
        <v>0</v>
      </c>
      <c r="N50" s="1">
        <f t="shared" si="6"/>
        <v>100</v>
      </c>
      <c r="O50" s="1">
        <f t="shared" si="7"/>
        <v>0</v>
      </c>
      <c r="P50" s="1">
        <f t="shared" ca="1" si="8"/>
        <v>100</v>
      </c>
      <c r="Q50" s="1">
        <f t="shared" si="9"/>
        <v>4</v>
      </c>
      <c r="R50" s="1">
        <f t="shared" si="10"/>
        <v>0</v>
      </c>
    </row>
    <row r="51" spans="1:18" x14ac:dyDescent="0.25">
      <c r="A51" s="21">
        <f t="shared" si="14"/>
        <v>30</v>
      </c>
      <c r="B51" s="1">
        <f t="shared" si="17"/>
        <v>150</v>
      </c>
      <c r="C51" s="1">
        <f t="shared" si="15"/>
        <v>4050</v>
      </c>
      <c r="D51" s="12">
        <f t="shared" si="1"/>
        <v>100</v>
      </c>
      <c r="E51" s="1">
        <f t="shared" si="11"/>
        <v>100</v>
      </c>
      <c r="F51" s="1">
        <f t="shared" ca="1" si="12"/>
        <v>100</v>
      </c>
      <c r="G51" s="1">
        <f t="shared" ca="1" si="2"/>
        <v>399.99999999999994</v>
      </c>
      <c r="H51" s="1">
        <f t="shared" si="13"/>
        <v>4</v>
      </c>
      <c r="I51" s="1">
        <f t="shared" si="3"/>
        <v>400</v>
      </c>
      <c r="K51" s="1">
        <f t="shared" si="4"/>
        <v>100</v>
      </c>
      <c r="L51" s="1">
        <f t="shared" si="5"/>
        <v>0</v>
      </c>
      <c r="N51" s="1">
        <f t="shared" si="6"/>
        <v>100</v>
      </c>
      <c r="O51" s="1">
        <f t="shared" si="7"/>
        <v>0</v>
      </c>
      <c r="P51" s="1">
        <f t="shared" ca="1" si="8"/>
        <v>100</v>
      </c>
      <c r="Q51" s="1">
        <f t="shared" si="9"/>
        <v>4</v>
      </c>
      <c r="R51" s="1">
        <f t="shared" si="10"/>
        <v>0</v>
      </c>
    </row>
    <row r="52" spans="1:18" x14ac:dyDescent="0.25">
      <c r="A52" s="21">
        <f t="shared" si="14"/>
        <v>31</v>
      </c>
      <c r="B52" s="1">
        <f t="shared" si="17"/>
        <v>150</v>
      </c>
      <c r="C52" s="1">
        <f t="shared" si="15"/>
        <v>4200</v>
      </c>
      <c r="D52" s="12">
        <f t="shared" si="1"/>
        <v>100</v>
      </c>
      <c r="E52" s="1">
        <f t="shared" si="11"/>
        <v>100</v>
      </c>
      <c r="F52" s="1">
        <f t="shared" ca="1" si="12"/>
        <v>100</v>
      </c>
      <c r="G52" s="1">
        <f t="shared" ca="1" si="2"/>
        <v>399.99999999999994</v>
      </c>
      <c r="H52" s="1">
        <f t="shared" si="13"/>
        <v>4</v>
      </c>
      <c r="I52" s="1">
        <f t="shared" si="3"/>
        <v>400</v>
      </c>
      <c r="K52" s="1">
        <f t="shared" si="4"/>
        <v>100</v>
      </c>
      <c r="L52" s="1">
        <f t="shared" si="5"/>
        <v>0</v>
      </c>
      <c r="N52" s="1">
        <f t="shared" si="6"/>
        <v>100</v>
      </c>
      <c r="O52" s="1">
        <f t="shared" si="7"/>
        <v>0</v>
      </c>
      <c r="P52" s="1">
        <f t="shared" ca="1" si="8"/>
        <v>100</v>
      </c>
      <c r="Q52" s="1">
        <f t="shared" si="9"/>
        <v>4</v>
      </c>
      <c r="R52" s="1">
        <f t="shared" si="10"/>
        <v>0</v>
      </c>
    </row>
    <row r="53" spans="1:18" x14ac:dyDescent="0.25">
      <c r="A53" s="21">
        <f t="shared" si="14"/>
        <v>32</v>
      </c>
      <c r="B53" s="1">
        <f t="shared" si="17"/>
        <v>150</v>
      </c>
      <c r="C53" s="1">
        <f t="shared" si="15"/>
        <v>4350</v>
      </c>
      <c r="D53" s="1">
        <f t="shared" si="1"/>
        <v>100</v>
      </c>
      <c r="E53" s="1">
        <f t="shared" si="11"/>
        <v>100</v>
      </c>
      <c r="F53" s="1">
        <f t="shared" ca="1" si="12"/>
        <v>100</v>
      </c>
      <c r="G53" s="1">
        <f t="shared" ca="1" si="2"/>
        <v>399.99999999999994</v>
      </c>
      <c r="H53" s="1">
        <f t="shared" si="13"/>
        <v>4</v>
      </c>
      <c r="I53" s="1">
        <f t="shared" si="3"/>
        <v>400</v>
      </c>
      <c r="K53" s="1">
        <f t="shared" si="4"/>
        <v>100</v>
      </c>
      <c r="L53" s="1">
        <f t="shared" si="5"/>
        <v>0</v>
      </c>
      <c r="N53" s="1">
        <f t="shared" si="6"/>
        <v>100</v>
      </c>
      <c r="O53" s="1">
        <f t="shared" si="7"/>
        <v>0</v>
      </c>
      <c r="P53" s="1">
        <f t="shared" ca="1" si="8"/>
        <v>100</v>
      </c>
      <c r="Q53" s="1">
        <f t="shared" si="9"/>
        <v>4</v>
      </c>
      <c r="R53" s="1">
        <f t="shared" si="10"/>
        <v>0</v>
      </c>
    </row>
    <row r="54" spans="1:18" x14ac:dyDescent="0.25">
      <c r="A54" s="21">
        <f t="shared" si="14"/>
        <v>33</v>
      </c>
      <c r="B54" s="1">
        <f t="shared" si="17"/>
        <v>150</v>
      </c>
      <c r="C54" s="1">
        <f t="shared" si="15"/>
        <v>4500</v>
      </c>
      <c r="D54" s="1">
        <f t="shared" si="1"/>
        <v>100</v>
      </c>
      <c r="E54" s="1">
        <f t="shared" si="11"/>
        <v>100</v>
      </c>
      <c r="F54" s="1">
        <f t="shared" ca="1" si="12"/>
        <v>100</v>
      </c>
      <c r="G54" s="1">
        <f t="shared" ca="1" si="2"/>
        <v>399.99999999999994</v>
      </c>
      <c r="H54" s="1">
        <f t="shared" si="13"/>
        <v>4</v>
      </c>
      <c r="I54" s="1">
        <f t="shared" si="3"/>
        <v>400</v>
      </c>
      <c r="K54" s="1">
        <f t="shared" si="4"/>
        <v>100</v>
      </c>
      <c r="L54" s="1">
        <f t="shared" si="5"/>
        <v>0</v>
      </c>
      <c r="N54" s="1">
        <f t="shared" si="6"/>
        <v>100</v>
      </c>
      <c r="O54" s="1">
        <f t="shared" si="7"/>
        <v>0</v>
      </c>
      <c r="P54" s="1">
        <f t="shared" ca="1" si="8"/>
        <v>100</v>
      </c>
      <c r="Q54" s="1">
        <f t="shared" si="9"/>
        <v>4</v>
      </c>
      <c r="R54" s="1">
        <f t="shared" si="10"/>
        <v>0</v>
      </c>
    </row>
    <row r="55" spans="1:18" x14ac:dyDescent="0.25">
      <c r="A55" s="21">
        <f t="shared" si="14"/>
        <v>34</v>
      </c>
      <c r="B55" s="1">
        <f t="shared" si="17"/>
        <v>150</v>
      </c>
      <c r="C55" s="1">
        <f t="shared" si="15"/>
        <v>4650</v>
      </c>
      <c r="D55" s="1">
        <f t="shared" si="1"/>
        <v>100</v>
      </c>
      <c r="E55" s="1">
        <f t="shared" si="11"/>
        <v>100</v>
      </c>
      <c r="F55" s="1">
        <f t="shared" ca="1" si="12"/>
        <v>100</v>
      </c>
      <c r="G55" s="1">
        <f t="shared" ca="1" si="2"/>
        <v>399.99999999999994</v>
      </c>
      <c r="H55" s="1">
        <f t="shared" si="13"/>
        <v>4</v>
      </c>
      <c r="I55" s="1">
        <f t="shared" si="3"/>
        <v>400</v>
      </c>
      <c r="K55" s="1">
        <f t="shared" si="4"/>
        <v>100</v>
      </c>
      <c r="L55" s="1">
        <f t="shared" si="5"/>
        <v>0</v>
      </c>
      <c r="N55" s="1">
        <f t="shared" si="6"/>
        <v>100</v>
      </c>
      <c r="O55" s="1">
        <f t="shared" si="7"/>
        <v>0</v>
      </c>
      <c r="P55" s="1">
        <f t="shared" ca="1" si="8"/>
        <v>100</v>
      </c>
      <c r="Q55" s="1">
        <f t="shared" si="9"/>
        <v>4</v>
      </c>
      <c r="R55" s="1">
        <f t="shared" si="10"/>
        <v>0</v>
      </c>
    </row>
    <row r="56" spans="1:18" x14ac:dyDescent="0.25">
      <c r="A56" s="21">
        <f t="shared" si="14"/>
        <v>35</v>
      </c>
      <c r="B56" s="1">
        <f t="shared" si="17"/>
        <v>150</v>
      </c>
      <c r="C56" s="1">
        <f t="shared" si="15"/>
        <v>4800</v>
      </c>
      <c r="D56" s="1">
        <f t="shared" si="1"/>
        <v>100</v>
      </c>
      <c r="E56" s="1">
        <f t="shared" si="11"/>
        <v>100</v>
      </c>
      <c r="F56" s="1">
        <f t="shared" ca="1" si="12"/>
        <v>100</v>
      </c>
      <c r="G56" s="1">
        <f t="shared" ca="1" si="2"/>
        <v>399.99999999999994</v>
      </c>
      <c r="H56" s="1">
        <f t="shared" si="13"/>
        <v>4</v>
      </c>
      <c r="I56" s="1">
        <f t="shared" si="3"/>
        <v>400</v>
      </c>
      <c r="K56" s="1">
        <f t="shared" si="4"/>
        <v>100</v>
      </c>
      <c r="L56" s="1">
        <f t="shared" si="5"/>
        <v>0</v>
      </c>
      <c r="N56" s="1">
        <f t="shared" si="6"/>
        <v>100</v>
      </c>
      <c r="O56" s="1">
        <f t="shared" si="7"/>
        <v>0</v>
      </c>
      <c r="P56" s="1">
        <f t="shared" ca="1" si="8"/>
        <v>100</v>
      </c>
      <c r="Q56" s="1">
        <f t="shared" si="9"/>
        <v>4</v>
      </c>
      <c r="R56" s="1">
        <f t="shared" si="10"/>
        <v>0</v>
      </c>
    </row>
    <row r="57" spans="1:18" x14ac:dyDescent="0.25">
      <c r="A57" s="21">
        <f t="shared" si="14"/>
        <v>36</v>
      </c>
      <c r="B57" s="1">
        <f t="shared" si="17"/>
        <v>150</v>
      </c>
      <c r="C57" s="1">
        <f t="shared" si="15"/>
        <v>4950</v>
      </c>
      <c r="D57" s="1">
        <f t="shared" si="1"/>
        <v>100</v>
      </c>
      <c r="E57" s="1">
        <f t="shared" si="11"/>
        <v>100</v>
      </c>
      <c r="F57" s="1">
        <f t="shared" ca="1" si="12"/>
        <v>100</v>
      </c>
      <c r="G57" s="1">
        <f t="shared" ca="1" si="2"/>
        <v>399.99999999999994</v>
      </c>
      <c r="H57" s="1">
        <f t="shared" si="13"/>
        <v>4</v>
      </c>
      <c r="I57" s="1">
        <f t="shared" si="3"/>
        <v>400</v>
      </c>
      <c r="K57" s="1">
        <f t="shared" si="4"/>
        <v>100</v>
      </c>
      <c r="L57" s="1">
        <f t="shared" si="5"/>
        <v>0</v>
      </c>
      <c r="N57" s="1">
        <f t="shared" si="6"/>
        <v>100</v>
      </c>
      <c r="O57" s="1">
        <f t="shared" si="7"/>
        <v>0</v>
      </c>
      <c r="P57" s="1">
        <f t="shared" ca="1" si="8"/>
        <v>100</v>
      </c>
      <c r="Q57" s="1">
        <f t="shared" si="9"/>
        <v>4</v>
      </c>
      <c r="R57" s="1">
        <f t="shared" si="10"/>
        <v>0</v>
      </c>
    </row>
    <row r="58" spans="1:18" x14ac:dyDescent="0.25">
      <c r="A58" s="21">
        <f t="shared" si="14"/>
        <v>37</v>
      </c>
      <c r="B58" s="1">
        <f t="shared" si="17"/>
        <v>150</v>
      </c>
      <c r="C58" s="1">
        <f t="shared" si="15"/>
        <v>5100</v>
      </c>
      <c r="D58" s="1">
        <f t="shared" si="1"/>
        <v>100</v>
      </c>
      <c r="E58" s="1">
        <f t="shared" si="11"/>
        <v>100</v>
      </c>
      <c r="F58" s="1">
        <f t="shared" ca="1" si="12"/>
        <v>100</v>
      </c>
      <c r="G58" s="1">
        <f t="shared" ca="1" si="2"/>
        <v>399.99999999999994</v>
      </c>
      <c r="H58" s="1">
        <f t="shared" si="13"/>
        <v>4</v>
      </c>
      <c r="I58" s="1">
        <f t="shared" si="3"/>
        <v>400</v>
      </c>
      <c r="K58" s="1">
        <f t="shared" si="4"/>
        <v>100</v>
      </c>
      <c r="L58" s="1">
        <f t="shared" si="5"/>
        <v>0</v>
      </c>
      <c r="N58" s="1">
        <f t="shared" si="6"/>
        <v>100</v>
      </c>
      <c r="O58" s="1">
        <f t="shared" si="7"/>
        <v>0</v>
      </c>
      <c r="P58" s="1">
        <f t="shared" ca="1" si="8"/>
        <v>100</v>
      </c>
      <c r="Q58" s="1">
        <f t="shared" si="9"/>
        <v>4</v>
      </c>
      <c r="R58" s="1">
        <f t="shared" si="10"/>
        <v>0</v>
      </c>
    </row>
    <row r="59" spans="1:18" x14ac:dyDescent="0.25">
      <c r="A59" s="21">
        <f t="shared" si="14"/>
        <v>38</v>
      </c>
      <c r="B59" s="1">
        <f t="shared" si="17"/>
        <v>150</v>
      </c>
      <c r="C59" s="1">
        <f t="shared" si="15"/>
        <v>5250</v>
      </c>
      <c r="D59" s="1">
        <f t="shared" si="1"/>
        <v>100</v>
      </c>
      <c r="E59" s="1">
        <f t="shared" si="11"/>
        <v>100</v>
      </c>
      <c r="F59" s="1">
        <f t="shared" ca="1" si="12"/>
        <v>100</v>
      </c>
      <c r="G59" s="1">
        <f t="shared" ca="1" si="2"/>
        <v>399.99999999999994</v>
      </c>
      <c r="H59" s="1">
        <f t="shared" si="13"/>
        <v>4</v>
      </c>
      <c r="I59" s="1">
        <f t="shared" si="3"/>
        <v>400</v>
      </c>
      <c r="K59" s="1">
        <f t="shared" si="4"/>
        <v>100</v>
      </c>
      <c r="L59" s="1">
        <f t="shared" si="5"/>
        <v>0</v>
      </c>
      <c r="N59" s="1">
        <f t="shared" si="6"/>
        <v>100</v>
      </c>
      <c r="O59" s="1">
        <f t="shared" si="7"/>
        <v>0</v>
      </c>
      <c r="P59" s="1">
        <f t="shared" ca="1" si="8"/>
        <v>100</v>
      </c>
      <c r="Q59" s="1">
        <f t="shared" si="9"/>
        <v>4</v>
      </c>
      <c r="R59" s="1">
        <f t="shared" si="10"/>
        <v>0</v>
      </c>
    </row>
    <row r="60" spans="1:18" x14ac:dyDescent="0.25">
      <c r="A60" s="21">
        <f t="shared" si="14"/>
        <v>39</v>
      </c>
      <c r="B60" s="1">
        <f t="shared" si="17"/>
        <v>150</v>
      </c>
      <c r="C60" s="1">
        <f t="shared" si="15"/>
        <v>5400</v>
      </c>
      <c r="D60" s="1">
        <f t="shared" si="1"/>
        <v>100</v>
      </c>
      <c r="E60" s="1">
        <f t="shared" si="11"/>
        <v>100</v>
      </c>
      <c r="F60" s="1">
        <f t="shared" ca="1" si="12"/>
        <v>100</v>
      </c>
      <c r="G60" s="1">
        <f t="shared" ca="1" si="2"/>
        <v>399.99999999999994</v>
      </c>
      <c r="H60" s="1">
        <f t="shared" si="13"/>
        <v>4</v>
      </c>
      <c r="I60" s="1">
        <f t="shared" si="3"/>
        <v>400</v>
      </c>
      <c r="K60" s="1">
        <f t="shared" si="4"/>
        <v>100</v>
      </c>
      <c r="L60" s="1">
        <f t="shared" si="5"/>
        <v>0</v>
      </c>
      <c r="N60" s="1">
        <f t="shared" si="6"/>
        <v>100</v>
      </c>
      <c r="O60" s="1">
        <f t="shared" si="7"/>
        <v>0</v>
      </c>
      <c r="P60" s="1">
        <f t="shared" ca="1" si="8"/>
        <v>100</v>
      </c>
      <c r="Q60" s="1">
        <f t="shared" si="9"/>
        <v>4</v>
      </c>
      <c r="R60" s="1">
        <f t="shared" si="10"/>
        <v>0</v>
      </c>
    </row>
    <row r="61" spans="1:18" x14ac:dyDescent="0.25">
      <c r="A61" s="21">
        <f t="shared" si="14"/>
        <v>40</v>
      </c>
      <c r="B61" s="1">
        <f t="shared" si="17"/>
        <v>150</v>
      </c>
      <c r="C61" s="1">
        <f t="shared" si="15"/>
        <v>5550</v>
      </c>
      <c r="D61" s="1">
        <f t="shared" si="1"/>
        <v>100</v>
      </c>
      <c r="E61" s="1">
        <f t="shared" si="11"/>
        <v>100</v>
      </c>
      <c r="F61" s="1">
        <f t="shared" ca="1" si="12"/>
        <v>100</v>
      </c>
      <c r="G61" s="1">
        <f t="shared" ca="1" si="2"/>
        <v>399.99999999999994</v>
      </c>
      <c r="H61" s="1">
        <f t="shared" si="13"/>
        <v>4</v>
      </c>
      <c r="I61" s="1">
        <f t="shared" si="3"/>
        <v>400</v>
      </c>
      <c r="K61" s="1">
        <f t="shared" si="4"/>
        <v>100</v>
      </c>
      <c r="L61" s="1">
        <f t="shared" si="5"/>
        <v>0</v>
      </c>
      <c r="N61" s="1">
        <f t="shared" si="6"/>
        <v>100</v>
      </c>
      <c r="O61" s="1">
        <f t="shared" si="7"/>
        <v>0</v>
      </c>
      <c r="P61" s="1">
        <f t="shared" ca="1" si="8"/>
        <v>100</v>
      </c>
      <c r="Q61" s="1">
        <f t="shared" si="9"/>
        <v>4</v>
      </c>
      <c r="R61" s="1">
        <f t="shared" si="10"/>
        <v>0</v>
      </c>
    </row>
    <row r="62" spans="1:18" x14ac:dyDescent="0.25">
      <c r="A62" s="21">
        <f t="shared" si="14"/>
        <v>41</v>
      </c>
      <c r="B62" s="1">
        <f t="shared" si="17"/>
        <v>150</v>
      </c>
      <c r="C62" s="1">
        <f t="shared" si="15"/>
        <v>5700</v>
      </c>
      <c r="D62" s="1">
        <f t="shared" si="1"/>
        <v>100</v>
      </c>
      <c r="E62" s="1">
        <f t="shared" si="11"/>
        <v>100</v>
      </c>
      <c r="F62" s="1">
        <f t="shared" ca="1" si="12"/>
        <v>100</v>
      </c>
      <c r="G62" s="1">
        <f t="shared" ca="1" si="2"/>
        <v>399.99999999999994</v>
      </c>
      <c r="H62" s="1">
        <f t="shared" si="13"/>
        <v>4</v>
      </c>
      <c r="I62" s="1">
        <f t="shared" si="3"/>
        <v>400</v>
      </c>
      <c r="K62" s="1">
        <f t="shared" si="4"/>
        <v>100</v>
      </c>
      <c r="L62" s="1">
        <f t="shared" si="5"/>
        <v>0</v>
      </c>
      <c r="N62" s="1">
        <f t="shared" si="6"/>
        <v>100</v>
      </c>
      <c r="O62" s="1">
        <f t="shared" si="7"/>
        <v>0</v>
      </c>
      <c r="P62" s="1">
        <f t="shared" ca="1" si="8"/>
        <v>100</v>
      </c>
      <c r="Q62" s="1">
        <f t="shared" si="9"/>
        <v>4</v>
      </c>
      <c r="R62" s="1">
        <f t="shared" si="10"/>
        <v>0</v>
      </c>
    </row>
    <row r="63" spans="1:18" x14ac:dyDescent="0.25">
      <c r="A63" s="21">
        <f t="shared" si="14"/>
        <v>42</v>
      </c>
      <c r="B63" s="1">
        <f t="shared" si="17"/>
        <v>150</v>
      </c>
      <c r="C63" s="1">
        <f t="shared" si="15"/>
        <v>5850</v>
      </c>
      <c r="D63" s="1">
        <f t="shared" si="1"/>
        <v>100</v>
      </c>
      <c r="E63" s="1">
        <f t="shared" si="11"/>
        <v>100</v>
      </c>
      <c r="F63" s="1">
        <f t="shared" ca="1" si="12"/>
        <v>100</v>
      </c>
      <c r="G63" s="1">
        <f t="shared" ca="1" si="2"/>
        <v>399.99999999999994</v>
      </c>
      <c r="H63" s="1">
        <f t="shared" si="13"/>
        <v>4</v>
      </c>
      <c r="I63" s="1">
        <f t="shared" si="3"/>
        <v>400</v>
      </c>
      <c r="K63" s="1">
        <f t="shared" si="4"/>
        <v>100</v>
      </c>
      <c r="L63" s="1">
        <f t="shared" si="5"/>
        <v>0</v>
      </c>
      <c r="N63" s="1">
        <f t="shared" si="6"/>
        <v>100</v>
      </c>
      <c r="O63" s="1">
        <f t="shared" si="7"/>
        <v>0</v>
      </c>
      <c r="P63" s="1">
        <f t="shared" ca="1" si="8"/>
        <v>100</v>
      </c>
      <c r="Q63" s="1">
        <f t="shared" si="9"/>
        <v>4</v>
      </c>
      <c r="R63" s="1">
        <f t="shared" si="10"/>
        <v>0</v>
      </c>
    </row>
    <row r="64" spans="1:18" x14ac:dyDescent="0.25">
      <c r="A64" s="21">
        <f t="shared" si="14"/>
        <v>43</v>
      </c>
      <c r="B64" s="1">
        <f t="shared" si="17"/>
        <v>150</v>
      </c>
      <c r="C64" s="1">
        <f t="shared" si="15"/>
        <v>6000</v>
      </c>
      <c r="D64" s="1">
        <f t="shared" si="1"/>
        <v>100</v>
      </c>
      <c r="E64" s="1">
        <f t="shared" si="11"/>
        <v>100</v>
      </c>
      <c r="F64" s="1">
        <f t="shared" ca="1" si="12"/>
        <v>100</v>
      </c>
      <c r="G64" s="1">
        <f t="shared" ca="1" si="2"/>
        <v>399.99999999999994</v>
      </c>
      <c r="H64" s="1">
        <f t="shared" si="13"/>
        <v>4</v>
      </c>
      <c r="I64" s="1">
        <f t="shared" si="3"/>
        <v>400</v>
      </c>
      <c r="K64" s="1">
        <f t="shared" si="4"/>
        <v>100</v>
      </c>
      <c r="L64" s="1">
        <f t="shared" si="5"/>
        <v>0</v>
      </c>
      <c r="N64" s="1">
        <f t="shared" si="6"/>
        <v>100</v>
      </c>
      <c r="O64" s="1">
        <f t="shared" si="7"/>
        <v>0</v>
      </c>
      <c r="P64" s="1">
        <f t="shared" ca="1" si="8"/>
        <v>100</v>
      </c>
      <c r="Q64" s="1">
        <f t="shared" si="9"/>
        <v>4</v>
      </c>
      <c r="R64" s="1">
        <f t="shared" si="10"/>
        <v>0</v>
      </c>
    </row>
    <row r="65" spans="1:18" x14ac:dyDescent="0.25">
      <c r="A65" s="21">
        <f t="shared" si="14"/>
        <v>44</v>
      </c>
      <c r="B65" s="1">
        <f t="shared" si="17"/>
        <v>150</v>
      </c>
      <c r="C65" s="1">
        <f t="shared" si="15"/>
        <v>6150</v>
      </c>
      <c r="D65" s="1">
        <f t="shared" si="1"/>
        <v>100</v>
      </c>
      <c r="E65" s="1">
        <f t="shared" si="11"/>
        <v>100</v>
      </c>
      <c r="F65" s="1">
        <f t="shared" ca="1" si="12"/>
        <v>100</v>
      </c>
      <c r="G65" s="1">
        <f t="shared" ca="1" si="2"/>
        <v>399.99999999999994</v>
      </c>
      <c r="H65" s="1">
        <f t="shared" si="13"/>
        <v>4</v>
      </c>
      <c r="I65" s="1">
        <f t="shared" si="3"/>
        <v>400</v>
      </c>
      <c r="K65" s="1">
        <f t="shared" si="4"/>
        <v>100</v>
      </c>
      <c r="L65" s="1">
        <f t="shared" si="5"/>
        <v>0</v>
      </c>
      <c r="N65" s="1">
        <f t="shared" si="6"/>
        <v>100</v>
      </c>
      <c r="O65" s="1">
        <f t="shared" si="7"/>
        <v>0</v>
      </c>
      <c r="P65" s="1">
        <f t="shared" ca="1" si="8"/>
        <v>100</v>
      </c>
      <c r="Q65" s="1">
        <f t="shared" si="9"/>
        <v>4</v>
      </c>
      <c r="R65" s="1">
        <f t="shared" si="10"/>
        <v>0</v>
      </c>
    </row>
    <row r="66" spans="1:18" x14ac:dyDescent="0.25">
      <c r="A66" s="21">
        <f t="shared" si="14"/>
        <v>45</v>
      </c>
      <c r="B66" s="1">
        <f t="shared" si="17"/>
        <v>150</v>
      </c>
      <c r="C66" s="1">
        <f t="shared" si="15"/>
        <v>6300</v>
      </c>
      <c r="D66" s="1">
        <f t="shared" si="1"/>
        <v>100</v>
      </c>
      <c r="E66" s="1">
        <f t="shared" si="11"/>
        <v>100</v>
      </c>
      <c r="F66" s="1">
        <f t="shared" ca="1" si="12"/>
        <v>100</v>
      </c>
      <c r="G66" s="1">
        <f t="shared" ca="1" si="2"/>
        <v>399.99999999999994</v>
      </c>
      <c r="H66" s="1">
        <f t="shared" si="13"/>
        <v>4</v>
      </c>
      <c r="I66" s="1">
        <f t="shared" si="3"/>
        <v>400</v>
      </c>
      <c r="K66" s="1">
        <f t="shared" si="4"/>
        <v>100</v>
      </c>
      <c r="L66" s="1">
        <f t="shared" si="5"/>
        <v>0</v>
      </c>
      <c r="N66" s="1">
        <f t="shared" si="6"/>
        <v>100</v>
      </c>
      <c r="O66" s="1">
        <f t="shared" si="7"/>
        <v>0</v>
      </c>
      <c r="P66" s="1">
        <f t="shared" ca="1" si="8"/>
        <v>100</v>
      </c>
      <c r="Q66" s="1">
        <f t="shared" si="9"/>
        <v>4</v>
      </c>
      <c r="R66" s="1">
        <f t="shared" si="10"/>
        <v>0</v>
      </c>
    </row>
    <row r="67" spans="1:18" x14ac:dyDescent="0.25">
      <c r="A67" s="21">
        <f t="shared" si="14"/>
        <v>46</v>
      </c>
      <c r="B67" s="1">
        <f t="shared" si="17"/>
        <v>150</v>
      </c>
      <c r="C67" s="1">
        <f t="shared" si="15"/>
        <v>6450</v>
      </c>
      <c r="D67" s="1">
        <f t="shared" si="1"/>
        <v>100</v>
      </c>
      <c r="E67" s="1">
        <f t="shared" si="11"/>
        <v>100</v>
      </c>
      <c r="F67" s="1">
        <f t="shared" ca="1" si="12"/>
        <v>100</v>
      </c>
      <c r="G67" s="1">
        <f t="shared" ca="1" si="2"/>
        <v>399.99999999999994</v>
      </c>
      <c r="H67" s="1">
        <f t="shared" si="13"/>
        <v>4</v>
      </c>
      <c r="I67" s="1">
        <f t="shared" si="3"/>
        <v>400</v>
      </c>
      <c r="K67" s="1">
        <f t="shared" si="4"/>
        <v>100</v>
      </c>
      <c r="L67" s="1">
        <f t="shared" si="5"/>
        <v>0</v>
      </c>
      <c r="N67" s="1">
        <f t="shared" si="6"/>
        <v>100</v>
      </c>
      <c r="O67" s="1">
        <f t="shared" si="7"/>
        <v>0</v>
      </c>
      <c r="P67" s="1">
        <f t="shared" ca="1" si="8"/>
        <v>100</v>
      </c>
      <c r="Q67" s="1">
        <f t="shared" si="9"/>
        <v>4</v>
      </c>
      <c r="R67" s="1">
        <f t="shared" si="10"/>
        <v>0</v>
      </c>
    </row>
    <row r="68" spans="1:18" x14ac:dyDescent="0.25">
      <c r="A68" s="21">
        <f t="shared" si="14"/>
        <v>47</v>
      </c>
      <c r="B68" s="1">
        <f t="shared" si="17"/>
        <v>150</v>
      </c>
      <c r="C68" s="1">
        <f t="shared" si="15"/>
        <v>6600</v>
      </c>
      <c r="D68" s="1">
        <f t="shared" si="1"/>
        <v>100</v>
      </c>
      <c r="E68" s="1">
        <f t="shared" si="11"/>
        <v>100</v>
      </c>
      <c r="F68" s="1">
        <f t="shared" ca="1" si="12"/>
        <v>100</v>
      </c>
      <c r="G68" s="1">
        <f t="shared" ca="1" si="2"/>
        <v>399.99999999999994</v>
      </c>
      <c r="H68" s="1">
        <f t="shared" si="13"/>
        <v>4</v>
      </c>
      <c r="I68" s="1">
        <f t="shared" si="3"/>
        <v>400</v>
      </c>
      <c r="K68" s="1">
        <f t="shared" si="4"/>
        <v>100</v>
      </c>
      <c r="L68" s="1">
        <f t="shared" si="5"/>
        <v>0</v>
      </c>
      <c r="N68" s="1">
        <f t="shared" si="6"/>
        <v>100</v>
      </c>
      <c r="O68" s="1">
        <f t="shared" si="7"/>
        <v>0</v>
      </c>
      <c r="P68" s="1">
        <f t="shared" ca="1" si="8"/>
        <v>100</v>
      </c>
      <c r="Q68" s="1">
        <f t="shared" si="9"/>
        <v>4</v>
      </c>
      <c r="R68" s="1">
        <f t="shared" si="10"/>
        <v>0</v>
      </c>
    </row>
    <row r="69" spans="1:18" x14ac:dyDescent="0.25">
      <c r="A69" s="21">
        <f t="shared" si="14"/>
        <v>48</v>
      </c>
      <c r="B69" s="1">
        <f t="shared" si="17"/>
        <v>150</v>
      </c>
      <c r="C69" s="1">
        <f t="shared" si="15"/>
        <v>6750</v>
      </c>
      <c r="D69" s="1">
        <f t="shared" si="1"/>
        <v>100</v>
      </c>
      <c r="E69" s="1">
        <f t="shared" si="11"/>
        <v>100</v>
      </c>
      <c r="F69" s="1">
        <f t="shared" ca="1" si="12"/>
        <v>100</v>
      </c>
      <c r="G69" s="1">
        <f t="shared" ca="1" si="2"/>
        <v>399.99999999999994</v>
      </c>
      <c r="H69" s="1">
        <f t="shared" si="13"/>
        <v>4</v>
      </c>
      <c r="I69" s="1">
        <f t="shared" si="3"/>
        <v>400</v>
      </c>
      <c r="K69" s="1">
        <f t="shared" si="4"/>
        <v>100</v>
      </c>
      <c r="L69" s="1">
        <f t="shared" si="5"/>
        <v>0</v>
      </c>
      <c r="N69" s="1">
        <f t="shared" si="6"/>
        <v>100</v>
      </c>
      <c r="O69" s="1">
        <f t="shared" si="7"/>
        <v>0</v>
      </c>
      <c r="P69" s="1">
        <f t="shared" ca="1" si="8"/>
        <v>100</v>
      </c>
      <c r="Q69" s="1">
        <f t="shared" si="9"/>
        <v>4</v>
      </c>
      <c r="R69" s="1">
        <f t="shared" si="10"/>
        <v>0</v>
      </c>
    </row>
    <row r="70" spans="1:18" x14ac:dyDescent="0.25">
      <c r="A70" s="21">
        <f t="shared" si="14"/>
        <v>49</v>
      </c>
      <c r="B70" s="1">
        <f t="shared" si="17"/>
        <v>150</v>
      </c>
      <c r="C70" s="1">
        <f t="shared" si="15"/>
        <v>6900</v>
      </c>
      <c r="D70" s="1">
        <f t="shared" si="1"/>
        <v>100</v>
      </c>
      <c r="E70" s="1">
        <f t="shared" si="11"/>
        <v>100</v>
      </c>
      <c r="F70" s="1">
        <f t="shared" ca="1" si="12"/>
        <v>100</v>
      </c>
      <c r="G70" s="1">
        <f t="shared" ca="1" si="2"/>
        <v>399.99999999999994</v>
      </c>
      <c r="H70" s="1">
        <f t="shared" si="13"/>
        <v>4</v>
      </c>
      <c r="I70" s="1">
        <f t="shared" si="3"/>
        <v>400</v>
      </c>
      <c r="K70" s="1">
        <f t="shared" si="4"/>
        <v>100</v>
      </c>
      <c r="L70" s="1">
        <f t="shared" si="5"/>
        <v>0</v>
      </c>
      <c r="N70" s="1">
        <f t="shared" si="6"/>
        <v>100</v>
      </c>
      <c r="O70" s="1">
        <f t="shared" si="7"/>
        <v>0</v>
      </c>
      <c r="P70" s="1">
        <f t="shared" ca="1" si="8"/>
        <v>100</v>
      </c>
      <c r="Q70" s="1">
        <f t="shared" si="9"/>
        <v>4</v>
      </c>
      <c r="R70" s="1">
        <f t="shared" si="10"/>
        <v>0</v>
      </c>
    </row>
    <row r="71" spans="1:18" x14ac:dyDescent="0.25">
      <c r="A71" s="21">
        <f t="shared" si="14"/>
        <v>50</v>
      </c>
      <c r="B71" s="1">
        <f t="shared" si="17"/>
        <v>150</v>
      </c>
      <c r="C71" s="1">
        <f t="shared" si="15"/>
        <v>7050</v>
      </c>
      <c r="D71" s="1">
        <f t="shared" si="1"/>
        <v>100</v>
      </c>
      <c r="E71" s="1">
        <f t="shared" si="11"/>
        <v>100</v>
      </c>
      <c r="F71" s="1">
        <f t="shared" ca="1" si="12"/>
        <v>100</v>
      </c>
      <c r="G71" s="1">
        <f t="shared" ca="1" si="2"/>
        <v>399.99999999999994</v>
      </c>
      <c r="H71" s="1">
        <f t="shared" si="13"/>
        <v>4</v>
      </c>
      <c r="I71" s="1">
        <f t="shared" si="3"/>
        <v>400</v>
      </c>
      <c r="K71" s="1">
        <f t="shared" si="4"/>
        <v>100</v>
      </c>
      <c r="L71" s="1">
        <f t="shared" si="5"/>
        <v>0</v>
      </c>
      <c r="N71" s="1">
        <f t="shared" si="6"/>
        <v>100</v>
      </c>
      <c r="O71" s="1">
        <f t="shared" si="7"/>
        <v>0</v>
      </c>
      <c r="P71" s="1">
        <f t="shared" ca="1" si="8"/>
        <v>100</v>
      </c>
      <c r="Q71" s="1">
        <f t="shared" si="9"/>
        <v>4</v>
      </c>
      <c r="R71" s="1">
        <f t="shared" si="10"/>
        <v>0</v>
      </c>
    </row>
    <row r="72" spans="1:18" x14ac:dyDescent="0.25">
      <c r="A72" s="21">
        <f t="shared" si="14"/>
        <v>51</v>
      </c>
      <c r="B72" s="1">
        <f t="shared" si="17"/>
        <v>150</v>
      </c>
      <c r="C72" s="1">
        <f t="shared" si="15"/>
        <v>7200</v>
      </c>
      <c r="D72" s="1">
        <f t="shared" si="1"/>
        <v>100</v>
      </c>
      <c r="E72" s="1">
        <f t="shared" si="11"/>
        <v>100</v>
      </c>
      <c r="F72" s="1">
        <f t="shared" ca="1" si="12"/>
        <v>100</v>
      </c>
      <c r="G72" s="1">
        <f t="shared" ca="1" si="2"/>
        <v>399.99999999999994</v>
      </c>
      <c r="H72" s="1">
        <f t="shared" si="13"/>
        <v>4</v>
      </c>
      <c r="I72" s="1">
        <f t="shared" si="3"/>
        <v>400</v>
      </c>
      <c r="K72" s="1">
        <f t="shared" si="4"/>
        <v>100</v>
      </c>
      <c r="L72" s="1">
        <f t="shared" si="5"/>
        <v>0</v>
      </c>
      <c r="N72" s="1">
        <f t="shared" si="6"/>
        <v>100</v>
      </c>
      <c r="O72" s="1">
        <f t="shared" si="7"/>
        <v>0</v>
      </c>
      <c r="P72" s="1">
        <f t="shared" ca="1" si="8"/>
        <v>100</v>
      </c>
      <c r="Q72" s="1">
        <f t="shared" si="9"/>
        <v>4</v>
      </c>
      <c r="R72" s="1">
        <f t="shared" si="10"/>
        <v>0</v>
      </c>
    </row>
    <row r="73" spans="1:18" x14ac:dyDescent="0.25">
      <c r="A73" s="21">
        <f t="shared" si="14"/>
        <v>52</v>
      </c>
      <c r="B73" s="1">
        <f t="shared" si="17"/>
        <v>150</v>
      </c>
      <c r="C73" s="1">
        <f t="shared" si="15"/>
        <v>7350</v>
      </c>
      <c r="D73" s="1">
        <f t="shared" si="1"/>
        <v>100</v>
      </c>
      <c r="E73" s="1">
        <f t="shared" si="11"/>
        <v>100</v>
      </c>
      <c r="F73" s="1">
        <f t="shared" ca="1" si="12"/>
        <v>100</v>
      </c>
      <c r="G73" s="1">
        <f t="shared" ca="1" si="2"/>
        <v>399.99999999999994</v>
      </c>
      <c r="H73" s="1">
        <f t="shared" si="13"/>
        <v>4</v>
      </c>
      <c r="I73" s="1">
        <f t="shared" si="3"/>
        <v>400</v>
      </c>
      <c r="K73" s="1">
        <f t="shared" si="4"/>
        <v>100</v>
      </c>
      <c r="L73" s="1">
        <f t="shared" si="5"/>
        <v>0</v>
      </c>
      <c r="N73" s="1">
        <f t="shared" si="6"/>
        <v>100</v>
      </c>
      <c r="O73" s="1">
        <f t="shared" si="7"/>
        <v>0</v>
      </c>
      <c r="P73" s="1">
        <f t="shared" ca="1" si="8"/>
        <v>100</v>
      </c>
      <c r="Q73" s="1">
        <f t="shared" si="9"/>
        <v>4</v>
      </c>
      <c r="R73" s="1">
        <f t="shared" si="10"/>
        <v>0</v>
      </c>
    </row>
    <row r="74" spans="1:18" x14ac:dyDescent="0.25">
      <c r="A74" s="21">
        <f t="shared" si="14"/>
        <v>53</v>
      </c>
      <c r="B74" s="1">
        <f t="shared" si="17"/>
        <v>150</v>
      </c>
      <c r="C74" s="1">
        <f t="shared" si="15"/>
        <v>7500</v>
      </c>
      <c r="D74" s="1">
        <f t="shared" si="1"/>
        <v>100</v>
      </c>
      <c r="E74" s="1">
        <f t="shared" si="11"/>
        <v>100</v>
      </c>
      <c r="F74" s="1">
        <f t="shared" ca="1" si="12"/>
        <v>100</v>
      </c>
      <c r="G74" s="1">
        <f t="shared" ca="1" si="2"/>
        <v>399.99999999999994</v>
      </c>
      <c r="H74" s="1">
        <f t="shared" si="13"/>
        <v>4</v>
      </c>
      <c r="I74" s="1">
        <f t="shared" si="3"/>
        <v>400</v>
      </c>
      <c r="K74" s="1">
        <f t="shared" si="4"/>
        <v>100</v>
      </c>
      <c r="L74" s="1">
        <f t="shared" si="5"/>
        <v>0</v>
      </c>
      <c r="N74" s="1">
        <f t="shared" si="6"/>
        <v>100</v>
      </c>
      <c r="O74" s="1">
        <f t="shared" si="7"/>
        <v>0</v>
      </c>
      <c r="P74" s="1">
        <f t="shared" ca="1" si="8"/>
        <v>100</v>
      </c>
      <c r="Q74" s="1">
        <f t="shared" si="9"/>
        <v>4</v>
      </c>
      <c r="R74" s="1">
        <f t="shared" si="10"/>
        <v>0</v>
      </c>
    </row>
    <row r="75" spans="1:18" x14ac:dyDescent="0.25">
      <c r="A75" s="21">
        <f t="shared" si="14"/>
        <v>54</v>
      </c>
      <c r="B75" s="1">
        <f t="shared" si="17"/>
        <v>150</v>
      </c>
      <c r="C75" s="1">
        <f t="shared" si="15"/>
        <v>7650</v>
      </c>
      <c r="D75" s="1">
        <f t="shared" si="1"/>
        <v>100</v>
      </c>
      <c r="E75" s="1">
        <f t="shared" si="11"/>
        <v>100</v>
      </c>
      <c r="F75" s="1">
        <f t="shared" ca="1" si="12"/>
        <v>100</v>
      </c>
      <c r="G75" s="1">
        <f t="shared" ca="1" si="2"/>
        <v>399.99999999999994</v>
      </c>
      <c r="H75" s="1">
        <f t="shared" si="13"/>
        <v>4</v>
      </c>
      <c r="I75" s="1">
        <f t="shared" si="3"/>
        <v>400</v>
      </c>
      <c r="K75" s="1">
        <f t="shared" si="4"/>
        <v>100</v>
      </c>
      <c r="L75" s="1">
        <f t="shared" si="5"/>
        <v>0</v>
      </c>
      <c r="N75" s="1">
        <f t="shared" si="6"/>
        <v>100</v>
      </c>
      <c r="O75" s="1">
        <f t="shared" si="7"/>
        <v>0</v>
      </c>
      <c r="P75" s="1">
        <f t="shared" ca="1" si="8"/>
        <v>100</v>
      </c>
      <c r="Q75" s="1">
        <f t="shared" si="9"/>
        <v>4</v>
      </c>
      <c r="R75" s="1">
        <f t="shared" si="10"/>
        <v>0</v>
      </c>
    </row>
    <row r="76" spans="1:18" x14ac:dyDescent="0.25">
      <c r="A76" s="21">
        <f t="shared" si="14"/>
        <v>55</v>
      </c>
      <c r="B76" s="1">
        <f t="shared" si="17"/>
        <v>150</v>
      </c>
      <c r="C76" s="1">
        <f t="shared" si="15"/>
        <v>7800</v>
      </c>
      <c r="D76" s="1">
        <f t="shared" si="1"/>
        <v>100</v>
      </c>
      <c r="E76" s="1">
        <f t="shared" si="11"/>
        <v>100</v>
      </c>
      <c r="F76" s="1">
        <f t="shared" ca="1" si="12"/>
        <v>100</v>
      </c>
      <c r="G76" s="1">
        <f t="shared" ca="1" si="2"/>
        <v>399.99999999999994</v>
      </c>
      <c r="H76" s="1">
        <f t="shared" si="13"/>
        <v>4</v>
      </c>
      <c r="I76" s="1">
        <f t="shared" si="3"/>
        <v>400</v>
      </c>
      <c r="K76" s="1">
        <f t="shared" si="4"/>
        <v>100</v>
      </c>
      <c r="L76" s="1">
        <f t="shared" si="5"/>
        <v>0</v>
      </c>
      <c r="N76" s="1">
        <f t="shared" si="6"/>
        <v>100</v>
      </c>
      <c r="O76" s="1">
        <f t="shared" si="7"/>
        <v>0</v>
      </c>
      <c r="P76" s="1">
        <f t="shared" ca="1" si="8"/>
        <v>100</v>
      </c>
      <c r="Q76" s="1">
        <f t="shared" si="9"/>
        <v>4</v>
      </c>
      <c r="R76" s="1">
        <f t="shared" si="10"/>
        <v>0</v>
      </c>
    </row>
    <row r="77" spans="1:18" x14ac:dyDescent="0.25">
      <c r="A77" s="21">
        <f t="shared" si="14"/>
        <v>56</v>
      </c>
      <c r="B77" s="1">
        <f t="shared" si="17"/>
        <v>150</v>
      </c>
      <c r="C77" s="1">
        <f t="shared" si="15"/>
        <v>7950</v>
      </c>
      <c r="D77" s="1">
        <f t="shared" si="1"/>
        <v>100</v>
      </c>
      <c r="E77" s="1">
        <f t="shared" si="11"/>
        <v>100</v>
      </c>
      <c r="F77" s="1">
        <f t="shared" ca="1" si="12"/>
        <v>100</v>
      </c>
      <c r="G77" s="1">
        <f t="shared" ca="1" si="2"/>
        <v>399.99999999999994</v>
      </c>
      <c r="H77" s="1">
        <f t="shared" si="13"/>
        <v>4</v>
      </c>
      <c r="I77" s="1">
        <f t="shared" si="3"/>
        <v>400</v>
      </c>
      <c r="K77" s="1">
        <f t="shared" si="4"/>
        <v>100</v>
      </c>
      <c r="L77" s="1">
        <f t="shared" si="5"/>
        <v>0</v>
      </c>
      <c r="N77" s="1">
        <f t="shared" si="6"/>
        <v>100</v>
      </c>
      <c r="O77" s="1">
        <f t="shared" si="7"/>
        <v>0</v>
      </c>
      <c r="P77" s="1">
        <f t="shared" ca="1" si="8"/>
        <v>100</v>
      </c>
      <c r="Q77" s="1">
        <f t="shared" si="9"/>
        <v>4</v>
      </c>
      <c r="R77" s="1">
        <f t="shared" si="10"/>
        <v>0</v>
      </c>
    </row>
    <row r="78" spans="1:18" x14ac:dyDescent="0.25">
      <c r="A78" s="21">
        <f t="shared" si="14"/>
        <v>57</v>
      </c>
      <c r="B78" s="1">
        <f t="shared" si="17"/>
        <v>150</v>
      </c>
      <c r="C78" s="1">
        <f t="shared" si="15"/>
        <v>8100</v>
      </c>
      <c r="D78" s="1">
        <f t="shared" si="1"/>
        <v>100</v>
      </c>
      <c r="E78" s="1">
        <f t="shared" si="11"/>
        <v>100</v>
      </c>
      <c r="F78" s="1">
        <f t="shared" ca="1" si="12"/>
        <v>100</v>
      </c>
      <c r="G78" s="1">
        <f t="shared" ca="1" si="2"/>
        <v>399.99999999999994</v>
      </c>
      <c r="H78" s="1">
        <f t="shared" si="13"/>
        <v>4</v>
      </c>
      <c r="I78" s="1">
        <f t="shared" si="3"/>
        <v>400</v>
      </c>
      <c r="K78" s="1">
        <f t="shared" si="4"/>
        <v>100</v>
      </c>
      <c r="L78" s="1">
        <f t="shared" si="5"/>
        <v>0</v>
      </c>
      <c r="N78" s="1">
        <f t="shared" si="6"/>
        <v>100</v>
      </c>
      <c r="O78" s="1">
        <f t="shared" si="7"/>
        <v>0</v>
      </c>
      <c r="P78" s="1">
        <f t="shared" ca="1" si="8"/>
        <v>100</v>
      </c>
      <c r="Q78" s="1">
        <f t="shared" si="9"/>
        <v>4</v>
      </c>
      <c r="R78" s="1">
        <f t="shared" si="10"/>
        <v>0</v>
      </c>
    </row>
    <row r="79" spans="1:18" x14ac:dyDescent="0.25">
      <c r="A79" s="21">
        <f t="shared" si="14"/>
        <v>58</v>
      </c>
      <c r="B79" s="1">
        <f t="shared" si="17"/>
        <v>150</v>
      </c>
      <c r="C79" s="1">
        <f t="shared" si="15"/>
        <v>8250</v>
      </c>
      <c r="D79" s="1">
        <f t="shared" si="1"/>
        <v>100</v>
      </c>
      <c r="E79" s="1">
        <f t="shared" si="11"/>
        <v>100</v>
      </c>
      <c r="F79" s="1">
        <f t="shared" ca="1" si="12"/>
        <v>100</v>
      </c>
      <c r="G79" s="1">
        <f t="shared" ca="1" si="2"/>
        <v>399.99999999999994</v>
      </c>
      <c r="H79" s="1">
        <f t="shared" si="13"/>
        <v>4</v>
      </c>
      <c r="I79" s="1">
        <f t="shared" si="3"/>
        <v>400</v>
      </c>
      <c r="K79" s="1">
        <f t="shared" si="4"/>
        <v>100</v>
      </c>
      <c r="L79" s="1">
        <f t="shared" si="5"/>
        <v>0</v>
      </c>
      <c r="N79" s="1">
        <f t="shared" si="6"/>
        <v>100</v>
      </c>
      <c r="O79" s="1">
        <f t="shared" si="7"/>
        <v>0</v>
      </c>
      <c r="P79" s="1">
        <f t="shared" ca="1" si="8"/>
        <v>100</v>
      </c>
      <c r="Q79" s="1">
        <f t="shared" si="9"/>
        <v>4</v>
      </c>
      <c r="R79" s="1">
        <f t="shared" si="10"/>
        <v>0</v>
      </c>
    </row>
    <row r="80" spans="1:18" x14ac:dyDescent="0.25">
      <c r="A80" s="21">
        <f t="shared" si="14"/>
        <v>59</v>
      </c>
      <c r="B80" s="1">
        <f t="shared" si="17"/>
        <v>150</v>
      </c>
      <c r="C80" s="1">
        <f t="shared" si="15"/>
        <v>8400</v>
      </c>
      <c r="D80" s="1">
        <f t="shared" si="1"/>
        <v>100</v>
      </c>
      <c r="E80" s="1">
        <f t="shared" si="11"/>
        <v>100</v>
      </c>
      <c r="F80" s="1">
        <f t="shared" ca="1" si="12"/>
        <v>100</v>
      </c>
      <c r="G80" s="1">
        <f t="shared" ca="1" si="2"/>
        <v>399.99999999999994</v>
      </c>
      <c r="H80" s="1">
        <f t="shared" si="13"/>
        <v>4</v>
      </c>
      <c r="I80" s="1">
        <f t="shared" si="3"/>
        <v>400</v>
      </c>
      <c r="K80" s="1">
        <f t="shared" si="4"/>
        <v>100</v>
      </c>
      <c r="L80" s="1">
        <f t="shared" si="5"/>
        <v>0</v>
      </c>
      <c r="N80" s="1">
        <f t="shared" si="6"/>
        <v>100</v>
      </c>
      <c r="O80" s="1">
        <f t="shared" si="7"/>
        <v>0</v>
      </c>
      <c r="P80" s="1">
        <f t="shared" ca="1" si="8"/>
        <v>100</v>
      </c>
      <c r="Q80" s="1">
        <f t="shared" si="9"/>
        <v>4</v>
      </c>
      <c r="R80" s="1">
        <f t="shared" si="10"/>
        <v>0</v>
      </c>
    </row>
    <row r="81" spans="1:18" x14ac:dyDescent="0.25">
      <c r="A81" s="21">
        <f t="shared" si="14"/>
        <v>60</v>
      </c>
      <c r="B81" s="1">
        <f t="shared" si="17"/>
        <v>150</v>
      </c>
      <c r="C81" s="1">
        <f t="shared" si="15"/>
        <v>8550</v>
      </c>
      <c r="D81" s="1">
        <f t="shared" si="1"/>
        <v>100</v>
      </c>
      <c r="E81" s="1">
        <f t="shared" si="11"/>
        <v>100</v>
      </c>
      <c r="F81" s="1">
        <f t="shared" ca="1" si="12"/>
        <v>100</v>
      </c>
      <c r="G81" s="1">
        <f t="shared" ca="1" si="2"/>
        <v>399.99999999999994</v>
      </c>
      <c r="H81" s="1">
        <f t="shared" si="13"/>
        <v>4</v>
      </c>
      <c r="I81" s="1">
        <f t="shared" si="3"/>
        <v>400</v>
      </c>
      <c r="K81" s="1">
        <f t="shared" si="4"/>
        <v>100</v>
      </c>
      <c r="L81" s="1">
        <f t="shared" si="5"/>
        <v>0</v>
      </c>
      <c r="N81" s="1">
        <f t="shared" si="6"/>
        <v>100</v>
      </c>
      <c r="O81" s="1">
        <f t="shared" si="7"/>
        <v>0</v>
      </c>
      <c r="P81" s="1">
        <f t="shared" ca="1" si="8"/>
        <v>100</v>
      </c>
      <c r="Q81" s="1">
        <f t="shared" si="9"/>
        <v>4</v>
      </c>
      <c r="R81" s="1">
        <f t="shared" si="10"/>
        <v>0</v>
      </c>
    </row>
    <row r="82" spans="1:18" x14ac:dyDescent="0.25">
      <c r="A82" s="21">
        <f t="shared" si="14"/>
        <v>61</v>
      </c>
      <c r="B82" s="1">
        <f t="shared" si="17"/>
        <v>150</v>
      </c>
      <c r="C82" s="1">
        <f t="shared" si="15"/>
        <v>8700</v>
      </c>
      <c r="D82" s="1">
        <f t="shared" si="1"/>
        <v>100</v>
      </c>
      <c r="E82" s="1">
        <f t="shared" si="11"/>
        <v>100</v>
      </c>
      <c r="F82" s="1">
        <f t="shared" ca="1" si="12"/>
        <v>100</v>
      </c>
      <c r="G82" s="1">
        <f t="shared" ca="1" si="2"/>
        <v>399.99999999999994</v>
      </c>
      <c r="H82" s="1">
        <f t="shared" si="13"/>
        <v>4</v>
      </c>
      <c r="I82" s="1">
        <f t="shared" si="3"/>
        <v>400</v>
      </c>
      <c r="K82" s="1">
        <f t="shared" si="4"/>
        <v>100</v>
      </c>
      <c r="L82" s="1">
        <f t="shared" si="5"/>
        <v>0</v>
      </c>
      <c r="N82" s="1">
        <f t="shared" si="6"/>
        <v>100</v>
      </c>
      <c r="O82" s="1">
        <f t="shared" si="7"/>
        <v>0</v>
      </c>
      <c r="P82" s="1">
        <f t="shared" ca="1" si="8"/>
        <v>100</v>
      </c>
      <c r="Q82" s="1">
        <f t="shared" si="9"/>
        <v>4</v>
      </c>
      <c r="R82" s="1">
        <f t="shared" si="10"/>
        <v>0</v>
      </c>
    </row>
    <row r="83" spans="1:18" x14ac:dyDescent="0.25">
      <c r="A83" s="21">
        <f t="shared" si="14"/>
        <v>62</v>
      </c>
      <c r="B83" s="1">
        <f t="shared" si="17"/>
        <v>150</v>
      </c>
      <c r="C83" s="1">
        <f t="shared" si="15"/>
        <v>8850</v>
      </c>
      <c r="D83" s="1">
        <f t="shared" si="1"/>
        <v>100</v>
      </c>
      <c r="E83" s="1">
        <f t="shared" si="11"/>
        <v>100</v>
      </c>
      <c r="F83" s="1">
        <f t="shared" ca="1" si="12"/>
        <v>100</v>
      </c>
      <c r="G83" s="1">
        <f t="shared" ca="1" si="2"/>
        <v>399.99999999999994</v>
      </c>
      <c r="H83" s="1">
        <f t="shared" si="13"/>
        <v>4</v>
      </c>
      <c r="I83" s="1">
        <f t="shared" si="3"/>
        <v>400</v>
      </c>
      <c r="K83" s="1">
        <f t="shared" si="4"/>
        <v>100</v>
      </c>
      <c r="L83" s="1">
        <f t="shared" si="5"/>
        <v>0</v>
      </c>
      <c r="N83" s="1">
        <f t="shared" si="6"/>
        <v>100</v>
      </c>
      <c r="O83" s="1">
        <f t="shared" si="7"/>
        <v>0</v>
      </c>
      <c r="P83" s="1">
        <f t="shared" ca="1" si="8"/>
        <v>100</v>
      </c>
      <c r="Q83" s="1">
        <f t="shared" si="9"/>
        <v>4</v>
      </c>
      <c r="R83" s="1">
        <f t="shared" si="10"/>
        <v>0</v>
      </c>
    </row>
    <row r="84" spans="1:18" x14ac:dyDescent="0.25">
      <c r="A84" s="21">
        <f t="shared" si="14"/>
        <v>63</v>
      </c>
      <c r="B84" s="1">
        <f t="shared" si="17"/>
        <v>150</v>
      </c>
      <c r="C84" s="1">
        <f t="shared" si="15"/>
        <v>9000</v>
      </c>
      <c r="D84" s="1">
        <f t="shared" si="1"/>
        <v>100</v>
      </c>
      <c r="E84" s="1">
        <f t="shared" si="11"/>
        <v>100</v>
      </c>
      <c r="F84" s="1">
        <f t="shared" ca="1" si="12"/>
        <v>100</v>
      </c>
      <c r="G84" s="1">
        <f t="shared" ca="1" si="2"/>
        <v>399.99999999999994</v>
      </c>
      <c r="H84" s="1">
        <f t="shared" si="13"/>
        <v>4</v>
      </c>
      <c r="I84" s="1">
        <f t="shared" si="3"/>
        <v>400</v>
      </c>
      <c r="K84" s="1">
        <f t="shared" si="4"/>
        <v>100</v>
      </c>
      <c r="L84" s="1">
        <f t="shared" si="5"/>
        <v>0</v>
      </c>
      <c r="N84" s="1">
        <f t="shared" si="6"/>
        <v>100</v>
      </c>
      <c r="O84" s="1">
        <f t="shared" si="7"/>
        <v>0</v>
      </c>
      <c r="P84" s="1">
        <f t="shared" ca="1" si="8"/>
        <v>100</v>
      </c>
      <c r="Q84" s="1">
        <f t="shared" si="9"/>
        <v>4</v>
      </c>
      <c r="R84" s="1">
        <f t="shared" si="10"/>
        <v>0</v>
      </c>
    </row>
    <row r="85" spans="1:18" x14ac:dyDescent="0.25">
      <c r="A85" s="21">
        <f t="shared" si="14"/>
        <v>64</v>
      </c>
      <c r="B85" s="1">
        <f t="shared" si="17"/>
        <v>150</v>
      </c>
      <c r="C85" s="1">
        <f t="shared" si="15"/>
        <v>9150</v>
      </c>
      <c r="D85" s="1">
        <f t="shared" si="1"/>
        <v>100</v>
      </c>
      <c r="E85" s="1">
        <f t="shared" si="11"/>
        <v>100</v>
      </c>
      <c r="F85" s="1">
        <f t="shared" ca="1" si="12"/>
        <v>100</v>
      </c>
      <c r="G85" s="1">
        <f t="shared" ca="1" si="2"/>
        <v>399.99999999999994</v>
      </c>
      <c r="H85" s="1">
        <f t="shared" si="13"/>
        <v>4</v>
      </c>
      <c r="I85" s="1">
        <f t="shared" si="3"/>
        <v>400</v>
      </c>
      <c r="K85" s="1">
        <f t="shared" si="4"/>
        <v>100</v>
      </c>
      <c r="L85" s="1">
        <f t="shared" si="5"/>
        <v>0</v>
      </c>
      <c r="N85" s="1">
        <f t="shared" si="6"/>
        <v>100</v>
      </c>
      <c r="O85" s="1">
        <f t="shared" si="7"/>
        <v>0</v>
      </c>
      <c r="P85" s="1">
        <f t="shared" ca="1" si="8"/>
        <v>100</v>
      </c>
      <c r="Q85" s="1">
        <f t="shared" si="9"/>
        <v>4</v>
      </c>
      <c r="R85" s="1">
        <f t="shared" si="10"/>
        <v>0</v>
      </c>
    </row>
    <row r="86" spans="1:18" x14ac:dyDescent="0.25">
      <c r="A86" s="21">
        <f t="shared" si="14"/>
        <v>65</v>
      </c>
      <c r="B86" s="1">
        <f t="shared" si="17"/>
        <v>150</v>
      </c>
      <c r="C86" s="1">
        <f t="shared" si="15"/>
        <v>9300</v>
      </c>
      <c r="D86" s="1">
        <f t="shared" ref="D86:D149" si="18">E$12</f>
        <v>100</v>
      </c>
      <c r="E86" s="1">
        <f t="shared" si="11"/>
        <v>100</v>
      </c>
      <c r="F86" s="1">
        <f t="shared" ca="1" si="12"/>
        <v>100</v>
      </c>
      <c r="G86" s="1">
        <f t="shared" ref="G86:G149" ca="1" si="19">G85+F86-D86</f>
        <v>399.99999999999994</v>
      </c>
      <c r="H86" s="1">
        <f t="shared" si="13"/>
        <v>4</v>
      </c>
      <c r="I86" s="1">
        <f t="shared" ref="I86:I149" si="20">H86*E86</f>
        <v>400</v>
      </c>
      <c r="K86" s="1">
        <f t="shared" ref="K86:K149" si="21">MAX(0,L85+D86+I86-I85)</f>
        <v>100</v>
      </c>
      <c r="L86" s="1">
        <f t="shared" ref="L86:L149" si="22">MIN(0,L85+D86+I86-I85)</f>
        <v>0</v>
      </c>
      <c r="N86" s="1">
        <f t="shared" ref="N86:N149" si="23">IF(B86&lt;1,0,MAX(0,MIN(B86,K86+O85)))</f>
        <v>100</v>
      </c>
      <c r="O86" s="1">
        <f t="shared" ref="O86:O149" si="24">MAX(0,O85+K86-N86)</f>
        <v>0</v>
      </c>
      <c r="P86" s="1">
        <f t="shared" ref="P86:P149" ca="1" si="25">IF(A86&lt;=N$12,E$12,OFFSET(P86,-N$12,-2))</f>
        <v>100</v>
      </c>
      <c r="Q86" s="1">
        <f t="shared" ref="Q86:Q149" si="26">IF(B86&gt;=N$11,N$12+O86/B86,N$12+R86)</f>
        <v>4</v>
      </c>
      <c r="R86" s="1">
        <f t="shared" ref="R86:R149" si="27">LOOKUP(C86+O86,C86:C266,A86:A266)-A86</f>
        <v>0</v>
      </c>
    </row>
    <row r="87" spans="1:18" x14ac:dyDescent="0.25">
      <c r="A87" s="21">
        <f t="shared" si="14"/>
        <v>66</v>
      </c>
      <c r="B87" s="1">
        <f t="shared" si="17"/>
        <v>150</v>
      </c>
      <c r="C87" s="1">
        <f t="shared" si="15"/>
        <v>9450</v>
      </c>
      <c r="D87" s="1">
        <f t="shared" si="18"/>
        <v>100</v>
      </c>
      <c r="E87" s="1">
        <f t="shared" ref="E87:E150" si="28">E$11*D87+(1-E$11)*E86</f>
        <v>100</v>
      </c>
      <c r="F87" s="1">
        <f t="shared" ref="F87:F150" ca="1" si="29">P87</f>
        <v>100</v>
      </c>
      <c r="G87" s="1">
        <f t="shared" ca="1" si="19"/>
        <v>399.99999999999994</v>
      </c>
      <c r="H87" s="1">
        <f t="shared" ref="H87:H150" si="30">Q86</f>
        <v>4</v>
      </c>
      <c r="I87" s="1">
        <f t="shared" si="20"/>
        <v>400</v>
      </c>
      <c r="K87" s="1">
        <f t="shared" si="21"/>
        <v>100</v>
      </c>
      <c r="L87" s="1">
        <f t="shared" si="22"/>
        <v>0</v>
      </c>
      <c r="N87" s="1">
        <f t="shared" si="23"/>
        <v>100</v>
      </c>
      <c r="O87" s="1">
        <f t="shared" si="24"/>
        <v>0</v>
      </c>
      <c r="P87" s="1">
        <f t="shared" ca="1" si="25"/>
        <v>100</v>
      </c>
      <c r="Q87" s="1">
        <f t="shared" si="26"/>
        <v>4</v>
      </c>
      <c r="R87" s="1">
        <f t="shared" si="27"/>
        <v>0</v>
      </c>
    </row>
    <row r="88" spans="1:18" x14ac:dyDescent="0.25">
      <c r="A88" s="21">
        <f t="shared" ref="A88:A151" si="31">1+A87</f>
        <v>67</v>
      </c>
      <c r="B88" s="1">
        <f t="shared" si="17"/>
        <v>150</v>
      </c>
      <c r="C88" s="1">
        <f t="shared" ref="C88:C151" si="32">C87+B88</f>
        <v>9600</v>
      </c>
      <c r="D88" s="1">
        <f t="shared" si="18"/>
        <v>100</v>
      </c>
      <c r="E88" s="1">
        <f t="shared" si="28"/>
        <v>100</v>
      </c>
      <c r="F88" s="1">
        <f t="shared" ca="1" si="29"/>
        <v>100</v>
      </c>
      <c r="G88" s="1">
        <f t="shared" ca="1" si="19"/>
        <v>399.99999999999994</v>
      </c>
      <c r="H88" s="1">
        <f t="shared" si="30"/>
        <v>4</v>
      </c>
      <c r="I88" s="1">
        <f t="shared" si="20"/>
        <v>400</v>
      </c>
      <c r="K88" s="1">
        <f t="shared" si="21"/>
        <v>100</v>
      </c>
      <c r="L88" s="1">
        <f t="shared" si="22"/>
        <v>0</v>
      </c>
      <c r="N88" s="1">
        <f t="shared" si="23"/>
        <v>100</v>
      </c>
      <c r="O88" s="1">
        <f t="shared" si="24"/>
        <v>0</v>
      </c>
      <c r="P88" s="1">
        <f t="shared" ca="1" si="25"/>
        <v>100</v>
      </c>
      <c r="Q88" s="1">
        <f t="shared" si="26"/>
        <v>4</v>
      </c>
      <c r="R88" s="1">
        <f t="shared" si="27"/>
        <v>0</v>
      </c>
    </row>
    <row r="89" spans="1:18" x14ac:dyDescent="0.25">
      <c r="A89" s="21">
        <f t="shared" si="31"/>
        <v>68</v>
      </c>
      <c r="B89" s="1">
        <f t="shared" si="17"/>
        <v>150</v>
      </c>
      <c r="C89" s="1">
        <f t="shared" si="32"/>
        <v>9750</v>
      </c>
      <c r="D89" s="1">
        <f t="shared" si="18"/>
        <v>100</v>
      </c>
      <c r="E89" s="1">
        <f t="shared" si="28"/>
        <v>100</v>
      </c>
      <c r="F89" s="1">
        <f t="shared" ca="1" si="29"/>
        <v>100</v>
      </c>
      <c r="G89" s="1">
        <f t="shared" ca="1" si="19"/>
        <v>399.99999999999994</v>
      </c>
      <c r="H89" s="1">
        <f t="shared" si="30"/>
        <v>4</v>
      </c>
      <c r="I89" s="1">
        <f t="shared" si="20"/>
        <v>400</v>
      </c>
      <c r="K89" s="1">
        <f t="shared" si="21"/>
        <v>100</v>
      </c>
      <c r="L89" s="1">
        <f t="shared" si="22"/>
        <v>0</v>
      </c>
      <c r="N89" s="1">
        <f t="shared" si="23"/>
        <v>100</v>
      </c>
      <c r="O89" s="1">
        <f t="shared" si="24"/>
        <v>0</v>
      </c>
      <c r="P89" s="1">
        <f t="shared" ca="1" si="25"/>
        <v>100</v>
      </c>
      <c r="Q89" s="1">
        <f t="shared" si="26"/>
        <v>4</v>
      </c>
      <c r="R89" s="1">
        <f t="shared" si="27"/>
        <v>0</v>
      </c>
    </row>
    <row r="90" spans="1:18" x14ac:dyDescent="0.25">
      <c r="A90" s="21">
        <f t="shared" si="31"/>
        <v>69</v>
      </c>
      <c r="B90" s="1">
        <f t="shared" si="17"/>
        <v>150</v>
      </c>
      <c r="C90" s="1">
        <f t="shared" si="32"/>
        <v>9900</v>
      </c>
      <c r="D90" s="1">
        <f t="shared" si="18"/>
        <v>100</v>
      </c>
      <c r="E90" s="1">
        <f t="shared" si="28"/>
        <v>100</v>
      </c>
      <c r="F90" s="1">
        <f t="shared" ca="1" si="29"/>
        <v>100</v>
      </c>
      <c r="G90" s="1">
        <f t="shared" ca="1" si="19"/>
        <v>399.99999999999994</v>
      </c>
      <c r="H90" s="1">
        <f t="shared" si="30"/>
        <v>4</v>
      </c>
      <c r="I90" s="1">
        <f t="shared" si="20"/>
        <v>400</v>
      </c>
      <c r="K90" s="1">
        <f t="shared" si="21"/>
        <v>100</v>
      </c>
      <c r="L90" s="1">
        <f t="shared" si="22"/>
        <v>0</v>
      </c>
      <c r="N90" s="1">
        <f t="shared" si="23"/>
        <v>100</v>
      </c>
      <c r="O90" s="1">
        <f t="shared" si="24"/>
        <v>0</v>
      </c>
      <c r="P90" s="1">
        <f t="shared" ca="1" si="25"/>
        <v>100</v>
      </c>
      <c r="Q90" s="1">
        <f t="shared" si="26"/>
        <v>4</v>
      </c>
      <c r="R90" s="1">
        <f t="shared" si="27"/>
        <v>0</v>
      </c>
    </row>
    <row r="91" spans="1:18" x14ac:dyDescent="0.25">
      <c r="A91" s="21">
        <f t="shared" si="31"/>
        <v>70</v>
      </c>
      <c r="B91" s="1">
        <f t="shared" si="17"/>
        <v>150</v>
      </c>
      <c r="C91" s="1">
        <f t="shared" si="32"/>
        <v>10050</v>
      </c>
      <c r="D91" s="1">
        <f t="shared" si="18"/>
        <v>100</v>
      </c>
      <c r="E91" s="1">
        <f t="shared" si="28"/>
        <v>100</v>
      </c>
      <c r="F91" s="1">
        <f t="shared" ca="1" si="29"/>
        <v>100</v>
      </c>
      <c r="G91" s="1">
        <f t="shared" ca="1" si="19"/>
        <v>399.99999999999994</v>
      </c>
      <c r="H91" s="1">
        <f t="shared" si="30"/>
        <v>4</v>
      </c>
      <c r="I91" s="1">
        <f t="shared" si="20"/>
        <v>400</v>
      </c>
      <c r="K91" s="1">
        <f t="shared" si="21"/>
        <v>100</v>
      </c>
      <c r="L91" s="1">
        <f t="shared" si="22"/>
        <v>0</v>
      </c>
      <c r="N91" s="1">
        <f t="shared" si="23"/>
        <v>100</v>
      </c>
      <c r="O91" s="1">
        <f t="shared" si="24"/>
        <v>0</v>
      </c>
      <c r="P91" s="1">
        <f t="shared" ca="1" si="25"/>
        <v>100</v>
      </c>
      <c r="Q91" s="1">
        <f t="shared" si="26"/>
        <v>4</v>
      </c>
      <c r="R91" s="1">
        <f t="shared" si="27"/>
        <v>0</v>
      </c>
    </row>
    <row r="92" spans="1:18" x14ac:dyDescent="0.25">
      <c r="A92" s="21">
        <f t="shared" si="31"/>
        <v>71</v>
      </c>
      <c r="B92" s="1">
        <f t="shared" si="17"/>
        <v>150</v>
      </c>
      <c r="C92" s="1">
        <f t="shared" si="32"/>
        <v>10200</v>
      </c>
      <c r="D92" s="1">
        <f t="shared" si="18"/>
        <v>100</v>
      </c>
      <c r="E92" s="1">
        <f t="shared" si="28"/>
        <v>100</v>
      </c>
      <c r="F92" s="1">
        <f t="shared" ca="1" si="29"/>
        <v>100</v>
      </c>
      <c r="G92" s="1">
        <f t="shared" ca="1" si="19"/>
        <v>399.99999999999994</v>
      </c>
      <c r="H92" s="1">
        <f t="shared" si="30"/>
        <v>4</v>
      </c>
      <c r="I92" s="1">
        <f t="shared" si="20"/>
        <v>400</v>
      </c>
      <c r="K92" s="1">
        <f t="shared" si="21"/>
        <v>100</v>
      </c>
      <c r="L92" s="1">
        <f t="shared" si="22"/>
        <v>0</v>
      </c>
      <c r="N92" s="1">
        <f t="shared" si="23"/>
        <v>100</v>
      </c>
      <c r="O92" s="1">
        <f t="shared" si="24"/>
        <v>0</v>
      </c>
      <c r="P92" s="1">
        <f t="shared" ca="1" si="25"/>
        <v>100</v>
      </c>
      <c r="Q92" s="1">
        <f t="shared" si="26"/>
        <v>4</v>
      </c>
      <c r="R92" s="1">
        <f t="shared" si="27"/>
        <v>0</v>
      </c>
    </row>
    <row r="93" spans="1:18" x14ac:dyDescent="0.25">
      <c r="A93" s="21">
        <f t="shared" si="31"/>
        <v>72</v>
      </c>
      <c r="B93" s="1">
        <f t="shared" si="17"/>
        <v>150</v>
      </c>
      <c r="C93" s="1">
        <f t="shared" si="32"/>
        <v>10350</v>
      </c>
      <c r="D93" s="1">
        <f t="shared" si="18"/>
        <v>100</v>
      </c>
      <c r="E93" s="1">
        <f t="shared" si="28"/>
        <v>100</v>
      </c>
      <c r="F93" s="1">
        <f t="shared" ca="1" si="29"/>
        <v>100</v>
      </c>
      <c r="G93" s="1">
        <f t="shared" ca="1" si="19"/>
        <v>399.99999999999994</v>
      </c>
      <c r="H93" s="1">
        <f t="shared" si="30"/>
        <v>4</v>
      </c>
      <c r="I93" s="1">
        <f t="shared" si="20"/>
        <v>400</v>
      </c>
      <c r="K93" s="1">
        <f t="shared" si="21"/>
        <v>100</v>
      </c>
      <c r="L93" s="1">
        <f t="shared" si="22"/>
        <v>0</v>
      </c>
      <c r="N93" s="1">
        <f t="shared" si="23"/>
        <v>100</v>
      </c>
      <c r="O93" s="1">
        <f t="shared" si="24"/>
        <v>0</v>
      </c>
      <c r="P93" s="1">
        <f t="shared" ca="1" si="25"/>
        <v>100</v>
      </c>
      <c r="Q93" s="1">
        <f t="shared" si="26"/>
        <v>4</v>
      </c>
      <c r="R93" s="1">
        <f t="shared" si="27"/>
        <v>0</v>
      </c>
    </row>
    <row r="94" spans="1:18" x14ac:dyDescent="0.25">
      <c r="A94" s="21">
        <f t="shared" si="31"/>
        <v>73</v>
      </c>
      <c r="B94" s="1">
        <f t="shared" si="17"/>
        <v>150</v>
      </c>
      <c r="C94" s="1">
        <f t="shared" si="32"/>
        <v>10500</v>
      </c>
      <c r="D94" s="1">
        <f t="shared" si="18"/>
        <v>100</v>
      </c>
      <c r="E94" s="1">
        <f t="shared" si="28"/>
        <v>100</v>
      </c>
      <c r="F94" s="1">
        <f t="shared" ca="1" si="29"/>
        <v>100</v>
      </c>
      <c r="G94" s="1">
        <f t="shared" ca="1" si="19"/>
        <v>399.99999999999994</v>
      </c>
      <c r="H94" s="1">
        <f t="shared" si="30"/>
        <v>4</v>
      </c>
      <c r="I94" s="1">
        <f t="shared" si="20"/>
        <v>400</v>
      </c>
      <c r="K94" s="1">
        <f t="shared" si="21"/>
        <v>100</v>
      </c>
      <c r="L94" s="1">
        <f t="shared" si="22"/>
        <v>0</v>
      </c>
      <c r="N94" s="1">
        <f t="shared" si="23"/>
        <v>100</v>
      </c>
      <c r="O94" s="1">
        <f t="shared" si="24"/>
        <v>0</v>
      </c>
      <c r="P94" s="1">
        <f t="shared" ca="1" si="25"/>
        <v>100</v>
      </c>
      <c r="Q94" s="1">
        <f t="shared" si="26"/>
        <v>4</v>
      </c>
      <c r="R94" s="1">
        <f t="shared" si="27"/>
        <v>0</v>
      </c>
    </row>
    <row r="95" spans="1:18" x14ac:dyDescent="0.25">
      <c r="A95" s="21">
        <f t="shared" si="31"/>
        <v>74</v>
      </c>
      <c r="B95" s="1">
        <f t="shared" si="17"/>
        <v>150</v>
      </c>
      <c r="C95" s="1">
        <f t="shared" si="32"/>
        <v>10650</v>
      </c>
      <c r="D95" s="1">
        <f t="shared" si="18"/>
        <v>100</v>
      </c>
      <c r="E95" s="1">
        <f t="shared" si="28"/>
        <v>100</v>
      </c>
      <c r="F95" s="1">
        <f t="shared" ca="1" si="29"/>
        <v>100</v>
      </c>
      <c r="G95" s="1">
        <f t="shared" ca="1" si="19"/>
        <v>399.99999999999994</v>
      </c>
      <c r="H95" s="1">
        <f t="shared" si="30"/>
        <v>4</v>
      </c>
      <c r="I95" s="1">
        <f t="shared" si="20"/>
        <v>400</v>
      </c>
      <c r="K95" s="1">
        <f t="shared" si="21"/>
        <v>100</v>
      </c>
      <c r="L95" s="1">
        <f t="shared" si="22"/>
        <v>0</v>
      </c>
      <c r="N95" s="1">
        <f t="shared" si="23"/>
        <v>100</v>
      </c>
      <c r="O95" s="1">
        <f t="shared" si="24"/>
        <v>0</v>
      </c>
      <c r="P95" s="1">
        <f t="shared" ca="1" si="25"/>
        <v>100</v>
      </c>
      <c r="Q95" s="1">
        <f t="shared" si="26"/>
        <v>4</v>
      </c>
      <c r="R95" s="1">
        <f t="shared" si="27"/>
        <v>0</v>
      </c>
    </row>
    <row r="96" spans="1:18" x14ac:dyDescent="0.25">
      <c r="A96" s="21">
        <f t="shared" si="31"/>
        <v>75</v>
      </c>
      <c r="B96" s="1">
        <f t="shared" si="17"/>
        <v>150</v>
      </c>
      <c r="C96" s="1">
        <f t="shared" si="32"/>
        <v>10800</v>
      </c>
      <c r="D96" s="1">
        <f t="shared" si="18"/>
        <v>100</v>
      </c>
      <c r="E96" s="1">
        <f t="shared" si="28"/>
        <v>100</v>
      </c>
      <c r="F96" s="1">
        <f t="shared" ca="1" si="29"/>
        <v>100</v>
      </c>
      <c r="G96" s="1">
        <f t="shared" ca="1" si="19"/>
        <v>399.99999999999994</v>
      </c>
      <c r="H96" s="1">
        <f t="shared" si="30"/>
        <v>4</v>
      </c>
      <c r="I96" s="1">
        <f t="shared" si="20"/>
        <v>400</v>
      </c>
      <c r="K96" s="1">
        <f t="shared" si="21"/>
        <v>100</v>
      </c>
      <c r="L96" s="1">
        <f t="shared" si="22"/>
        <v>0</v>
      </c>
      <c r="N96" s="1">
        <f t="shared" si="23"/>
        <v>100</v>
      </c>
      <c r="O96" s="1">
        <f t="shared" si="24"/>
        <v>0</v>
      </c>
      <c r="P96" s="1">
        <f t="shared" ca="1" si="25"/>
        <v>100</v>
      </c>
      <c r="Q96" s="1">
        <f t="shared" si="26"/>
        <v>4</v>
      </c>
      <c r="R96" s="1">
        <f t="shared" si="27"/>
        <v>0</v>
      </c>
    </row>
    <row r="97" spans="1:18" x14ac:dyDescent="0.25">
      <c r="A97" s="21">
        <f t="shared" si="31"/>
        <v>76</v>
      </c>
      <c r="B97" s="1">
        <f t="shared" si="17"/>
        <v>150</v>
      </c>
      <c r="C97" s="1">
        <f t="shared" si="32"/>
        <v>10950</v>
      </c>
      <c r="D97" s="1">
        <f t="shared" si="18"/>
        <v>100</v>
      </c>
      <c r="E97" s="1">
        <f t="shared" si="28"/>
        <v>100</v>
      </c>
      <c r="F97" s="1">
        <f t="shared" ca="1" si="29"/>
        <v>100</v>
      </c>
      <c r="G97" s="1">
        <f t="shared" ca="1" si="19"/>
        <v>399.99999999999994</v>
      </c>
      <c r="H97" s="1">
        <f t="shared" si="30"/>
        <v>4</v>
      </c>
      <c r="I97" s="1">
        <f t="shared" si="20"/>
        <v>400</v>
      </c>
      <c r="K97" s="1">
        <f t="shared" si="21"/>
        <v>100</v>
      </c>
      <c r="L97" s="1">
        <f t="shared" si="22"/>
        <v>0</v>
      </c>
      <c r="N97" s="1">
        <f t="shared" si="23"/>
        <v>100</v>
      </c>
      <c r="O97" s="1">
        <f t="shared" si="24"/>
        <v>0</v>
      </c>
      <c r="P97" s="1">
        <f t="shared" ca="1" si="25"/>
        <v>100</v>
      </c>
      <c r="Q97" s="1">
        <f t="shared" si="26"/>
        <v>4</v>
      </c>
      <c r="R97" s="1">
        <f t="shared" si="27"/>
        <v>0</v>
      </c>
    </row>
    <row r="98" spans="1:18" x14ac:dyDescent="0.25">
      <c r="A98" s="21">
        <f t="shared" si="31"/>
        <v>77</v>
      </c>
      <c r="B98" s="1">
        <f t="shared" si="17"/>
        <v>150</v>
      </c>
      <c r="C98" s="1">
        <f t="shared" si="32"/>
        <v>11100</v>
      </c>
      <c r="D98" s="1">
        <f t="shared" si="18"/>
        <v>100</v>
      </c>
      <c r="E98" s="1">
        <f t="shared" si="28"/>
        <v>100</v>
      </c>
      <c r="F98" s="1">
        <f t="shared" ca="1" si="29"/>
        <v>100</v>
      </c>
      <c r="G98" s="1">
        <f t="shared" ca="1" si="19"/>
        <v>399.99999999999994</v>
      </c>
      <c r="H98" s="1">
        <f t="shared" si="30"/>
        <v>4</v>
      </c>
      <c r="I98" s="1">
        <f t="shared" si="20"/>
        <v>400</v>
      </c>
      <c r="K98" s="1">
        <f t="shared" si="21"/>
        <v>100</v>
      </c>
      <c r="L98" s="1">
        <f t="shared" si="22"/>
        <v>0</v>
      </c>
      <c r="N98" s="1">
        <f t="shared" si="23"/>
        <v>100</v>
      </c>
      <c r="O98" s="1">
        <f t="shared" si="24"/>
        <v>0</v>
      </c>
      <c r="P98" s="1">
        <f t="shared" ca="1" si="25"/>
        <v>100</v>
      </c>
      <c r="Q98" s="1">
        <f t="shared" si="26"/>
        <v>4</v>
      </c>
      <c r="R98" s="1">
        <f t="shared" si="27"/>
        <v>0</v>
      </c>
    </row>
    <row r="99" spans="1:18" x14ac:dyDescent="0.25">
      <c r="A99" s="21">
        <f t="shared" si="31"/>
        <v>78</v>
      </c>
      <c r="B99" s="1">
        <f t="shared" si="17"/>
        <v>150</v>
      </c>
      <c r="C99" s="1">
        <f t="shared" si="32"/>
        <v>11250</v>
      </c>
      <c r="D99" s="1">
        <f t="shared" si="18"/>
        <v>100</v>
      </c>
      <c r="E99" s="1">
        <f t="shared" si="28"/>
        <v>100</v>
      </c>
      <c r="F99" s="1">
        <f t="shared" ca="1" si="29"/>
        <v>100</v>
      </c>
      <c r="G99" s="1">
        <f t="shared" ca="1" si="19"/>
        <v>399.99999999999994</v>
      </c>
      <c r="H99" s="1">
        <f t="shared" si="30"/>
        <v>4</v>
      </c>
      <c r="I99" s="1">
        <f t="shared" si="20"/>
        <v>400</v>
      </c>
      <c r="K99" s="1">
        <f t="shared" si="21"/>
        <v>100</v>
      </c>
      <c r="L99" s="1">
        <f t="shared" si="22"/>
        <v>0</v>
      </c>
      <c r="N99" s="1">
        <f t="shared" si="23"/>
        <v>100</v>
      </c>
      <c r="O99" s="1">
        <f t="shared" si="24"/>
        <v>0</v>
      </c>
      <c r="P99" s="1">
        <f t="shared" ca="1" si="25"/>
        <v>100</v>
      </c>
      <c r="Q99" s="1">
        <f t="shared" si="26"/>
        <v>4</v>
      </c>
      <c r="R99" s="1">
        <f t="shared" si="27"/>
        <v>0</v>
      </c>
    </row>
    <row r="100" spans="1:18" x14ac:dyDescent="0.25">
      <c r="A100" s="21">
        <f t="shared" si="31"/>
        <v>79</v>
      </c>
      <c r="B100" s="1">
        <f t="shared" si="17"/>
        <v>150</v>
      </c>
      <c r="C100" s="1">
        <f t="shared" si="32"/>
        <v>11400</v>
      </c>
      <c r="D100" s="1">
        <f t="shared" si="18"/>
        <v>100</v>
      </c>
      <c r="E100" s="1">
        <f t="shared" si="28"/>
        <v>100</v>
      </c>
      <c r="F100" s="1">
        <f t="shared" ca="1" si="29"/>
        <v>100</v>
      </c>
      <c r="G100" s="1">
        <f t="shared" ca="1" si="19"/>
        <v>399.99999999999994</v>
      </c>
      <c r="H100" s="1">
        <f t="shared" si="30"/>
        <v>4</v>
      </c>
      <c r="I100" s="1">
        <f t="shared" si="20"/>
        <v>400</v>
      </c>
      <c r="K100" s="1">
        <f t="shared" si="21"/>
        <v>100</v>
      </c>
      <c r="L100" s="1">
        <f t="shared" si="22"/>
        <v>0</v>
      </c>
      <c r="N100" s="1">
        <f t="shared" si="23"/>
        <v>100</v>
      </c>
      <c r="O100" s="1">
        <f t="shared" si="24"/>
        <v>0</v>
      </c>
      <c r="P100" s="1">
        <f t="shared" ca="1" si="25"/>
        <v>100</v>
      </c>
      <c r="Q100" s="1">
        <f t="shared" si="26"/>
        <v>4</v>
      </c>
      <c r="R100" s="1">
        <f t="shared" si="27"/>
        <v>0</v>
      </c>
    </row>
    <row r="101" spans="1:18" x14ac:dyDescent="0.25">
      <c r="A101" s="21">
        <f t="shared" si="31"/>
        <v>80</v>
      </c>
      <c r="B101" s="1">
        <f t="shared" si="17"/>
        <v>150</v>
      </c>
      <c r="C101" s="1">
        <f t="shared" si="32"/>
        <v>11550</v>
      </c>
      <c r="D101" s="1">
        <f t="shared" si="18"/>
        <v>100</v>
      </c>
      <c r="E101" s="1">
        <f t="shared" si="28"/>
        <v>100</v>
      </c>
      <c r="F101" s="1">
        <f t="shared" ca="1" si="29"/>
        <v>100</v>
      </c>
      <c r="G101" s="1">
        <f t="shared" ca="1" si="19"/>
        <v>399.99999999999994</v>
      </c>
      <c r="H101" s="1">
        <f t="shared" si="30"/>
        <v>4</v>
      </c>
      <c r="I101" s="1">
        <f t="shared" si="20"/>
        <v>400</v>
      </c>
      <c r="K101" s="1">
        <f t="shared" si="21"/>
        <v>100</v>
      </c>
      <c r="L101" s="1">
        <f t="shared" si="22"/>
        <v>0</v>
      </c>
      <c r="N101" s="1">
        <f t="shared" si="23"/>
        <v>100</v>
      </c>
      <c r="O101" s="1">
        <f t="shared" si="24"/>
        <v>0</v>
      </c>
      <c r="P101" s="1">
        <f t="shared" ca="1" si="25"/>
        <v>100</v>
      </c>
      <c r="Q101" s="1">
        <f t="shared" si="26"/>
        <v>4</v>
      </c>
      <c r="R101" s="1">
        <f t="shared" si="27"/>
        <v>0</v>
      </c>
    </row>
    <row r="102" spans="1:18" x14ac:dyDescent="0.25">
      <c r="A102" s="21">
        <f t="shared" si="31"/>
        <v>81</v>
      </c>
      <c r="B102" s="1">
        <f t="shared" ref="B102:B165" si="33">N$11</f>
        <v>150</v>
      </c>
      <c r="C102" s="1">
        <f t="shared" si="32"/>
        <v>11700</v>
      </c>
      <c r="D102" s="1">
        <f t="shared" si="18"/>
        <v>100</v>
      </c>
      <c r="E102" s="1">
        <f t="shared" si="28"/>
        <v>100</v>
      </c>
      <c r="F102" s="1">
        <f t="shared" ca="1" si="29"/>
        <v>100</v>
      </c>
      <c r="G102" s="1">
        <f t="shared" ca="1" si="19"/>
        <v>399.99999999999994</v>
      </c>
      <c r="H102" s="1">
        <f t="shared" si="30"/>
        <v>4</v>
      </c>
      <c r="I102" s="1">
        <f t="shared" si="20"/>
        <v>400</v>
      </c>
      <c r="K102" s="1">
        <f t="shared" si="21"/>
        <v>100</v>
      </c>
      <c r="L102" s="1">
        <f t="shared" si="22"/>
        <v>0</v>
      </c>
      <c r="N102" s="1">
        <f t="shared" si="23"/>
        <v>100</v>
      </c>
      <c r="O102" s="1">
        <f t="shared" si="24"/>
        <v>0</v>
      </c>
      <c r="P102" s="1">
        <f t="shared" ca="1" si="25"/>
        <v>100</v>
      </c>
      <c r="Q102" s="1">
        <f t="shared" si="26"/>
        <v>4</v>
      </c>
      <c r="R102" s="1">
        <f t="shared" si="27"/>
        <v>0</v>
      </c>
    </row>
    <row r="103" spans="1:18" x14ac:dyDescent="0.25">
      <c r="A103" s="21">
        <f t="shared" si="31"/>
        <v>82</v>
      </c>
      <c r="B103" s="1">
        <f t="shared" si="33"/>
        <v>150</v>
      </c>
      <c r="C103" s="1">
        <f t="shared" si="32"/>
        <v>11850</v>
      </c>
      <c r="D103" s="1">
        <f t="shared" si="18"/>
        <v>100</v>
      </c>
      <c r="E103" s="1">
        <f t="shared" si="28"/>
        <v>100</v>
      </c>
      <c r="F103" s="1">
        <f t="shared" ca="1" si="29"/>
        <v>100</v>
      </c>
      <c r="G103" s="1">
        <f t="shared" ca="1" si="19"/>
        <v>399.99999999999994</v>
      </c>
      <c r="H103" s="1">
        <f t="shared" si="30"/>
        <v>4</v>
      </c>
      <c r="I103" s="1">
        <f t="shared" si="20"/>
        <v>400</v>
      </c>
      <c r="K103" s="1">
        <f t="shared" si="21"/>
        <v>100</v>
      </c>
      <c r="L103" s="1">
        <f t="shared" si="22"/>
        <v>0</v>
      </c>
      <c r="N103" s="1">
        <f t="shared" si="23"/>
        <v>100</v>
      </c>
      <c r="O103" s="1">
        <f t="shared" si="24"/>
        <v>0</v>
      </c>
      <c r="P103" s="1">
        <f t="shared" ca="1" si="25"/>
        <v>100</v>
      </c>
      <c r="Q103" s="1">
        <f t="shared" si="26"/>
        <v>4</v>
      </c>
      <c r="R103" s="1">
        <f t="shared" si="27"/>
        <v>0</v>
      </c>
    </row>
    <row r="104" spans="1:18" x14ac:dyDescent="0.25">
      <c r="A104" s="21">
        <f t="shared" si="31"/>
        <v>83</v>
      </c>
      <c r="B104" s="1">
        <f t="shared" si="33"/>
        <v>150</v>
      </c>
      <c r="C104" s="1">
        <f t="shared" si="32"/>
        <v>12000</v>
      </c>
      <c r="D104" s="1">
        <f t="shared" si="18"/>
        <v>100</v>
      </c>
      <c r="E104" s="1">
        <f t="shared" si="28"/>
        <v>100</v>
      </c>
      <c r="F104" s="1">
        <f t="shared" ca="1" si="29"/>
        <v>100</v>
      </c>
      <c r="G104" s="1">
        <f t="shared" ca="1" si="19"/>
        <v>399.99999999999994</v>
      </c>
      <c r="H104" s="1">
        <f t="shared" si="30"/>
        <v>4</v>
      </c>
      <c r="I104" s="1">
        <f t="shared" si="20"/>
        <v>400</v>
      </c>
      <c r="K104" s="1">
        <f t="shared" si="21"/>
        <v>100</v>
      </c>
      <c r="L104" s="1">
        <f t="shared" si="22"/>
        <v>0</v>
      </c>
      <c r="N104" s="1">
        <f t="shared" si="23"/>
        <v>100</v>
      </c>
      <c r="O104" s="1">
        <f t="shared" si="24"/>
        <v>0</v>
      </c>
      <c r="P104" s="1">
        <f t="shared" ca="1" si="25"/>
        <v>100</v>
      </c>
      <c r="Q104" s="1">
        <f t="shared" si="26"/>
        <v>4</v>
      </c>
      <c r="R104" s="1">
        <f t="shared" si="27"/>
        <v>0</v>
      </c>
    </row>
    <row r="105" spans="1:18" x14ac:dyDescent="0.25">
      <c r="A105" s="21">
        <f t="shared" si="31"/>
        <v>84</v>
      </c>
      <c r="B105" s="1">
        <f t="shared" si="33"/>
        <v>150</v>
      </c>
      <c r="C105" s="1">
        <f t="shared" si="32"/>
        <v>12150</v>
      </c>
      <c r="D105" s="1">
        <f t="shared" si="18"/>
        <v>100</v>
      </c>
      <c r="E105" s="1">
        <f t="shared" si="28"/>
        <v>100</v>
      </c>
      <c r="F105" s="1">
        <f t="shared" ca="1" si="29"/>
        <v>100</v>
      </c>
      <c r="G105" s="1">
        <f t="shared" ca="1" si="19"/>
        <v>399.99999999999994</v>
      </c>
      <c r="H105" s="1">
        <f t="shared" si="30"/>
        <v>4</v>
      </c>
      <c r="I105" s="1">
        <f t="shared" si="20"/>
        <v>400</v>
      </c>
      <c r="K105" s="1">
        <f t="shared" si="21"/>
        <v>100</v>
      </c>
      <c r="L105" s="1">
        <f t="shared" si="22"/>
        <v>0</v>
      </c>
      <c r="N105" s="1">
        <f t="shared" si="23"/>
        <v>100</v>
      </c>
      <c r="O105" s="1">
        <f t="shared" si="24"/>
        <v>0</v>
      </c>
      <c r="P105" s="1">
        <f t="shared" ca="1" si="25"/>
        <v>100</v>
      </c>
      <c r="Q105" s="1">
        <f t="shared" si="26"/>
        <v>4</v>
      </c>
      <c r="R105" s="1">
        <f t="shared" si="27"/>
        <v>0</v>
      </c>
    </row>
    <row r="106" spans="1:18" x14ac:dyDescent="0.25">
      <c r="A106" s="21">
        <f t="shared" si="31"/>
        <v>85</v>
      </c>
      <c r="B106" s="1">
        <f t="shared" si="33"/>
        <v>150</v>
      </c>
      <c r="C106" s="1">
        <f t="shared" si="32"/>
        <v>12300</v>
      </c>
      <c r="D106" s="1">
        <f t="shared" si="18"/>
        <v>100</v>
      </c>
      <c r="E106" s="1">
        <f t="shared" si="28"/>
        <v>100</v>
      </c>
      <c r="F106" s="1">
        <f t="shared" ca="1" si="29"/>
        <v>100</v>
      </c>
      <c r="G106" s="1">
        <f t="shared" ca="1" si="19"/>
        <v>399.99999999999994</v>
      </c>
      <c r="H106" s="1">
        <f t="shared" si="30"/>
        <v>4</v>
      </c>
      <c r="I106" s="1">
        <f t="shared" si="20"/>
        <v>400</v>
      </c>
      <c r="K106" s="1">
        <f t="shared" si="21"/>
        <v>100</v>
      </c>
      <c r="L106" s="1">
        <f t="shared" si="22"/>
        <v>0</v>
      </c>
      <c r="N106" s="1">
        <f t="shared" si="23"/>
        <v>100</v>
      </c>
      <c r="O106" s="1">
        <f t="shared" si="24"/>
        <v>0</v>
      </c>
      <c r="P106" s="1">
        <f t="shared" ca="1" si="25"/>
        <v>100</v>
      </c>
      <c r="Q106" s="1">
        <f t="shared" si="26"/>
        <v>4</v>
      </c>
      <c r="R106" s="1">
        <f t="shared" si="27"/>
        <v>0</v>
      </c>
    </row>
    <row r="107" spans="1:18" x14ac:dyDescent="0.25">
      <c r="A107" s="21">
        <f t="shared" si="31"/>
        <v>86</v>
      </c>
      <c r="B107" s="1">
        <f t="shared" si="33"/>
        <v>150</v>
      </c>
      <c r="C107" s="1">
        <f t="shared" si="32"/>
        <v>12450</v>
      </c>
      <c r="D107" s="1">
        <f t="shared" si="18"/>
        <v>100</v>
      </c>
      <c r="E107" s="1">
        <f t="shared" si="28"/>
        <v>100</v>
      </c>
      <c r="F107" s="1">
        <f t="shared" ca="1" si="29"/>
        <v>100</v>
      </c>
      <c r="G107" s="1">
        <f t="shared" ca="1" si="19"/>
        <v>399.99999999999994</v>
      </c>
      <c r="H107" s="1">
        <f t="shared" si="30"/>
        <v>4</v>
      </c>
      <c r="I107" s="1">
        <f t="shared" si="20"/>
        <v>400</v>
      </c>
      <c r="K107" s="1">
        <f t="shared" si="21"/>
        <v>100</v>
      </c>
      <c r="L107" s="1">
        <f t="shared" si="22"/>
        <v>0</v>
      </c>
      <c r="N107" s="1">
        <f t="shared" si="23"/>
        <v>100</v>
      </c>
      <c r="O107" s="1">
        <f t="shared" si="24"/>
        <v>0</v>
      </c>
      <c r="P107" s="1">
        <f t="shared" ca="1" si="25"/>
        <v>100</v>
      </c>
      <c r="Q107" s="1">
        <f t="shared" si="26"/>
        <v>4</v>
      </c>
      <c r="R107" s="1">
        <f t="shared" si="27"/>
        <v>0</v>
      </c>
    </row>
    <row r="108" spans="1:18" x14ac:dyDescent="0.25">
      <c r="A108" s="21">
        <f t="shared" si="31"/>
        <v>87</v>
      </c>
      <c r="B108" s="1">
        <f t="shared" si="33"/>
        <v>150</v>
      </c>
      <c r="C108" s="1">
        <f t="shared" si="32"/>
        <v>12600</v>
      </c>
      <c r="D108" s="1">
        <f t="shared" si="18"/>
        <v>100</v>
      </c>
      <c r="E108" s="1">
        <f t="shared" si="28"/>
        <v>100</v>
      </c>
      <c r="F108" s="1">
        <f t="shared" ca="1" si="29"/>
        <v>100</v>
      </c>
      <c r="G108" s="1">
        <f t="shared" ca="1" si="19"/>
        <v>399.99999999999994</v>
      </c>
      <c r="H108" s="1">
        <f t="shared" si="30"/>
        <v>4</v>
      </c>
      <c r="I108" s="1">
        <f t="shared" si="20"/>
        <v>400</v>
      </c>
      <c r="K108" s="1">
        <f t="shared" si="21"/>
        <v>100</v>
      </c>
      <c r="L108" s="1">
        <f t="shared" si="22"/>
        <v>0</v>
      </c>
      <c r="N108" s="1">
        <f t="shared" si="23"/>
        <v>100</v>
      </c>
      <c r="O108" s="1">
        <f t="shared" si="24"/>
        <v>0</v>
      </c>
      <c r="P108" s="1">
        <f t="shared" ca="1" si="25"/>
        <v>100</v>
      </c>
      <c r="Q108" s="1">
        <f t="shared" si="26"/>
        <v>4</v>
      </c>
      <c r="R108" s="1">
        <f t="shared" si="27"/>
        <v>0</v>
      </c>
    </row>
    <row r="109" spans="1:18" x14ac:dyDescent="0.25">
      <c r="A109" s="21">
        <f t="shared" si="31"/>
        <v>88</v>
      </c>
      <c r="B109" s="1">
        <f t="shared" si="33"/>
        <v>150</v>
      </c>
      <c r="C109" s="1">
        <f t="shared" si="32"/>
        <v>12750</v>
      </c>
      <c r="D109" s="1">
        <f t="shared" si="18"/>
        <v>100</v>
      </c>
      <c r="E109" s="1">
        <f t="shared" si="28"/>
        <v>100</v>
      </c>
      <c r="F109" s="1">
        <f t="shared" ca="1" si="29"/>
        <v>100</v>
      </c>
      <c r="G109" s="1">
        <f t="shared" ca="1" si="19"/>
        <v>399.99999999999994</v>
      </c>
      <c r="H109" s="1">
        <f t="shared" si="30"/>
        <v>4</v>
      </c>
      <c r="I109" s="1">
        <f t="shared" si="20"/>
        <v>400</v>
      </c>
      <c r="K109" s="1">
        <f t="shared" si="21"/>
        <v>100</v>
      </c>
      <c r="L109" s="1">
        <f t="shared" si="22"/>
        <v>0</v>
      </c>
      <c r="N109" s="1">
        <f t="shared" si="23"/>
        <v>100</v>
      </c>
      <c r="O109" s="1">
        <f t="shared" si="24"/>
        <v>0</v>
      </c>
      <c r="P109" s="1">
        <f t="shared" ca="1" si="25"/>
        <v>100</v>
      </c>
      <c r="Q109" s="1">
        <f t="shared" si="26"/>
        <v>4</v>
      </c>
      <c r="R109" s="1">
        <f t="shared" si="27"/>
        <v>0</v>
      </c>
    </row>
    <row r="110" spans="1:18" x14ac:dyDescent="0.25">
      <c r="A110" s="21">
        <f t="shared" si="31"/>
        <v>89</v>
      </c>
      <c r="B110" s="1">
        <f t="shared" si="33"/>
        <v>150</v>
      </c>
      <c r="C110" s="1">
        <f t="shared" si="32"/>
        <v>12900</v>
      </c>
      <c r="D110" s="1">
        <f t="shared" si="18"/>
        <v>100</v>
      </c>
      <c r="E110" s="1">
        <f t="shared" si="28"/>
        <v>100</v>
      </c>
      <c r="F110" s="1">
        <f t="shared" ca="1" si="29"/>
        <v>100</v>
      </c>
      <c r="G110" s="1">
        <f t="shared" ca="1" si="19"/>
        <v>399.99999999999994</v>
      </c>
      <c r="H110" s="1">
        <f t="shared" si="30"/>
        <v>4</v>
      </c>
      <c r="I110" s="1">
        <f t="shared" si="20"/>
        <v>400</v>
      </c>
      <c r="K110" s="1">
        <f t="shared" si="21"/>
        <v>100</v>
      </c>
      <c r="L110" s="1">
        <f t="shared" si="22"/>
        <v>0</v>
      </c>
      <c r="N110" s="1">
        <f t="shared" si="23"/>
        <v>100</v>
      </c>
      <c r="O110" s="1">
        <f t="shared" si="24"/>
        <v>0</v>
      </c>
      <c r="P110" s="1">
        <f t="shared" ca="1" si="25"/>
        <v>100</v>
      </c>
      <c r="Q110" s="1">
        <f t="shared" si="26"/>
        <v>4</v>
      </c>
      <c r="R110" s="1">
        <f t="shared" si="27"/>
        <v>0</v>
      </c>
    </row>
    <row r="111" spans="1:18" x14ac:dyDescent="0.25">
      <c r="A111" s="21">
        <f t="shared" si="31"/>
        <v>90</v>
      </c>
      <c r="B111" s="1">
        <f t="shared" si="33"/>
        <v>150</v>
      </c>
      <c r="C111" s="1">
        <f t="shared" si="32"/>
        <v>13050</v>
      </c>
      <c r="D111" s="1">
        <f t="shared" si="18"/>
        <v>100</v>
      </c>
      <c r="E111" s="1">
        <f t="shared" si="28"/>
        <v>100</v>
      </c>
      <c r="F111" s="1">
        <f t="shared" ca="1" si="29"/>
        <v>100</v>
      </c>
      <c r="G111" s="1">
        <f t="shared" ca="1" si="19"/>
        <v>399.99999999999994</v>
      </c>
      <c r="H111" s="1">
        <f t="shared" si="30"/>
        <v>4</v>
      </c>
      <c r="I111" s="1">
        <f t="shared" si="20"/>
        <v>400</v>
      </c>
      <c r="K111" s="1">
        <f t="shared" si="21"/>
        <v>100</v>
      </c>
      <c r="L111" s="1">
        <f t="shared" si="22"/>
        <v>0</v>
      </c>
      <c r="N111" s="1">
        <f t="shared" si="23"/>
        <v>100</v>
      </c>
      <c r="O111" s="1">
        <f t="shared" si="24"/>
        <v>0</v>
      </c>
      <c r="P111" s="1">
        <f t="shared" ca="1" si="25"/>
        <v>100</v>
      </c>
      <c r="Q111" s="1">
        <f t="shared" si="26"/>
        <v>4</v>
      </c>
      <c r="R111" s="1">
        <f t="shared" si="27"/>
        <v>0</v>
      </c>
    </row>
    <row r="112" spans="1:18" x14ac:dyDescent="0.25">
      <c r="A112" s="21">
        <f t="shared" si="31"/>
        <v>91</v>
      </c>
      <c r="B112" s="1">
        <f t="shared" si="33"/>
        <v>150</v>
      </c>
      <c r="C112" s="1">
        <f t="shared" si="32"/>
        <v>13200</v>
      </c>
      <c r="D112" s="1">
        <f t="shared" si="18"/>
        <v>100</v>
      </c>
      <c r="E112" s="1">
        <f t="shared" si="28"/>
        <v>100</v>
      </c>
      <c r="F112" s="1">
        <f t="shared" ca="1" si="29"/>
        <v>100</v>
      </c>
      <c r="G112" s="1">
        <f t="shared" ca="1" si="19"/>
        <v>399.99999999999994</v>
      </c>
      <c r="H112" s="1">
        <f t="shared" si="30"/>
        <v>4</v>
      </c>
      <c r="I112" s="1">
        <f t="shared" si="20"/>
        <v>400</v>
      </c>
      <c r="K112" s="1">
        <f t="shared" si="21"/>
        <v>100</v>
      </c>
      <c r="L112" s="1">
        <f t="shared" si="22"/>
        <v>0</v>
      </c>
      <c r="N112" s="1">
        <f t="shared" si="23"/>
        <v>100</v>
      </c>
      <c r="O112" s="1">
        <f t="shared" si="24"/>
        <v>0</v>
      </c>
      <c r="P112" s="1">
        <f t="shared" ca="1" si="25"/>
        <v>100</v>
      </c>
      <c r="Q112" s="1">
        <f t="shared" si="26"/>
        <v>4</v>
      </c>
      <c r="R112" s="1">
        <f t="shared" si="27"/>
        <v>0</v>
      </c>
    </row>
    <row r="113" spans="1:18" x14ac:dyDescent="0.25">
      <c r="A113" s="21">
        <f t="shared" si="31"/>
        <v>92</v>
      </c>
      <c r="B113" s="1">
        <f t="shared" si="33"/>
        <v>150</v>
      </c>
      <c r="C113" s="1">
        <f t="shared" si="32"/>
        <v>13350</v>
      </c>
      <c r="D113" s="1">
        <f t="shared" si="18"/>
        <v>100</v>
      </c>
      <c r="E113" s="1">
        <f t="shared" si="28"/>
        <v>100</v>
      </c>
      <c r="F113" s="1">
        <f t="shared" ca="1" si="29"/>
        <v>100</v>
      </c>
      <c r="G113" s="1">
        <f t="shared" ca="1" si="19"/>
        <v>399.99999999999994</v>
      </c>
      <c r="H113" s="1">
        <f t="shared" si="30"/>
        <v>4</v>
      </c>
      <c r="I113" s="1">
        <f t="shared" si="20"/>
        <v>400</v>
      </c>
      <c r="K113" s="1">
        <f t="shared" si="21"/>
        <v>100</v>
      </c>
      <c r="L113" s="1">
        <f t="shared" si="22"/>
        <v>0</v>
      </c>
      <c r="N113" s="1">
        <f t="shared" si="23"/>
        <v>100</v>
      </c>
      <c r="O113" s="1">
        <f t="shared" si="24"/>
        <v>0</v>
      </c>
      <c r="P113" s="1">
        <f t="shared" ca="1" si="25"/>
        <v>100</v>
      </c>
      <c r="Q113" s="1">
        <f t="shared" si="26"/>
        <v>4</v>
      </c>
      <c r="R113" s="1">
        <f t="shared" si="27"/>
        <v>0</v>
      </c>
    </row>
    <row r="114" spans="1:18" x14ac:dyDescent="0.25">
      <c r="A114" s="21">
        <f t="shared" si="31"/>
        <v>93</v>
      </c>
      <c r="B114" s="1">
        <f t="shared" si="33"/>
        <v>150</v>
      </c>
      <c r="C114" s="1">
        <f t="shared" si="32"/>
        <v>13500</v>
      </c>
      <c r="D114" s="1">
        <f t="shared" si="18"/>
        <v>100</v>
      </c>
      <c r="E114" s="1">
        <f t="shared" si="28"/>
        <v>100</v>
      </c>
      <c r="F114" s="1">
        <f t="shared" ca="1" si="29"/>
        <v>100</v>
      </c>
      <c r="G114" s="1">
        <f t="shared" ca="1" si="19"/>
        <v>399.99999999999994</v>
      </c>
      <c r="H114" s="1">
        <f t="shared" si="30"/>
        <v>4</v>
      </c>
      <c r="I114" s="1">
        <f t="shared" si="20"/>
        <v>400</v>
      </c>
      <c r="K114" s="1">
        <f t="shared" si="21"/>
        <v>100</v>
      </c>
      <c r="L114" s="1">
        <f t="shared" si="22"/>
        <v>0</v>
      </c>
      <c r="N114" s="1">
        <f t="shared" si="23"/>
        <v>100</v>
      </c>
      <c r="O114" s="1">
        <f t="shared" si="24"/>
        <v>0</v>
      </c>
      <c r="P114" s="1">
        <f t="shared" ca="1" si="25"/>
        <v>100</v>
      </c>
      <c r="Q114" s="1">
        <f t="shared" si="26"/>
        <v>4</v>
      </c>
      <c r="R114" s="1">
        <f t="shared" si="27"/>
        <v>0</v>
      </c>
    </row>
    <row r="115" spans="1:18" x14ac:dyDescent="0.25">
      <c r="A115" s="21">
        <f t="shared" si="31"/>
        <v>94</v>
      </c>
      <c r="B115" s="1">
        <f t="shared" si="33"/>
        <v>150</v>
      </c>
      <c r="C115" s="1">
        <f t="shared" si="32"/>
        <v>13650</v>
      </c>
      <c r="D115" s="1">
        <f t="shared" si="18"/>
        <v>100</v>
      </c>
      <c r="E115" s="1">
        <f t="shared" si="28"/>
        <v>100</v>
      </c>
      <c r="F115" s="1">
        <f t="shared" ca="1" si="29"/>
        <v>100</v>
      </c>
      <c r="G115" s="1">
        <f t="shared" ca="1" si="19"/>
        <v>399.99999999999994</v>
      </c>
      <c r="H115" s="1">
        <f t="shared" si="30"/>
        <v>4</v>
      </c>
      <c r="I115" s="1">
        <f t="shared" si="20"/>
        <v>400</v>
      </c>
      <c r="K115" s="1">
        <f t="shared" si="21"/>
        <v>100</v>
      </c>
      <c r="L115" s="1">
        <f t="shared" si="22"/>
        <v>0</v>
      </c>
      <c r="N115" s="1">
        <f t="shared" si="23"/>
        <v>100</v>
      </c>
      <c r="O115" s="1">
        <f t="shared" si="24"/>
        <v>0</v>
      </c>
      <c r="P115" s="1">
        <f t="shared" ca="1" si="25"/>
        <v>100</v>
      </c>
      <c r="Q115" s="1">
        <f t="shared" si="26"/>
        <v>4</v>
      </c>
      <c r="R115" s="1">
        <f t="shared" si="27"/>
        <v>0</v>
      </c>
    </row>
    <row r="116" spans="1:18" x14ac:dyDescent="0.25">
      <c r="A116" s="21">
        <f t="shared" si="31"/>
        <v>95</v>
      </c>
      <c r="B116" s="1">
        <f t="shared" si="33"/>
        <v>150</v>
      </c>
      <c r="C116" s="1">
        <f t="shared" si="32"/>
        <v>13800</v>
      </c>
      <c r="D116" s="1">
        <f t="shared" si="18"/>
        <v>100</v>
      </c>
      <c r="E116" s="1">
        <f t="shared" si="28"/>
        <v>100</v>
      </c>
      <c r="F116" s="1">
        <f t="shared" ca="1" si="29"/>
        <v>100</v>
      </c>
      <c r="G116" s="1">
        <f t="shared" ca="1" si="19"/>
        <v>399.99999999999994</v>
      </c>
      <c r="H116" s="1">
        <f t="shared" si="30"/>
        <v>4</v>
      </c>
      <c r="I116" s="1">
        <f t="shared" si="20"/>
        <v>400</v>
      </c>
      <c r="K116" s="1">
        <f t="shared" si="21"/>
        <v>100</v>
      </c>
      <c r="L116" s="1">
        <f t="shared" si="22"/>
        <v>0</v>
      </c>
      <c r="N116" s="1">
        <f t="shared" si="23"/>
        <v>100</v>
      </c>
      <c r="O116" s="1">
        <f t="shared" si="24"/>
        <v>0</v>
      </c>
      <c r="P116" s="1">
        <f t="shared" ca="1" si="25"/>
        <v>100</v>
      </c>
      <c r="Q116" s="1">
        <f t="shared" si="26"/>
        <v>4</v>
      </c>
      <c r="R116" s="1">
        <f t="shared" si="27"/>
        <v>0</v>
      </c>
    </row>
    <row r="117" spans="1:18" x14ac:dyDescent="0.25">
      <c r="A117" s="21">
        <f t="shared" si="31"/>
        <v>96</v>
      </c>
      <c r="B117" s="1">
        <f t="shared" si="33"/>
        <v>150</v>
      </c>
      <c r="C117" s="1">
        <f t="shared" si="32"/>
        <v>13950</v>
      </c>
      <c r="D117" s="1">
        <f t="shared" si="18"/>
        <v>100</v>
      </c>
      <c r="E117" s="1">
        <f t="shared" si="28"/>
        <v>100</v>
      </c>
      <c r="F117" s="1">
        <f t="shared" ca="1" si="29"/>
        <v>100</v>
      </c>
      <c r="G117" s="1">
        <f t="shared" ca="1" si="19"/>
        <v>399.99999999999994</v>
      </c>
      <c r="H117" s="1">
        <f t="shared" si="30"/>
        <v>4</v>
      </c>
      <c r="I117" s="1">
        <f t="shared" si="20"/>
        <v>400</v>
      </c>
      <c r="K117" s="1">
        <f t="shared" si="21"/>
        <v>100</v>
      </c>
      <c r="L117" s="1">
        <f t="shared" si="22"/>
        <v>0</v>
      </c>
      <c r="N117" s="1">
        <f t="shared" si="23"/>
        <v>100</v>
      </c>
      <c r="O117" s="1">
        <f t="shared" si="24"/>
        <v>0</v>
      </c>
      <c r="P117" s="1">
        <f t="shared" ca="1" si="25"/>
        <v>100</v>
      </c>
      <c r="Q117" s="1">
        <f t="shared" si="26"/>
        <v>4</v>
      </c>
      <c r="R117" s="1">
        <f t="shared" si="27"/>
        <v>0</v>
      </c>
    </row>
    <row r="118" spans="1:18" x14ac:dyDescent="0.25">
      <c r="A118" s="21">
        <f t="shared" si="31"/>
        <v>97</v>
      </c>
      <c r="B118" s="1">
        <f t="shared" si="33"/>
        <v>150</v>
      </c>
      <c r="C118" s="1">
        <f t="shared" si="32"/>
        <v>14100</v>
      </c>
      <c r="D118" s="1">
        <f t="shared" si="18"/>
        <v>100</v>
      </c>
      <c r="E118" s="1">
        <f t="shared" si="28"/>
        <v>100</v>
      </c>
      <c r="F118" s="1">
        <f t="shared" ca="1" si="29"/>
        <v>100</v>
      </c>
      <c r="G118" s="1">
        <f t="shared" ca="1" si="19"/>
        <v>399.99999999999994</v>
      </c>
      <c r="H118" s="1">
        <f t="shared" si="30"/>
        <v>4</v>
      </c>
      <c r="I118" s="1">
        <f t="shared" si="20"/>
        <v>400</v>
      </c>
      <c r="K118" s="1">
        <f t="shared" si="21"/>
        <v>100</v>
      </c>
      <c r="L118" s="1">
        <f t="shared" si="22"/>
        <v>0</v>
      </c>
      <c r="N118" s="1">
        <f t="shared" si="23"/>
        <v>100</v>
      </c>
      <c r="O118" s="1">
        <f t="shared" si="24"/>
        <v>0</v>
      </c>
      <c r="P118" s="1">
        <f t="shared" ca="1" si="25"/>
        <v>100</v>
      </c>
      <c r="Q118" s="1">
        <f t="shared" si="26"/>
        <v>4</v>
      </c>
      <c r="R118" s="1">
        <f t="shared" si="27"/>
        <v>0</v>
      </c>
    </row>
    <row r="119" spans="1:18" x14ac:dyDescent="0.25">
      <c r="A119" s="21">
        <f t="shared" si="31"/>
        <v>98</v>
      </c>
      <c r="B119" s="1">
        <f t="shared" si="33"/>
        <v>150</v>
      </c>
      <c r="C119" s="1">
        <f t="shared" si="32"/>
        <v>14250</v>
      </c>
      <c r="D119" s="1">
        <f t="shared" si="18"/>
        <v>100</v>
      </c>
      <c r="E119" s="1">
        <f t="shared" si="28"/>
        <v>100</v>
      </c>
      <c r="F119" s="1">
        <f t="shared" ca="1" si="29"/>
        <v>100</v>
      </c>
      <c r="G119" s="1">
        <f t="shared" ca="1" si="19"/>
        <v>399.99999999999994</v>
      </c>
      <c r="H119" s="1">
        <f t="shared" si="30"/>
        <v>4</v>
      </c>
      <c r="I119" s="1">
        <f t="shared" si="20"/>
        <v>400</v>
      </c>
      <c r="K119" s="1">
        <f t="shared" si="21"/>
        <v>100</v>
      </c>
      <c r="L119" s="1">
        <f t="shared" si="22"/>
        <v>0</v>
      </c>
      <c r="N119" s="1">
        <f t="shared" si="23"/>
        <v>100</v>
      </c>
      <c r="O119" s="1">
        <f t="shared" si="24"/>
        <v>0</v>
      </c>
      <c r="P119" s="1">
        <f t="shared" ca="1" si="25"/>
        <v>100</v>
      </c>
      <c r="Q119" s="1">
        <f t="shared" si="26"/>
        <v>4</v>
      </c>
      <c r="R119" s="1">
        <f t="shared" si="27"/>
        <v>0</v>
      </c>
    </row>
    <row r="120" spans="1:18" x14ac:dyDescent="0.25">
      <c r="A120" s="21">
        <f t="shared" si="31"/>
        <v>99</v>
      </c>
      <c r="B120" s="1">
        <f t="shared" si="33"/>
        <v>150</v>
      </c>
      <c r="C120" s="1">
        <f t="shared" si="32"/>
        <v>14400</v>
      </c>
      <c r="D120" s="1">
        <f t="shared" si="18"/>
        <v>100</v>
      </c>
      <c r="E120" s="1">
        <f t="shared" si="28"/>
        <v>100</v>
      </c>
      <c r="F120" s="1">
        <f t="shared" ca="1" si="29"/>
        <v>100</v>
      </c>
      <c r="G120" s="1">
        <f t="shared" ca="1" si="19"/>
        <v>399.99999999999994</v>
      </c>
      <c r="H120" s="1">
        <f t="shared" si="30"/>
        <v>4</v>
      </c>
      <c r="I120" s="1">
        <f t="shared" si="20"/>
        <v>400</v>
      </c>
      <c r="K120" s="1">
        <f t="shared" si="21"/>
        <v>100</v>
      </c>
      <c r="L120" s="1">
        <f t="shared" si="22"/>
        <v>0</v>
      </c>
      <c r="N120" s="1">
        <f t="shared" si="23"/>
        <v>100</v>
      </c>
      <c r="O120" s="1">
        <f t="shared" si="24"/>
        <v>0</v>
      </c>
      <c r="P120" s="1">
        <f t="shared" ca="1" si="25"/>
        <v>100</v>
      </c>
      <c r="Q120" s="1">
        <f t="shared" si="26"/>
        <v>4</v>
      </c>
      <c r="R120" s="1">
        <f t="shared" si="27"/>
        <v>0</v>
      </c>
    </row>
    <row r="121" spans="1:18" x14ac:dyDescent="0.25">
      <c r="A121" s="21">
        <f t="shared" si="31"/>
        <v>100</v>
      </c>
      <c r="B121" s="1">
        <f t="shared" si="33"/>
        <v>150</v>
      </c>
      <c r="C121" s="1">
        <f t="shared" si="32"/>
        <v>14550</v>
      </c>
      <c r="D121" s="1">
        <f t="shared" si="18"/>
        <v>100</v>
      </c>
      <c r="E121" s="1">
        <f t="shared" si="28"/>
        <v>100</v>
      </c>
      <c r="F121" s="1">
        <f t="shared" ca="1" si="29"/>
        <v>100</v>
      </c>
      <c r="G121" s="1">
        <f t="shared" ca="1" si="19"/>
        <v>399.99999999999994</v>
      </c>
      <c r="H121" s="1">
        <f t="shared" si="30"/>
        <v>4</v>
      </c>
      <c r="I121" s="1">
        <f t="shared" si="20"/>
        <v>400</v>
      </c>
      <c r="K121" s="1">
        <f t="shared" si="21"/>
        <v>100</v>
      </c>
      <c r="L121" s="1">
        <f t="shared" si="22"/>
        <v>0</v>
      </c>
      <c r="N121" s="1">
        <f t="shared" si="23"/>
        <v>100</v>
      </c>
      <c r="O121" s="1">
        <f t="shared" si="24"/>
        <v>0</v>
      </c>
      <c r="P121" s="1">
        <f t="shared" ca="1" si="25"/>
        <v>100</v>
      </c>
      <c r="Q121" s="1">
        <f t="shared" si="26"/>
        <v>4</v>
      </c>
      <c r="R121" s="1">
        <f t="shared" si="27"/>
        <v>0</v>
      </c>
    </row>
    <row r="122" spans="1:18" x14ac:dyDescent="0.25">
      <c r="A122" s="21">
        <f t="shared" si="31"/>
        <v>101</v>
      </c>
      <c r="B122" s="1">
        <f t="shared" si="33"/>
        <v>150</v>
      </c>
      <c r="C122" s="1">
        <f t="shared" si="32"/>
        <v>14700</v>
      </c>
      <c r="D122" s="1">
        <f t="shared" si="18"/>
        <v>100</v>
      </c>
      <c r="E122" s="1">
        <f t="shared" si="28"/>
        <v>100</v>
      </c>
      <c r="F122" s="1">
        <f t="shared" ca="1" si="29"/>
        <v>100</v>
      </c>
      <c r="G122" s="1">
        <f t="shared" ca="1" si="19"/>
        <v>399.99999999999994</v>
      </c>
      <c r="H122" s="1">
        <f t="shared" si="30"/>
        <v>4</v>
      </c>
      <c r="I122" s="1">
        <f t="shared" si="20"/>
        <v>400</v>
      </c>
      <c r="K122" s="1">
        <f t="shared" si="21"/>
        <v>100</v>
      </c>
      <c r="L122" s="1">
        <f t="shared" si="22"/>
        <v>0</v>
      </c>
      <c r="N122" s="1">
        <f t="shared" si="23"/>
        <v>100</v>
      </c>
      <c r="O122" s="1">
        <f t="shared" si="24"/>
        <v>0</v>
      </c>
      <c r="P122" s="1">
        <f t="shared" ca="1" si="25"/>
        <v>100</v>
      </c>
      <c r="Q122" s="1">
        <f t="shared" si="26"/>
        <v>4</v>
      </c>
      <c r="R122" s="1">
        <f t="shared" si="27"/>
        <v>0</v>
      </c>
    </row>
    <row r="123" spans="1:18" x14ac:dyDescent="0.25">
      <c r="A123" s="21">
        <f t="shared" si="31"/>
        <v>102</v>
      </c>
      <c r="B123" s="1">
        <f t="shared" si="33"/>
        <v>150</v>
      </c>
      <c r="C123" s="1">
        <f t="shared" si="32"/>
        <v>14850</v>
      </c>
      <c r="D123" s="1">
        <f t="shared" si="18"/>
        <v>100</v>
      </c>
      <c r="E123" s="1">
        <f t="shared" si="28"/>
        <v>100</v>
      </c>
      <c r="F123" s="1">
        <f t="shared" ca="1" si="29"/>
        <v>100</v>
      </c>
      <c r="G123" s="1">
        <f t="shared" ca="1" si="19"/>
        <v>399.99999999999994</v>
      </c>
      <c r="H123" s="1">
        <f t="shared" si="30"/>
        <v>4</v>
      </c>
      <c r="I123" s="1">
        <f t="shared" si="20"/>
        <v>400</v>
      </c>
      <c r="K123" s="1">
        <f t="shared" si="21"/>
        <v>100</v>
      </c>
      <c r="L123" s="1">
        <f t="shared" si="22"/>
        <v>0</v>
      </c>
      <c r="N123" s="1">
        <f t="shared" si="23"/>
        <v>100</v>
      </c>
      <c r="O123" s="1">
        <f t="shared" si="24"/>
        <v>0</v>
      </c>
      <c r="P123" s="1">
        <f t="shared" ca="1" si="25"/>
        <v>100</v>
      </c>
      <c r="Q123" s="1">
        <f t="shared" si="26"/>
        <v>4</v>
      </c>
      <c r="R123" s="1">
        <f t="shared" si="27"/>
        <v>0</v>
      </c>
    </row>
    <row r="124" spans="1:18" x14ac:dyDescent="0.25">
      <c r="A124" s="21">
        <f t="shared" si="31"/>
        <v>103</v>
      </c>
      <c r="B124" s="1">
        <f t="shared" si="33"/>
        <v>150</v>
      </c>
      <c r="C124" s="1">
        <f t="shared" si="32"/>
        <v>15000</v>
      </c>
      <c r="D124" s="1">
        <f t="shared" si="18"/>
        <v>100</v>
      </c>
      <c r="E124" s="1">
        <f t="shared" si="28"/>
        <v>100</v>
      </c>
      <c r="F124" s="1">
        <f t="shared" ca="1" si="29"/>
        <v>100</v>
      </c>
      <c r="G124" s="1">
        <f t="shared" ca="1" si="19"/>
        <v>399.99999999999994</v>
      </c>
      <c r="H124" s="1">
        <f t="shared" si="30"/>
        <v>4</v>
      </c>
      <c r="I124" s="1">
        <f t="shared" si="20"/>
        <v>400</v>
      </c>
      <c r="K124" s="1">
        <f t="shared" si="21"/>
        <v>100</v>
      </c>
      <c r="L124" s="1">
        <f t="shared" si="22"/>
        <v>0</v>
      </c>
      <c r="N124" s="1">
        <f t="shared" si="23"/>
        <v>100</v>
      </c>
      <c r="O124" s="1">
        <f t="shared" si="24"/>
        <v>0</v>
      </c>
      <c r="P124" s="1">
        <f t="shared" ca="1" si="25"/>
        <v>100</v>
      </c>
      <c r="Q124" s="1">
        <f t="shared" si="26"/>
        <v>4</v>
      </c>
      <c r="R124" s="1">
        <f t="shared" si="27"/>
        <v>0</v>
      </c>
    </row>
    <row r="125" spans="1:18" x14ac:dyDescent="0.25">
      <c r="A125" s="21">
        <f t="shared" si="31"/>
        <v>104</v>
      </c>
      <c r="B125" s="1">
        <f t="shared" si="33"/>
        <v>150</v>
      </c>
      <c r="C125" s="1">
        <f t="shared" si="32"/>
        <v>15150</v>
      </c>
      <c r="D125" s="1">
        <f t="shared" si="18"/>
        <v>100</v>
      </c>
      <c r="E125" s="1">
        <f t="shared" si="28"/>
        <v>100</v>
      </c>
      <c r="F125" s="1">
        <f t="shared" ca="1" si="29"/>
        <v>100</v>
      </c>
      <c r="G125" s="1">
        <f t="shared" ca="1" si="19"/>
        <v>399.99999999999994</v>
      </c>
      <c r="H125" s="1">
        <f t="shared" si="30"/>
        <v>4</v>
      </c>
      <c r="I125" s="1">
        <f t="shared" si="20"/>
        <v>400</v>
      </c>
      <c r="K125" s="1">
        <f t="shared" si="21"/>
        <v>100</v>
      </c>
      <c r="L125" s="1">
        <f t="shared" si="22"/>
        <v>0</v>
      </c>
      <c r="N125" s="1">
        <f t="shared" si="23"/>
        <v>100</v>
      </c>
      <c r="O125" s="1">
        <f t="shared" si="24"/>
        <v>0</v>
      </c>
      <c r="P125" s="1">
        <f t="shared" ca="1" si="25"/>
        <v>100</v>
      </c>
      <c r="Q125" s="1">
        <f t="shared" si="26"/>
        <v>4</v>
      </c>
      <c r="R125" s="1">
        <f t="shared" si="27"/>
        <v>0</v>
      </c>
    </row>
    <row r="126" spans="1:18" x14ac:dyDescent="0.25">
      <c r="A126" s="21">
        <f t="shared" si="31"/>
        <v>105</v>
      </c>
      <c r="B126" s="1">
        <f t="shared" si="33"/>
        <v>150</v>
      </c>
      <c r="C126" s="1">
        <f t="shared" si="32"/>
        <v>15300</v>
      </c>
      <c r="D126" s="1">
        <f t="shared" si="18"/>
        <v>100</v>
      </c>
      <c r="E126" s="1">
        <f t="shared" si="28"/>
        <v>100</v>
      </c>
      <c r="F126" s="1">
        <f t="shared" ca="1" si="29"/>
        <v>100</v>
      </c>
      <c r="G126" s="1">
        <f t="shared" ca="1" si="19"/>
        <v>399.99999999999994</v>
      </c>
      <c r="H126" s="1">
        <f t="shared" si="30"/>
        <v>4</v>
      </c>
      <c r="I126" s="1">
        <f t="shared" si="20"/>
        <v>400</v>
      </c>
      <c r="K126" s="1">
        <f t="shared" si="21"/>
        <v>100</v>
      </c>
      <c r="L126" s="1">
        <f t="shared" si="22"/>
        <v>0</v>
      </c>
      <c r="N126" s="1">
        <f t="shared" si="23"/>
        <v>100</v>
      </c>
      <c r="O126" s="1">
        <f t="shared" si="24"/>
        <v>0</v>
      </c>
      <c r="P126" s="1">
        <f t="shared" ca="1" si="25"/>
        <v>100</v>
      </c>
      <c r="Q126" s="1">
        <f t="shared" si="26"/>
        <v>4</v>
      </c>
      <c r="R126" s="1">
        <f t="shared" si="27"/>
        <v>0</v>
      </c>
    </row>
    <row r="127" spans="1:18" x14ac:dyDescent="0.25">
      <c r="A127" s="21">
        <f t="shared" si="31"/>
        <v>106</v>
      </c>
      <c r="B127" s="1">
        <f t="shared" si="33"/>
        <v>150</v>
      </c>
      <c r="C127" s="1">
        <f t="shared" si="32"/>
        <v>15450</v>
      </c>
      <c r="D127" s="1">
        <f t="shared" si="18"/>
        <v>100</v>
      </c>
      <c r="E127" s="1">
        <f t="shared" si="28"/>
        <v>100</v>
      </c>
      <c r="F127" s="1">
        <f t="shared" ca="1" si="29"/>
        <v>100</v>
      </c>
      <c r="G127" s="1">
        <f t="shared" ca="1" si="19"/>
        <v>399.99999999999994</v>
      </c>
      <c r="H127" s="1">
        <f t="shared" si="30"/>
        <v>4</v>
      </c>
      <c r="I127" s="1">
        <f t="shared" si="20"/>
        <v>400</v>
      </c>
      <c r="K127" s="1">
        <f t="shared" si="21"/>
        <v>100</v>
      </c>
      <c r="L127" s="1">
        <f t="shared" si="22"/>
        <v>0</v>
      </c>
      <c r="N127" s="1">
        <f t="shared" si="23"/>
        <v>100</v>
      </c>
      <c r="O127" s="1">
        <f t="shared" si="24"/>
        <v>0</v>
      </c>
      <c r="P127" s="1">
        <f t="shared" ca="1" si="25"/>
        <v>100</v>
      </c>
      <c r="Q127" s="1">
        <f t="shared" si="26"/>
        <v>4</v>
      </c>
      <c r="R127" s="1">
        <f t="shared" si="27"/>
        <v>0</v>
      </c>
    </row>
    <row r="128" spans="1:18" x14ac:dyDescent="0.25">
      <c r="A128" s="21">
        <f t="shared" si="31"/>
        <v>107</v>
      </c>
      <c r="B128" s="1">
        <f t="shared" si="33"/>
        <v>150</v>
      </c>
      <c r="C128" s="1">
        <f t="shared" si="32"/>
        <v>15600</v>
      </c>
      <c r="D128" s="1">
        <f t="shared" si="18"/>
        <v>100</v>
      </c>
      <c r="E128" s="1">
        <f t="shared" si="28"/>
        <v>100</v>
      </c>
      <c r="F128" s="1">
        <f t="shared" ca="1" si="29"/>
        <v>100</v>
      </c>
      <c r="G128" s="1">
        <f t="shared" ca="1" si="19"/>
        <v>399.99999999999994</v>
      </c>
      <c r="H128" s="1">
        <f t="shared" si="30"/>
        <v>4</v>
      </c>
      <c r="I128" s="1">
        <f t="shared" si="20"/>
        <v>400</v>
      </c>
      <c r="K128" s="1">
        <f t="shared" si="21"/>
        <v>100</v>
      </c>
      <c r="L128" s="1">
        <f t="shared" si="22"/>
        <v>0</v>
      </c>
      <c r="N128" s="1">
        <f t="shared" si="23"/>
        <v>100</v>
      </c>
      <c r="O128" s="1">
        <f t="shared" si="24"/>
        <v>0</v>
      </c>
      <c r="P128" s="1">
        <f t="shared" ca="1" si="25"/>
        <v>100</v>
      </c>
      <c r="Q128" s="1">
        <f t="shared" si="26"/>
        <v>4</v>
      </c>
      <c r="R128" s="1">
        <f t="shared" si="27"/>
        <v>0</v>
      </c>
    </row>
    <row r="129" spans="1:18" x14ac:dyDescent="0.25">
      <c r="A129" s="21">
        <f t="shared" si="31"/>
        <v>108</v>
      </c>
      <c r="B129" s="1">
        <f t="shared" si="33"/>
        <v>150</v>
      </c>
      <c r="C129" s="1">
        <f t="shared" si="32"/>
        <v>15750</v>
      </c>
      <c r="D129" s="1">
        <f t="shared" si="18"/>
        <v>100</v>
      </c>
      <c r="E129" s="1">
        <f t="shared" si="28"/>
        <v>100</v>
      </c>
      <c r="F129" s="1">
        <f t="shared" ca="1" si="29"/>
        <v>100</v>
      </c>
      <c r="G129" s="1">
        <f t="shared" ca="1" si="19"/>
        <v>399.99999999999994</v>
      </c>
      <c r="H129" s="1">
        <f t="shared" si="30"/>
        <v>4</v>
      </c>
      <c r="I129" s="1">
        <f t="shared" si="20"/>
        <v>400</v>
      </c>
      <c r="K129" s="1">
        <f t="shared" si="21"/>
        <v>100</v>
      </c>
      <c r="L129" s="1">
        <f t="shared" si="22"/>
        <v>0</v>
      </c>
      <c r="N129" s="1">
        <f t="shared" si="23"/>
        <v>100</v>
      </c>
      <c r="O129" s="1">
        <f t="shared" si="24"/>
        <v>0</v>
      </c>
      <c r="P129" s="1">
        <f t="shared" ca="1" si="25"/>
        <v>100</v>
      </c>
      <c r="Q129" s="1">
        <f t="shared" si="26"/>
        <v>4</v>
      </c>
      <c r="R129" s="1">
        <f t="shared" si="27"/>
        <v>0</v>
      </c>
    </row>
    <row r="130" spans="1:18" x14ac:dyDescent="0.25">
      <c r="A130" s="21">
        <f t="shared" si="31"/>
        <v>109</v>
      </c>
      <c r="B130" s="1">
        <f t="shared" si="33"/>
        <v>150</v>
      </c>
      <c r="C130" s="1">
        <f t="shared" si="32"/>
        <v>15900</v>
      </c>
      <c r="D130" s="1">
        <f t="shared" si="18"/>
        <v>100</v>
      </c>
      <c r="E130" s="1">
        <f t="shared" si="28"/>
        <v>100</v>
      </c>
      <c r="F130" s="1">
        <f t="shared" ca="1" si="29"/>
        <v>100</v>
      </c>
      <c r="G130" s="1">
        <f t="shared" ca="1" si="19"/>
        <v>399.99999999999994</v>
      </c>
      <c r="H130" s="1">
        <f t="shared" si="30"/>
        <v>4</v>
      </c>
      <c r="I130" s="1">
        <f t="shared" si="20"/>
        <v>400</v>
      </c>
      <c r="K130" s="1">
        <f t="shared" si="21"/>
        <v>100</v>
      </c>
      <c r="L130" s="1">
        <f t="shared" si="22"/>
        <v>0</v>
      </c>
      <c r="N130" s="1">
        <f t="shared" si="23"/>
        <v>100</v>
      </c>
      <c r="O130" s="1">
        <f t="shared" si="24"/>
        <v>0</v>
      </c>
      <c r="P130" s="1">
        <f t="shared" ca="1" si="25"/>
        <v>100</v>
      </c>
      <c r="Q130" s="1">
        <f t="shared" si="26"/>
        <v>4</v>
      </c>
      <c r="R130" s="1">
        <f t="shared" si="27"/>
        <v>0</v>
      </c>
    </row>
    <row r="131" spans="1:18" x14ac:dyDescent="0.25">
      <c r="A131" s="21">
        <f t="shared" si="31"/>
        <v>110</v>
      </c>
      <c r="B131" s="1">
        <f t="shared" si="33"/>
        <v>150</v>
      </c>
      <c r="C131" s="1">
        <f t="shared" si="32"/>
        <v>16050</v>
      </c>
      <c r="D131" s="1">
        <f t="shared" si="18"/>
        <v>100</v>
      </c>
      <c r="E131" s="1">
        <f t="shared" si="28"/>
        <v>100</v>
      </c>
      <c r="F131" s="1">
        <f t="shared" ca="1" si="29"/>
        <v>100</v>
      </c>
      <c r="G131" s="1">
        <f t="shared" ca="1" si="19"/>
        <v>399.99999999999994</v>
      </c>
      <c r="H131" s="1">
        <f t="shared" si="30"/>
        <v>4</v>
      </c>
      <c r="I131" s="1">
        <f t="shared" si="20"/>
        <v>400</v>
      </c>
      <c r="K131" s="1">
        <f t="shared" si="21"/>
        <v>100</v>
      </c>
      <c r="L131" s="1">
        <f t="shared" si="22"/>
        <v>0</v>
      </c>
      <c r="N131" s="1">
        <f t="shared" si="23"/>
        <v>100</v>
      </c>
      <c r="O131" s="1">
        <f t="shared" si="24"/>
        <v>0</v>
      </c>
      <c r="P131" s="1">
        <f t="shared" ca="1" si="25"/>
        <v>100</v>
      </c>
      <c r="Q131" s="1">
        <f t="shared" si="26"/>
        <v>4</v>
      </c>
      <c r="R131" s="1">
        <f t="shared" si="27"/>
        <v>0</v>
      </c>
    </row>
    <row r="132" spans="1:18" x14ac:dyDescent="0.25">
      <c r="A132" s="21">
        <f t="shared" si="31"/>
        <v>111</v>
      </c>
      <c r="B132" s="1">
        <f t="shared" si="33"/>
        <v>150</v>
      </c>
      <c r="C132" s="1">
        <f t="shared" si="32"/>
        <v>16200</v>
      </c>
      <c r="D132" s="1">
        <f t="shared" si="18"/>
        <v>100</v>
      </c>
      <c r="E132" s="1">
        <f t="shared" si="28"/>
        <v>100</v>
      </c>
      <c r="F132" s="1">
        <f t="shared" ca="1" si="29"/>
        <v>100</v>
      </c>
      <c r="G132" s="1">
        <f t="shared" ca="1" si="19"/>
        <v>399.99999999999994</v>
      </c>
      <c r="H132" s="1">
        <f t="shared" si="30"/>
        <v>4</v>
      </c>
      <c r="I132" s="1">
        <f t="shared" si="20"/>
        <v>400</v>
      </c>
      <c r="K132" s="1">
        <f t="shared" si="21"/>
        <v>100</v>
      </c>
      <c r="L132" s="1">
        <f t="shared" si="22"/>
        <v>0</v>
      </c>
      <c r="N132" s="1">
        <f t="shared" si="23"/>
        <v>100</v>
      </c>
      <c r="O132" s="1">
        <f t="shared" si="24"/>
        <v>0</v>
      </c>
      <c r="P132" s="1">
        <f t="shared" ca="1" si="25"/>
        <v>100</v>
      </c>
      <c r="Q132" s="1">
        <f t="shared" si="26"/>
        <v>4</v>
      </c>
      <c r="R132" s="1">
        <f t="shared" si="27"/>
        <v>0</v>
      </c>
    </row>
    <row r="133" spans="1:18" x14ac:dyDescent="0.25">
      <c r="A133" s="21">
        <f t="shared" si="31"/>
        <v>112</v>
      </c>
      <c r="B133" s="1">
        <f t="shared" si="33"/>
        <v>150</v>
      </c>
      <c r="C133" s="1">
        <f t="shared" si="32"/>
        <v>16350</v>
      </c>
      <c r="D133" s="1">
        <f t="shared" si="18"/>
        <v>100</v>
      </c>
      <c r="E133" s="1">
        <f t="shared" si="28"/>
        <v>100</v>
      </c>
      <c r="F133" s="1">
        <f t="shared" ca="1" si="29"/>
        <v>100</v>
      </c>
      <c r="G133" s="1">
        <f t="shared" ca="1" si="19"/>
        <v>399.99999999999994</v>
      </c>
      <c r="H133" s="1">
        <f t="shared" si="30"/>
        <v>4</v>
      </c>
      <c r="I133" s="1">
        <f t="shared" si="20"/>
        <v>400</v>
      </c>
      <c r="K133" s="1">
        <f t="shared" si="21"/>
        <v>100</v>
      </c>
      <c r="L133" s="1">
        <f t="shared" si="22"/>
        <v>0</v>
      </c>
      <c r="N133" s="1">
        <f t="shared" si="23"/>
        <v>100</v>
      </c>
      <c r="O133" s="1">
        <f t="shared" si="24"/>
        <v>0</v>
      </c>
      <c r="P133" s="1">
        <f t="shared" ca="1" si="25"/>
        <v>100</v>
      </c>
      <c r="Q133" s="1">
        <f t="shared" si="26"/>
        <v>4</v>
      </c>
      <c r="R133" s="1">
        <f t="shared" si="27"/>
        <v>0</v>
      </c>
    </row>
    <row r="134" spans="1:18" x14ac:dyDescent="0.25">
      <c r="A134" s="21">
        <f t="shared" si="31"/>
        <v>113</v>
      </c>
      <c r="B134" s="1">
        <f t="shared" si="33"/>
        <v>150</v>
      </c>
      <c r="C134" s="1">
        <f t="shared" si="32"/>
        <v>16500</v>
      </c>
      <c r="D134" s="1">
        <f t="shared" si="18"/>
        <v>100</v>
      </c>
      <c r="E134" s="1">
        <f t="shared" si="28"/>
        <v>100</v>
      </c>
      <c r="F134" s="1">
        <f t="shared" ca="1" si="29"/>
        <v>100</v>
      </c>
      <c r="G134" s="1">
        <f t="shared" ca="1" si="19"/>
        <v>399.99999999999994</v>
      </c>
      <c r="H134" s="1">
        <f t="shared" si="30"/>
        <v>4</v>
      </c>
      <c r="I134" s="1">
        <f t="shared" si="20"/>
        <v>400</v>
      </c>
      <c r="K134" s="1">
        <f t="shared" si="21"/>
        <v>100</v>
      </c>
      <c r="L134" s="1">
        <f t="shared" si="22"/>
        <v>0</v>
      </c>
      <c r="N134" s="1">
        <f t="shared" si="23"/>
        <v>100</v>
      </c>
      <c r="O134" s="1">
        <f t="shared" si="24"/>
        <v>0</v>
      </c>
      <c r="P134" s="1">
        <f t="shared" ca="1" si="25"/>
        <v>100</v>
      </c>
      <c r="Q134" s="1">
        <f t="shared" si="26"/>
        <v>4</v>
      </c>
      <c r="R134" s="1">
        <f t="shared" si="27"/>
        <v>0</v>
      </c>
    </row>
    <row r="135" spans="1:18" x14ac:dyDescent="0.25">
      <c r="A135" s="21">
        <f t="shared" si="31"/>
        <v>114</v>
      </c>
      <c r="B135" s="1">
        <f t="shared" si="33"/>
        <v>150</v>
      </c>
      <c r="C135" s="1">
        <f t="shared" si="32"/>
        <v>16650</v>
      </c>
      <c r="D135" s="1">
        <f t="shared" si="18"/>
        <v>100</v>
      </c>
      <c r="E135" s="1">
        <f t="shared" si="28"/>
        <v>100</v>
      </c>
      <c r="F135" s="1">
        <f t="shared" ca="1" si="29"/>
        <v>100</v>
      </c>
      <c r="G135" s="1">
        <f t="shared" ca="1" si="19"/>
        <v>399.99999999999994</v>
      </c>
      <c r="H135" s="1">
        <f t="shared" si="30"/>
        <v>4</v>
      </c>
      <c r="I135" s="1">
        <f t="shared" si="20"/>
        <v>400</v>
      </c>
      <c r="K135" s="1">
        <f t="shared" si="21"/>
        <v>100</v>
      </c>
      <c r="L135" s="1">
        <f t="shared" si="22"/>
        <v>0</v>
      </c>
      <c r="N135" s="1">
        <f t="shared" si="23"/>
        <v>100</v>
      </c>
      <c r="O135" s="1">
        <f t="shared" si="24"/>
        <v>0</v>
      </c>
      <c r="P135" s="1">
        <f t="shared" ca="1" si="25"/>
        <v>100</v>
      </c>
      <c r="Q135" s="1">
        <f t="shared" si="26"/>
        <v>4</v>
      </c>
      <c r="R135" s="1">
        <f t="shared" si="27"/>
        <v>0</v>
      </c>
    </row>
    <row r="136" spans="1:18" x14ac:dyDescent="0.25">
      <c r="A136" s="21">
        <f t="shared" si="31"/>
        <v>115</v>
      </c>
      <c r="B136" s="1">
        <f t="shared" si="33"/>
        <v>150</v>
      </c>
      <c r="C136" s="1">
        <f t="shared" si="32"/>
        <v>16800</v>
      </c>
      <c r="D136" s="1">
        <f t="shared" si="18"/>
        <v>100</v>
      </c>
      <c r="E136" s="1">
        <f t="shared" si="28"/>
        <v>100</v>
      </c>
      <c r="F136" s="1">
        <f t="shared" ca="1" si="29"/>
        <v>100</v>
      </c>
      <c r="G136" s="1">
        <f t="shared" ca="1" si="19"/>
        <v>399.99999999999994</v>
      </c>
      <c r="H136" s="1">
        <f t="shared" si="30"/>
        <v>4</v>
      </c>
      <c r="I136" s="1">
        <f t="shared" si="20"/>
        <v>400</v>
      </c>
      <c r="K136" s="1">
        <f t="shared" si="21"/>
        <v>100</v>
      </c>
      <c r="L136" s="1">
        <f t="shared" si="22"/>
        <v>0</v>
      </c>
      <c r="N136" s="1">
        <f t="shared" si="23"/>
        <v>100</v>
      </c>
      <c r="O136" s="1">
        <f t="shared" si="24"/>
        <v>0</v>
      </c>
      <c r="P136" s="1">
        <f t="shared" ca="1" si="25"/>
        <v>100</v>
      </c>
      <c r="Q136" s="1">
        <f t="shared" si="26"/>
        <v>4</v>
      </c>
      <c r="R136" s="1">
        <f t="shared" si="27"/>
        <v>0</v>
      </c>
    </row>
    <row r="137" spans="1:18" x14ac:dyDescent="0.25">
      <c r="A137" s="21">
        <f t="shared" si="31"/>
        <v>116</v>
      </c>
      <c r="B137" s="1">
        <f t="shared" si="33"/>
        <v>150</v>
      </c>
      <c r="C137" s="1">
        <f t="shared" si="32"/>
        <v>16950</v>
      </c>
      <c r="D137" s="1">
        <f t="shared" si="18"/>
        <v>100</v>
      </c>
      <c r="E137" s="1">
        <f t="shared" si="28"/>
        <v>100</v>
      </c>
      <c r="F137" s="1">
        <f t="shared" ca="1" si="29"/>
        <v>100</v>
      </c>
      <c r="G137" s="1">
        <f t="shared" ca="1" si="19"/>
        <v>399.99999999999994</v>
      </c>
      <c r="H137" s="1">
        <f t="shared" si="30"/>
        <v>4</v>
      </c>
      <c r="I137" s="1">
        <f t="shared" si="20"/>
        <v>400</v>
      </c>
      <c r="K137" s="1">
        <f t="shared" si="21"/>
        <v>100</v>
      </c>
      <c r="L137" s="1">
        <f t="shared" si="22"/>
        <v>0</v>
      </c>
      <c r="N137" s="1">
        <f t="shared" si="23"/>
        <v>100</v>
      </c>
      <c r="O137" s="1">
        <f t="shared" si="24"/>
        <v>0</v>
      </c>
      <c r="P137" s="1">
        <f t="shared" ca="1" si="25"/>
        <v>100</v>
      </c>
      <c r="Q137" s="1">
        <f t="shared" si="26"/>
        <v>4</v>
      </c>
      <c r="R137" s="1">
        <f t="shared" si="27"/>
        <v>0</v>
      </c>
    </row>
    <row r="138" spans="1:18" x14ac:dyDescent="0.25">
      <c r="A138" s="21">
        <f t="shared" si="31"/>
        <v>117</v>
      </c>
      <c r="B138" s="1">
        <f t="shared" si="33"/>
        <v>150</v>
      </c>
      <c r="C138" s="1">
        <f t="shared" si="32"/>
        <v>17100</v>
      </c>
      <c r="D138" s="1">
        <f t="shared" si="18"/>
        <v>100</v>
      </c>
      <c r="E138" s="1">
        <f t="shared" si="28"/>
        <v>100</v>
      </c>
      <c r="F138" s="1">
        <f t="shared" ca="1" si="29"/>
        <v>100</v>
      </c>
      <c r="G138" s="1">
        <f t="shared" ca="1" si="19"/>
        <v>399.99999999999994</v>
      </c>
      <c r="H138" s="1">
        <f t="shared" si="30"/>
        <v>4</v>
      </c>
      <c r="I138" s="1">
        <f t="shared" si="20"/>
        <v>400</v>
      </c>
      <c r="K138" s="1">
        <f t="shared" si="21"/>
        <v>100</v>
      </c>
      <c r="L138" s="1">
        <f t="shared" si="22"/>
        <v>0</v>
      </c>
      <c r="N138" s="1">
        <f t="shared" si="23"/>
        <v>100</v>
      </c>
      <c r="O138" s="1">
        <f t="shared" si="24"/>
        <v>0</v>
      </c>
      <c r="P138" s="1">
        <f t="shared" ca="1" si="25"/>
        <v>100</v>
      </c>
      <c r="Q138" s="1">
        <f t="shared" si="26"/>
        <v>4</v>
      </c>
      <c r="R138" s="1">
        <f t="shared" si="27"/>
        <v>0</v>
      </c>
    </row>
    <row r="139" spans="1:18" x14ac:dyDescent="0.25">
      <c r="A139" s="21">
        <f t="shared" si="31"/>
        <v>118</v>
      </c>
      <c r="B139" s="1">
        <f t="shared" si="33"/>
        <v>150</v>
      </c>
      <c r="C139" s="1">
        <f t="shared" si="32"/>
        <v>17250</v>
      </c>
      <c r="D139" s="1">
        <f t="shared" si="18"/>
        <v>100</v>
      </c>
      <c r="E139" s="1">
        <f t="shared" si="28"/>
        <v>100</v>
      </c>
      <c r="F139" s="1">
        <f t="shared" ca="1" si="29"/>
        <v>100</v>
      </c>
      <c r="G139" s="1">
        <f t="shared" ca="1" si="19"/>
        <v>399.99999999999994</v>
      </c>
      <c r="H139" s="1">
        <f t="shared" si="30"/>
        <v>4</v>
      </c>
      <c r="I139" s="1">
        <f t="shared" si="20"/>
        <v>400</v>
      </c>
      <c r="K139" s="1">
        <f t="shared" si="21"/>
        <v>100</v>
      </c>
      <c r="L139" s="1">
        <f t="shared" si="22"/>
        <v>0</v>
      </c>
      <c r="N139" s="1">
        <f t="shared" si="23"/>
        <v>100</v>
      </c>
      <c r="O139" s="1">
        <f t="shared" si="24"/>
        <v>0</v>
      </c>
      <c r="P139" s="1">
        <f t="shared" ca="1" si="25"/>
        <v>100</v>
      </c>
      <c r="Q139" s="1">
        <f t="shared" si="26"/>
        <v>4</v>
      </c>
      <c r="R139" s="1">
        <f t="shared" si="27"/>
        <v>0</v>
      </c>
    </row>
    <row r="140" spans="1:18" x14ac:dyDescent="0.25">
      <c r="A140" s="21">
        <f t="shared" si="31"/>
        <v>119</v>
      </c>
      <c r="B140" s="1">
        <f t="shared" si="33"/>
        <v>150</v>
      </c>
      <c r="C140" s="1">
        <f t="shared" si="32"/>
        <v>17400</v>
      </c>
      <c r="D140" s="1">
        <f t="shared" si="18"/>
        <v>100</v>
      </c>
      <c r="E140" s="1">
        <f t="shared" si="28"/>
        <v>100</v>
      </c>
      <c r="F140" s="1">
        <f t="shared" ca="1" si="29"/>
        <v>100</v>
      </c>
      <c r="G140" s="1">
        <f t="shared" ca="1" si="19"/>
        <v>399.99999999999994</v>
      </c>
      <c r="H140" s="1">
        <f t="shared" si="30"/>
        <v>4</v>
      </c>
      <c r="I140" s="1">
        <f t="shared" si="20"/>
        <v>400</v>
      </c>
      <c r="K140" s="1">
        <f t="shared" si="21"/>
        <v>100</v>
      </c>
      <c r="L140" s="1">
        <f t="shared" si="22"/>
        <v>0</v>
      </c>
      <c r="N140" s="1">
        <f t="shared" si="23"/>
        <v>100</v>
      </c>
      <c r="O140" s="1">
        <f t="shared" si="24"/>
        <v>0</v>
      </c>
      <c r="P140" s="1">
        <f t="shared" ca="1" si="25"/>
        <v>100</v>
      </c>
      <c r="Q140" s="1">
        <f t="shared" si="26"/>
        <v>4</v>
      </c>
      <c r="R140" s="1">
        <f t="shared" si="27"/>
        <v>0</v>
      </c>
    </row>
    <row r="141" spans="1:18" x14ac:dyDescent="0.25">
      <c r="A141" s="21">
        <f t="shared" si="31"/>
        <v>120</v>
      </c>
      <c r="B141" s="1">
        <f t="shared" si="33"/>
        <v>150</v>
      </c>
      <c r="C141" s="1">
        <f t="shared" si="32"/>
        <v>17550</v>
      </c>
      <c r="D141" s="1">
        <f t="shared" si="18"/>
        <v>100</v>
      </c>
      <c r="E141" s="1">
        <f t="shared" si="28"/>
        <v>100</v>
      </c>
      <c r="F141" s="1">
        <f t="shared" ca="1" si="29"/>
        <v>100</v>
      </c>
      <c r="G141" s="1">
        <f t="shared" ca="1" si="19"/>
        <v>399.99999999999994</v>
      </c>
      <c r="H141" s="1">
        <f t="shared" si="30"/>
        <v>4</v>
      </c>
      <c r="I141" s="1">
        <f t="shared" si="20"/>
        <v>400</v>
      </c>
      <c r="K141" s="1">
        <f t="shared" si="21"/>
        <v>100</v>
      </c>
      <c r="L141" s="1">
        <f t="shared" si="22"/>
        <v>0</v>
      </c>
      <c r="N141" s="1">
        <f t="shared" si="23"/>
        <v>100</v>
      </c>
      <c r="O141" s="1">
        <f t="shared" si="24"/>
        <v>0</v>
      </c>
      <c r="P141" s="1">
        <f t="shared" ca="1" si="25"/>
        <v>100</v>
      </c>
      <c r="Q141" s="1">
        <f t="shared" si="26"/>
        <v>4</v>
      </c>
      <c r="R141" s="1">
        <f t="shared" si="27"/>
        <v>0</v>
      </c>
    </row>
    <row r="142" spans="1:18" x14ac:dyDescent="0.25">
      <c r="A142" s="21">
        <f t="shared" si="31"/>
        <v>121</v>
      </c>
      <c r="B142" s="1">
        <f t="shared" si="33"/>
        <v>150</v>
      </c>
      <c r="C142" s="1">
        <f t="shared" si="32"/>
        <v>17700</v>
      </c>
      <c r="D142" s="1">
        <f t="shared" si="18"/>
        <v>100</v>
      </c>
      <c r="E142" s="1">
        <f t="shared" si="28"/>
        <v>100</v>
      </c>
      <c r="F142" s="1">
        <f t="shared" ca="1" si="29"/>
        <v>100</v>
      </c>
      <c r="G142" s="1">
        <f t="shared" ca="1" si="19"/>
        <v>399.99999999999994</v>
      </c>
      <c r="H142" s="1">
        <f t="shared" si="30"/>
        <v>4</v>
      </c>
      <c r="I142" s="1">
        <f t="shared" si="20"/>
        <v>400</v>
      </c>
      <c r="K142" s="1">
        <f t="shared" si="21"/>
        <v>100</v>
      </c>
      <c r="L142" s="1">
        <f t="shared" si="22"/>
        <v>0</v>
      </c>
      <c r="N142" s="1">
        <f t="shared" si="23"/>
        <v>100</v>
      </c>
      <c r="O142" s="1">
        <f t="shared" si="24"/>
        <v>0</v>
      </c>
      <c r="P142" s="1">
        <f t="shared" ca="1" si="25"/>
        <v>100</v>
      </c>
      <c r="Q142" s="1">
        <f t="shared" si="26"/>
        <v>4</v>
      </c>
      <c r="R142" s="1">
        <f t="shared" si="27"/>
        <v>0</v>
      </c>
    </row>
    <row r="143" spans="1:18" x14ac:dyDescent="0.25">
      <c r="A143" s="21">
        <f t="shared" si="31"/>
        <v>122</v>
      </c>
      <c r="B143" s="1">
        <f t="shared" si="33"/>
        <v>150</v>
      </c>
      <c r="C143" s="1">
        <f t="shared" si="32"/>
        <v>17850</v>
      </c>
      <c r="D143" s="1">
        <f t="shared" si="18"/>
        <v>100</v>
      </c>
      <c r="E143" s="1">
        <f t="shared" si="28"/>
        <v>100</v>
      </c>
      <c r="F143" s="1">
        <f t="shared" ca="1" si="29"/>
        <v>100</v>
      </c>
      <c r="G143" s="1">
        <f t="shared" ca="1" si="19"/>
        <v>399.99999999999994</v>
      </c>
      <c r="H143" s="1">
        <f t="shared" si="30"/>
        <v>4</v>
      </c>
      <c r="I143" s="1">
        <f t="shared" si="20"/>
        <v>400</v>
      </c>
      <c r="K143" s="1">
        <f t="shared" si="21"/>
        <v>100</v>
      </c>
      <c r="L143" s="1">
        <f t="shared" si="22"/>
        <v>0</v>
      </c>
      <c r="N143" s="1">
        <f t="shared" si="23"/>
        <v>100</v>
      </c>
      <c r="O143" s="1">
        <f t="shared" si="24"/>
        <v>0</v>
      </c>
      <c r="P143" s="1">
        <f t="shared" ca="1" si="25"/>
        <v>100</v>
      </c>
      <c r="Q143" s="1">
        <f t="shared" si="26"/>
        <v>4</v>
      </c>
      <c r="R143" s="1">
        <f t="shared" si="27"/>
        <v>0</v>
      </c>
    </row>
    <row r="144" spans="1:18" x14ac:dyDescent="0.25">
      <c r="A144" s="21">
        <f t="shared" si="31"/>
        <v>123</v>
      </c>
      <c r="B144" s="1">
        <f t="shared" si="33"/>
        <v>150</v>
      </c>
      <c r="C144" s="1">
        <f t="shared" si="32"/>
        <v>18000</v>
      </c>
      <c r="D144" s="1">
        <f t="shared" si="18"/>
        <v>100</v>
      </c>
      <c r="E144" s="1">
        <f t="shared" si="28"/>
        <v>100</v>
      </c>
      <c r="F144" s="1">
        <f t="shared" ca="1" si="29"/>
        <v>100</v>
      </c>
      <c r="G144" s="1">
        <f t="shared" ca="1" si="19"/>
        <v>399.99999999999994</v>
      </c>
      <c r="H144" s="1">
        <f t="shared" si="30"/>
        <v>4</v>
      </c>
      <c r="I144" s="1">
        <f t="shared" si="20"/>
        <v>400</v>
      </c>
      <c r="K144" s="1">
        <f t="shared" si="21"/>
        <v>100</v>
      </c>
      <c r="L144" s="1">
        <f t="shared" si="22"/>
        <v>0</v>
      </c>
      <c r="N144" s="1">
        <f t="shared" si="23"/>
        <v>100</v>
      </c>
      <c r="O144" s="1">
        <f t="shared" si="24"/>
        <v>0</v>
      </c>
      <c r="P144" s="1">
        <f t="shared" ca="1" si="25"/>
        <v>100</v>
      </c>
      <c r="Q144" s="1">
        <f t="shared" si="26"/>
        <v>4</v>
      </c>
      <c r="R144" s="1">
        <f t="shared" si="27"/>
        <v>0</v>
      </c>
    </row>
    <row r="145" spans="1:18" x14ac:dyDescent="0.25">
      <c r="A145" s="21">
        <f t="shared" si="31"/>
        <v>124</v>
      </c>
      <c r="B145" s="1">
        <f t="shared" si="33"/>
        <v>150</v>
      </c>
      <c r="C145" s="1">
        <f t="shared" si="32"/>
        <v>18150</v>
      </c>
      <c r="D145" s="1">
        <f t="shared" si="18"/>
        <v>100</v>
      </c>
      <c r="E145" s="1">
        <f t="shared" si="28"/>
        <v>100</v>
      </c>
      <c r="F145" s="1">
        <f t="shared" ca="1" si="29"/>
        <v>100</v>
      </c>
      <c r="G145" s="1">
        <f t="shared" ca="1" si="19"/>
        <v>399.99999999999994</v>
      </c>
      <c r="H145" s="1">
        <f t="shared" si="30"/>
        <v>4</v>
      </c>
      <c r="I145" s="1">
        <f t="shared" si="20"/>
        <v>400</v>
      </c>
      <c r="K145" s="1">
        <f t="shared" si="21"/>
        <v>100</v>
      </c>
      <c r="L145" s="1">
        <f t="shared" si="22"/>
        <v>0</v>
      </c>
      <c r="N145" s="1">
        <f t="shared" si="23"/>
        <v>100</v>
      </c>
      <c r="O145" s="1">
        <f t="shared" si="24"/>
        <v>0</v>
      </c>
      <c r="P145" s="1">
        <f t="shared" ca="1" si="25"/>
        <v>100</v>
      </c>
      <c r="Q145" s="1">
        <f t="shared" si="26"/>
        <v>4</v>
      </c>
      <c r="R145" s="1">
        <f t="shared" si="27"/>
        <v>0</v>
      </c>
    </row>
    <row r="146" spans="1:18" x14ac:dyDescent="0.25">
      <c r="A146" s="21">
        <f t="shared" si="31"/>
        <v>125</v>
      </c>
      <c r="B146" s="1">
        <f t="shared" si="33"/>
        <v>150</v>
      </c>
      <c r="C146" s="1">
        <f t="shared" si="32"/>
        <v>18300</v>
      </c>
      <c r="D146" s="1">
        <f t="shared" si="18"/>
        <v>100</v>
      </c>
      <c r="E146" s="1">
        <f t="shared" si="28"/>
        <v>100</v>
      </c>
      <c r="F146" s="1">
        <f t="shared" ca="1" si="29"/>
        <v>100</v>
      </c>
      <c r="G146" s="1">
        <f t="shared" ca="1" si="19"/>
        <v>399.99999999999994</v>
      </c>
      <c r="H146" s="1">
        <f t="shared" si="30"/>
        <v>4</v>
      </c>
      <c r="I146" s="1">
        <f t="shared" si="20"/>
        <v>400</v>
      </c>
      <c r="K146" s="1">
        <f t="shared" si="21"/>
        <v>100</v>
      </c>
      <c r="L146" s="1">
        <f t="shared" si="22"/>
        <v>0</v>
      </c>
      <c r="N146" s="1">
        <f t="shared" si="23"/>
        <v>100</v>
      </c>
      <c r="O146" s="1">
        <f t="shared" si="24"/>
        <v>0</v>
      </c>
      <c r="P146" s="1">
        <f t="shared" ca="1" si="25"/>
        <v>100</v>
      </c>
      <c r="Q146" s="1">
        <f t="shared" si="26"/>
        <v>4</v>
      </c>
      <c r="R146" s="1">
        <f t="shared" si="27"/>
        <v>0</v>
      </c>
    </row>
    <row r="147" spans="1:18" x14ac:dyDescent="0.25">
      <c r="A147" s="21">
        <f t="shared" si="31"/>
        <v>126</v>
      </c>
      <c r="B147" s="1">
        <f t="shared" si="33"/>
        <v>150</v>
      </c>
      <c r="C147" s="1">
        <f t="shared" si="32"/>
        <v>18450</v>
      </c>
      <c r="D147" s="1">
        <f t="shared" si="18"/>
        <v>100</v>
      </c>
      <c r="E147" s="1">
        <f t="shared" si="28"/>
        <v>100</v>
      </c>
      <c r="F147" s="1">
        <f t="shared" ca="1" si="29"/>
        <v>100</v>
      </c>
      <c r="G147" s="1">
        <f t="shared" ca="1" si="19"/>
        <v>399.99999999999994</v>
      </c>
      <c r="H147" s="1">
        <f t="shared" si="30"/>
        <v>4</v>
      </c>
      <c r="I147" s="1">
        <f t="shared" si="20"/>
        <v>400</v>
      </c>
      <c r="K147" s="1">
        <f t="shared" si="21"/>
        <v>100</v>
      </c>
      <c r="L147" s="1">
        <f t="shared" si="22"/>
        <v>0</v>
      </c>
      <c r="N147" s="1">
        <f t="shared" si="23"/>
        <v>100</v>
      </c>
      <c r="O147" s="1">
        <f t="shared" si="24"/>
        <v>0</v>
      </c>
      <c r="P147" s="1">
        <f t="shared" ca="1" si="25"/>
        <v>100</v>
      </c>
      <c r="Q147" s="1">
        <f t="shared" si="26"/>
        <v>4</v>
      </c>
      <c r="R147" s="1">
        <f t="shared" si="27"/>
        <v>0</v>
      </c>
    </row>
    <row r="148" spans="1:18" x14ac:dyDescent="0.25">
      <c r="A148" s="21">
        <f t="shared" si="31"/>
        <v>127</v>
      </c>
      <c r="B148" s="1">
        <f t="shared" si="33"/>
        <v>150</v>
      </c>
      <c r="C148" s="1">
        <f t="shared" si="32"/>
        <v>18600</v>
      </c>
      <c r="D148" s="1">
        <f t="shared" si="18"/>
        <v>100</v>
      </c>
      <c r="E148" s="1">
        <f t="shared" si="28"/>
        <v>100</v>
      </c>
      <c r="F148" s="1">
        <f t="shared" ca="1" si="29"/>
        <v>100</v>
      </c>
      <c r="G148" s="1">
        <f t="shared" ca="1" si="19"/>
        <v>399.99999999999994</v>
      </c>
      <c r="H148" s="1">
        <f t="shared" si="30"/>
        <v>4</v>
      </c>
      <c r="I148" s="1">
        <f t="shared" si="20"/>
        <v>400</v>
      </c>
      <c r="K148" s="1">
        <f t="shared" si="21"/>
        <v>100</v>
      </c>
      <c r="L148" s="1">
        <f t="shared" si="22"/>
        <v>0</v>
      </c>
      <c r="N148" s="1">
        <f t="shared" si="23"/>
        <v>100</v>
      </c>
      <c r="O148" s="1">
        <f t="shared" si="24"/>
        <v>0</v>
      </c>
      <c r="P148" s="1">
        <f t="shared" ca="1" si="25"/>
        <v>100</v>
      </c>
      <c r="Q148" s="1">
        <f t="shared" si="26"/>
        <v>4</v>
      </c>
      <c r="R148" s="1">
        <f t="shared" si="27"/>
        <v>0</v>
      </c>
    </row>
    <row r="149" spans="1:18" x14ac:dyDescent="0.25">
      <c r="A149" s="21">
        <f t="shared" si="31"/>
        <v>128</v>
      </c>
      <c r="B149" s="1">
        <f t="shared" si="33"/>
        <v>150</v>
      </c>
      <c r="C149" s="1">
        <f t="shared" si="32"/>
        <v>18750</v>
      </c>
      <c r="D149" s="1">
        <f t="shared" si="18"/>
        <v>100</v>
      </c>
      <c r="E149" s="1">
        <f t="shared" si="28"/>
        <v>100</v>
      </c>
      <c r="F149" s="1">
        <f t="shared" ca="1" si="29"/>
        <v>100</v>
      </c>
      <c r="G149" s="1">
        <f t="shared" ca="1" si="19"/>
        <v>399.99999999999994</v>
      </c>
      <c r="H149" s="1">
        <f t="shared" si="30"/>
        <v>4</v>
      </c>
      <c r="I149" s="1">
        <f t="shared" si="20"/>
        <v>400</v>
      </c>
      <c r="K149" s="1">
        <f t="shared" si="21"/>
        <v>100</v>
      </c>
      <c r="L149" s="1">
        <f t="shared" si="22"/>
        <v>0</v>
      </c>
      <c r="N149" s="1">
        <f t="shared" si="23"/>
        <v>100</v>
      </c>
      <c r="O149" s="1">
        <f t="shared" si="24"/>
        <v>0</v>
      </c>
      <c r="P149" s="1">
        <f t="shared" ca="1" si="25"/>
        <v>100</v>
      </c>
      <c r="Q149" s="1">
        <f t="shared" si="26"/>
        <v>4</v>
      </c>
      <c r="R149" s="1">
        <f t="shared" si="27"/>
        <v>0</v>
      </c>
    </row>
    <row r="150" spans="1:18" x14ac:dyDescent="0.25">
      <c r="A150" s="21">
        <f t="shared" si="31"/>
        <v>129</v>
      </c>
      <c r="B150" s="1">
        <f t="shared" si="33"/>
        <v>150</v>
      </c>
      <c r="C150" s="1">
        <f t="shared" si="32"/>
        <v>18900</v>
      </c>
      <c r="D150" s="1">
        <f t="shared" ref="D150:D211" si="34">E$12</f>
        <v>100</v>
      </c>
      <c r="E150" s="1">
        <f t="shared" si="28"/>
        <v>100</v>
      </c>
      <c r="F150" s="1">
        <f t="shared" ca="1" si="29"/>
        <v>100</v>
      </c>
      <c r="G150" s="1">
        <f t="shared" ref="G150:G211" ca="1" si="35">G149+F150-D150</f>
        <v>399.99999999999994</v>
      </c>
      <c r="H150" s="1">
        <f t="shared" si="30"/>
        <v>4</v>
      </c>
      <c r="I150" s="1">
        <f t="shared" ref="I150:I211" si="36">H150*E150</f>
        <v>400</v>
      </c>
      <c r="K150" s="1">
        <f t="shared" ref="K150:K211" si="37">MAX(0,L149+D150+I150-I149)</f>
        <v>100</v>
      </c>
      <c r="L150" s="1">
        <f t="shared" ref="L150:L211" si="38">MIN(0,L149+D150+I150-I149)</f>
        <v>0</v>
      </c>
      <c r="N150" s="1">
        <f t="shared" ref="N150:N211" si="39">IF(B150&lt;1,0,MAX(0,MIN(B150,K150+O149)))</f>
        <v>100</v>
      </c>
      <c r="O150" s="1">
        <f t="shared" ref="O150:O211" si="40">MAX(0,O149+K150-N150)</f>
        <v>0</v>
      </c>
      <c r="P150" s="1">
        <f t="shared" ref="P150:P211" ca="1" si="41">IF(A150&lt;=N$12,E$12,OFFSET(P150,-N$12,-2))</f>
        <v>100</v>
      </c>
      <c r="Q150" s="1">
        <f t="shared" ref="Q150:Q211" si="42">IF(B150&gt;=N$11,N$12+O150/B150,N$12+R150)</f>
        <v>4</v>
      </c>
      <c r="R150" s="1">
        <f t="shared" ref="R150:R211" si="43">LOOKUP(C150+O150,C150:C330,A150:A330)-A150</f>
        <v>0</v>
      </c>
    </row>
    <row r="151" spans="1:18" x14ac:dyDescent="0.25">
      <c r="A151" s="21">
        <f t="shared" si="31"/>
        <v>130</v>
      </c>
      <c r="B151" s="1">
        <f t="shared" si="33"/>
        <v>150</v>
      </c>
      <c r="C151" s="1">
        <f t="shared" si="32"/>
        <v>19050</v>
      </c>
      <c r="D151" s="1">
        <f t="shared" si="34"/>
        <v>100</v>
      </c>
      <c r="E151" s="1">
        <f t="shared" ref="E151:E211" si="44">E$11*D151+(1-E$11)*E150</f>
        <v>100</v>
      </c>
      <c r="F151" s="1">
        <f t="shared" ref="F151:F211" ca="1" si="45">P151</f>
        <v>100</v>
      </c>
      <c r="G151" s="1">
        <f t="shared" ca="1" si="35"/>
        <v>399.99999999999994</v>
      </c>
      <c r="H151" s="1">
        <f t="shared" ref="H151:H211" si="46">Q150</f>
        <v>4</v>
      </c>
      <c r="I151" s="1">
        <f t="shared" si="36"/>
        <v>400</v>
      </c>
      <c r="K151" s="1">
        <f t="shared" si="37"/>
        <v>100</v>
      </c>
      <c r="L151" s="1">
        <f t="shared" si="38"/>
        <v>0</v>
      </c>
      <c r="N151" s="1">
        <f t="shared" si="39"/>
        <v>100</v>
      </c>
      <c r="O151" s="1">
        <f t="shared" si="40"/>
        <v>0</v>
      </c>
      <c r="P151" s="1">
        <f t="shared" ca="1" si="41"/>
        <v>100</v>
      </c>
      <c r="Q151" s="1">
        <f t="shared" si="42"/>
        <v>4</v>
      </c>
      <c r="R151" s="1">
        <f t="shared" si="43"/>
        <v>0</v>
      </c>
    </row>
    <row r="152" spans="1:18" x14ac:dyDescent="0.25">
      <c r="A152" s="21">
        <f t="shared" ref="A152:A211" si="47">1+A151</f>
        <v>131</v>
      </c>
      <c r="B152" s="1">
        <f t="shared" si="33"/>
        <v>150</v>
      </c>
      <c r="C152" s="1">
        <f t="shared" ref="C152:C211" si="48">C151+B152</f>
        <v>19200</v>
      </c>
      <c r="D152" s="1">
        <f t="shared" si="34"/>
        <v>100</v>
      </c>
      <c r="E152" s="1">
        <f t="shared" si="44"/>
        <v>100</v>
      </c>
      <c r="F152" s="1">
        <f t="shared" ca="1" si="45"/>
        <v>100</v>
      </c>
      <c r="G152" s="1">
        <f t="shared" ca="1" si="35"/>
        <v>399.99999999999994</v>
      </c>
      <c r="H152" s="1">
        <f t="shared" si="46"/>
        <v>4</v>
      </c>
      <c r="I152" s="1">
        <f t="shared" si="36"/>
        <v>400</v>
      </c>
      <c r="K152" s="1">
        <f t="shared" si="37"/>
        <v>100</v>
      </c>
      <c r="L152" s="1">
        <f t="shared" si="38"/>
        <v>0</v>
      </c>
      <c r="N152" s="1">
        <f t="shared" si="39"/>
        <v>100</v>
      </c>
      <c r="O152" s="1">
        <f t="shared" si="40"/>
        <v>0</v>
      </c>
      <c r="P152" s="1">
        <f t="shared" ca="1" si="41"/>
        <v>100</v>
      </c>
      <c r="Q152" s="1">
        <f t="shared" si="42"/>
        <v>4</v>
      </c>
      <c r="R152" s="1">
        <f t="shared" si="43"/>
        <v>0</v>
      </c>
    </row>
    <row r="153" spans="1:18" x14ac:dyDescent="0.25">
      <c r="A153" s="21">
        <f t="shared" si="47"/>
        <v>132</v>
      </c>
      <c r="B153" s="1">
        <f t="shared" si="33"/>
        <v>150</v>
      </c>
      <c r="C153" s="1">
        <f t="shared" si="48"/>
        <v>19350</v>
      </c>
      <c r="D153" s="1">
        <f t="shared" si="34"/>
        <v>100</v>
      </c>
      <c r="E153" s="1">
        <f t="shared" si="44"/>
        <v>100</v>
      </c>
      <c r="F153" s="1">
        <f t="shared" ca="1" si="45"/>
        <v>100</v>
      </c>
      <c r="G153" s="1">
        <f t="shared" ca="1" si="35"/>
        <v>399.99999999999994</v>
      </c>
      <c r="H153" s="1">
        <f t="shared" si="46"/>
        <v>4</v>
      </c>
      <c r="I153" s="1">
        <f t="shared" si="36"/>
        <v>400</v>
      </c>
      <c r="K153" s="1">
        <f t="shared" si="37"/>
        <v>100</v>
      </c>
      <c r="L153" s="1">
        <f t="shared" si="38"/>
        <v>0</v>
      </c>
      <c r="N153" s="1">
        <f t="shared" si="39"/>
        <v>100</v>
      </c>
      <c r="O153" s="1">
        <f t="shared" si="40"/>
        <v>0</v>
      </c>
      <c r="P153" s="1">
        <f t="shared" ca="1" si="41"/>
        <v>100</v>
      </c>
      <c r="Q153" s="1">
        <f t="shared" si="42"/>
        <v>4</v>
      </c>
      <c r="R153" s="1">
        <f t="shared" si="43"/>
        <v>0</v>
      </c>
    </row>
    <row r="154" spans="1:18" x14ac:dyDescent="0.25">
      <c r="A154" s="21">
        <f t="shared" si="47"/>
        <v>133</v>
      </c>
      <c r="B154" s="1">
        <f t="shared" si="33"/>
        <v>150</v>
      </c>
      <c r="C154" s="1">
        <f t="shared" si="48"/>
        <v>19500</v>
      </c>
      <c r="D154" s="1">
        <f t="shared" si="34"/>
        <v>100</v>
      </c>
      <c r="E154" s="1">
        <f t="shared" si="44"/>
        <v>100</v>
      </c>
      <c r="F154" s="1">
        <f t="shared" ca="1" si="45"/>
        <v>100</v>
      </c>
      <c r="G154" s="1">
        <f t="shared" ca="1" si="35"/>
        <v>399.99999999999994</v>
      </c>
      <c r="H154" s="1">
        <f t="shared" si="46"/>
        <v>4</v>
      </c>
      <c r="I154" s="1">
        <f t="shared" si="36"/>
        <v>400</v>
      </c>
      <c r="K154" s="1">
        <f t="shared" si="37"/>
        <v>100</v>
      </c>
      <c r="L154" s="1">
        <f t="shared" si="38"/>
        <v>0</v>
      </c>
      <c r="N154" s="1">
        <f t="shared" si="39"/>
        <v>100</v>
      </c>
      <c r="O154" s="1">
        <f t="shared" si="40"/>
        <v>0</v>
      </c>
      <c r="P154" s="1">
        <f t="shared" ca="1" si="41"/>
        <v>100</v>
      </c>
      <c r="Q154" s="1">
        <f t="shared" si="42"/>
        <v>4</v>
      </c>
      <c r="R154" s="1">
        <f t="shared" si="43"/>
        <v>0</v>
      </c>
    </row>
    <row r="155" spans="1:18" x14ac:dyDescent="0.25">
      <c r="A155" s="21">
        <f t="shared" si="47"/>
        <v>134</v>
      </c>
      <c r="B155" s="1">
        <f t="shared" si="33"/>
        <v>150</v>
      </c>
      <c r="C155" s="1">
        <f t="shared" si="48"/>
        <v>19650</v>
      </c>
      <c r="D155" s="1">
        <f t="shared" si="34"/>
        <v>100</v>
      </c>
      <c r="E155" s="1">
        <f t="shared" si="44"/>
        <v>100</v>
      </c>
      <c r="F155" s="1">
        <f t="shared" ca="1" si="45"/>
        <v>100</v>
      </c>
      <c r="G155" s="1">
        <f t="shared" ca="1" si="35"/>
        <v>399.99999999999994</v>
      </c>
      <c r="H155" s="1">
        <f t="shared" si="46"/>
        <v>4</v>
      </c>
      <c r="I155" s="1">
        <f t="shared" si="36"/>
        <v>400</v>
      </c>
      <c r="K155" s="1">
        <f t="shared" si="37"/>
        <v>100</v>
      </c>
      <c r="L155" s="1">
        <f t="shared" si="38"/>
        <v>0</v>
      </c>
      <c r="N155" s="1">
        <f t="shared" si="39"/>
        <v>100</v>
      </c>
      <c r="O155" s="1">
        <f t="shared" si="40"/>
        <v>0</v>
      </c>
      <c r="P155" s="1">
        <f t="shared" ca="1" si="41"/>
        <v>100</v>
      </c>
      <c r="Q155" s="1">
        <f t="shared" si="42"/>
        <v>4</v>
      </c>
      <c r="R155" s="1">
        <f t="shared" si="43"/>
        <v>0</v>
      </c>
    </row>
    <row r="156" spans="1:18" x14ac:dyDescent="0.25">
      <c r="A156" s="21">
        <f t="shared" si="47"/>
        <v>135</v>
      </c>
      <c r="B156" s="1">
        <f t="shared" si="33"/>
        <v>150</v>
      </c>
      <c r="C156" s="1">
        <f t="shared" si="48"/>
        <v>19800</v>
      </c>
      <c r="D156" s="1">
        <f t="shared" si="34"/>
        <v>100</v>
      </c>
      <c r="E156" s="1">
        <f t="shared" si="44"/>
        <v>100</v>
      </c>
      <c r="F156" s="1">
        <f t="shared" ca="1" si="45"/>
        <v>100</v>
      </c>
      <c r="G156" s="1">
        <f t="shared" ca="1" si="35"/>
        <v>399.99999999999994</v>
      </c>
      <c r="H156" s="1">
        <f t="shared" si="46"/>
        <v>4</v>
      </c>
      <c r="I156" s="1">
        <f t="shared" si="36"/>
        <v>400</v>
      </c>
      <c r="K156" s="1">
        <f t="shared" si="37"/>
        <v>100</v>
      </c>
      <c r="L156" s="1">
        <f t="shared" si="38"/>
        <v>0</v>
      </c>
      <c r="N156" s="1">
        <f t="shared" si="39"/>
        <v>100</v>
      </c>
      <c r="O156" s="1">
        <f t="shared" si="40"/>
        <v>0</v>
      </c>
      <c r="P156" s="1">
        <f t="shared" ca="1" si="41"/>
        <v>100</v>
      </c>
      <c r="Q156" s="1">
        <f t="shared" si="42"/>
        <v>4</v>
      </c>
      <c r="R156" s="1">
        <f t="shared" si="43"/>
        <v>0</v>
      </c>
    </row>
    <row r="157" spans="1:18" x14ac:dyDescent="0.25">
      <c r="A157" s="21">
        <f t="shared" si="47"/>
        <v>136</v>
      </c>
      <c r="B157" s="1">
        <f t="shared" si="33"/>
        <v>150</v>
      </c>
      <c r="C157" s="1">
        <f t="shared" si="48"/>
        <v>19950</v>
      </c>
      <c r="D157" s="1">
        <f t="shared" si="34"/>
        <v>100</v>
      </c>
      <c r="E157" s="1">
        <f t="shared" si="44"/>
        <v>100</v>
      </c>
      <c r="F157" s="1">
        <f t="shared" ca="1" si="45"/>
        <v>100</v>
      </c>
      <c r="G157" s="1">
        <f t="shared" ca="1" si="35"/>
        <v>399.99999999999994</v>
      </c>
      <c r="H157" s="1">
        <f t="shared" si="46"/>
        <v>4</v>
      </c>
      <c r="I157" s="1">
        <f t="shared" si="36"/>
        <v>400</v>
      </c>
      <c r="K157" s="1">
        <f t="shared" si="37"/>
        <v>100</v>
      </c>
      <c r="L157" s="1">
        <f t="shared" si="38"/>
        <v>0</v>
      </c>
      <c r="N157" s="1">
        <f t="shared" si="39"/>
        <v>100</v>
      </c>
      <c r="O157" s="1">
        <f t="shared" si="40"/>
        <v>0</v>
      </c>
      <c r="P157" s="1">
        <f t="shared" ca="1" si="41"/>
        <v>100</v>
      </c>
      <c r="Q157" s="1">
        <f t="shared" si="42"/>
        <v>4</v>
      </c>
      <c r="R157" s="1">
        <f t="shared" si="43"/>
        <v>0</v>
      </c>
    </row>
    <row r="158" spans="1:18" x14ac:dyDescent="0.25">
      <c r="A158" s="21">
        <f t="shared" si="47"/>
        <v>137</v>
      </c>
      <c r="B158" s="1">
        <f t="shared" si="33"/>
        <v>150</v>
      </c>
      <c r="C158" s="1">
        <f t="shared" si="48"/>
        <v>20100</v>
      </c>
      <c r="D158" s="1">
        <f t="shared" si="34"/>
        <v>100</v>
      </c>
      <c r="E158" s="1">
        <f t="shared" si="44"/>
        <v>100</v>
      </c>
      <c r="F158" s="1">
        <f t="shared" ca="1" si="45"/>
        <v>100</v>
      </c>
      <c r="G158" s="1">
        <f t="shared" ca="1" si="35"/>
        <v>399.99999999999994</v>
      </c>
      <c r="H158" s="1">
        <f t="shared" si="46"/>
        <v>4</v>
      </c>
      <c r="I158" s="1">
        <f t="shared" si="36"/>
        <v>400</v>
      </c>
      <c r="K158" s="1">
        <f t="shared" si="37"/>
        <v>100</v>
      </c>
      <c r="L158" s="1">
        <f t="shared" si="38"/>
        <v>0</v>
      </c>
      <c r="N158" s="1">
        <f t="shared" si="39"/>
        <v>100</v>
      </c>
      <c r="O158" s="1">
        <f t="shared" si="40"/>
        <v>0</v>
      </c>
      <c r="P158" s="1">
        <f t="shared" ca="1" si="41"/>
        <v>100</v>
      </c>
      <c r="Q158" s="1">
        <f t="shared" si="42"/>
        <v>4</v>
      </c>
      <c r="R158" s="1">
        <f t="shared" si="43"/>
        <v>0</v>
      </c>
    </row>
    <row r="159" spans="1:18" x14ac:dyDescent="0.25">
      <c r="A159" s="21">
        <f t="shared" si="47"/>
        <v>138</v>
      </c>
      <c r="B159" s="1">
        <f t="shared" si="33"/>
        <v>150</v>
      </c>
      <c r="C159" s="1">
        <f t="shared" si="48"/>
        <v>20250</v>
      </c>
      <c r="D159" s="1">
        <f t="shared" si="34"/>
        <v>100</v>
      </c>
      <c r="E159" s="1">
        <f t="shared" si="44"/>
        <v>100</v>
      </c>
      <c r="F159" s="1">
        <f t="shared" ca="1" si="45"/>
        <v>100</v>
      </c>
      <c r="G159" s="1">
        <f t="shared" ca="1" si="35"/>
        <v>399.99999999999994</v>
      </c>
      <c r="H159" s="1">
        <f t="shared" si="46"/>
        <v>4</v>
      </c>
      <c r="I159" s="1">
        <f t="shared" si="36"/>
        <v>400</v>
      </c>
      <c r="K159" s="1">
        <f t="shared" si="37"/>
        <v>100</v>
      </c>
      <c r="L159" s="1">
        <f t="shared" si="38"/>
        <v>0</v>
      </c>
      <c r="N159" s="1">
        <f t="shared" si="39"/>
        <v>100</v>
      </c>
      <c r="O159" s="1">
        <f t="shared" si="40"/>
        <v>0</v>
      </c>
      <c r="P159" s="1">
        <f t="shared" ca="1" si="41"/>
        <v>100</v>
      </c>
      <c r="Q159" s="1">
        <f t="shared" si="42"/>
        <v>4</v>
      </c>
      <c r="R159" s="1">
        <f t="shared" si="43"/>
        <v>0</v>
      </c>
    </row>
    <row r="160" spans="1:18" x14ac:dyDescent="0.25">
      <c r="A160" s="21">
        <f t="shared" si="47"/>
        <v>139</v>
      </c>
      <c r="B160" s="1">
        <f t="shared" si="33"/>
        <v>150</v>
      </c>
      <c r="C160" s="1">
        <f t="shared" si="48"/>
        <v>20400</v>
      </c>
      <c r="D160" s="1">
        <f t="shared" si="34"/>
        <v>100</v>
      </c>
      <c r="E160" s="1">
        <f t="shared" si="44"/>
        <v>100</v>
      </c>
      <c r="F160" s="1">
        <f t="shared" ca="1" si="45"/>
        <v>100</v>
      </c>
      <c r="G160" s="1">
        <f t="shared" ca="1" si="35"/>
        <v>399.99999999999994</v>
      </c>
      <c r="H160" s="1">
        <f t="shared" si="46"/>
        <v>4</v>
      </c>
      <c r="I160" s="1">
        <f t="shared" si="36"/>
        <v>400</v>
      </c>
      <c r="K160" s="1">
        <f t="shared" si="37"/>
        <v>100</v>
      </c>
      <c r="L160" s="1">
        <f t="shared" si="38"/>
        <v>0</v>
      </c>
      <c r="N160" s="1">
        <f t="shared" si="39"/>
        <v>100</v>
      </c>
      <c r="O160" s="1">
        <f t="shared" si="40"/>
        <v>0</v>
      </c>
      <c r="P160" s="1">
        <f t="shared" ca="1" si="41"/>
        <v>100</v>
      </c>
      <c r="Q160" s="1">
        <f t="shared" si="42"/>
        <v>4</v>
      </c>
      <c r="R160" s="1">
        <f t="shared" si="43"/>
        <v>0</v>
      </c>
    </row>
    <row r="161" spans="1:18" x14ac:dyDescent="0.25">
      <c r="A161" s="21">
        <f t="shared" si="47"/>
        <v>140</v>
      </c>
      <c r="B161" s="1">
        <f t="shared" si="33"/>
        <v>150</v>
      </c>
      <c r="C161" s="1">
        <f t="shared" si="48"/>
        <v>20550</v>
      </c>
      <c r="D161" s="1">
        <f t="shared" si="34"/>
        <v>100</v>
      </c>
      <c r="E161" s="1">
        <f t="shared" si="44"/>
        <v>100</v>
      </c>
      <c r="F161" s="1">
        <f t="shared" ca="1" si="45"/>
        <v>100</v>
      </c>
      <c r="G161" s="1">
        <f t="shared" ca="1" si="35"/>
        <v>399.99999999999994</v>
      </c>
      <c r="H161" s="1">
        <f t="shared" si="46"/>
        <v>4</v>
      </c>
      <c r="I161" s="1">
        <f t="shared" si="36"/>
        <v>400</v>
      </c>
      <c r="K161" s="1">
        <f t="shared" si="37"/>
        <v>100</v>
      </c>
      <c r="L161" s="1">
        <f t="shared" si="38"/>
        <v>0</v>
      </c>
      <c r="N161" s="1">
        <f t="shared" si="39"/>
        <v>100</v>
      </c>
      <c r="O161" s="1">
        <f t="shared" si="40"/>
        <v>0</v>
      </c>
      <c r="P161" s="1">
        <f t="shared" ca="1" si="41"/>
        <v>100</v>
      </c>
      <c r="Q161" s="1">
        <f t="shared" si="42"/>
        <v>4</v>
      </c>
      <c r="R161" s="1">
        <f t="shared" si="43"/>
        <v>0</v>
      </c>
    </row>
    <row r="162" spans="1:18" x14ac:dyDescent="0.25">
      <c r="A162" s="21">
        <f t="shared" si="47"/>
        <v>141</v>
      </c>
      <c r="B162" s="1">
        <f t="shared" si="33"/>
        <v>150</v>
      </c>
      <c r="C162" s="1">
        <f t="shared" si="48"/>
        <v>20700</v>
      </c>
      <c r="D162" s="1">
        <f t="shared" si="34"/>
        <v>100</v>
      </c>
      <c r="E162" s="1">
        <f t="shared" si="44"/>
        <v>100</v>
      </c>
      <c r="F162" s="1">
        <f t="shared" ca="1" si="45"/>
        <v>100</v>
      </c>
      <c r="G162" s="1">
        <f t="shared" ca="1" si="35"/>
        <v>399.99999999999994</v>
      </c>
      <c r="H162" s="1">
        <f t="shared" si="46"/>
        <v>4</v>
      </c>
      <c r="I162" s="1">
        <f t="shared" si="36"/>
        <v>400</v>
      </c>
      <c r="K162" s="1">
        <f t="shared" si="37"/>
        <v>100</v>
      </c>
      <c r="L162" s="1">
        <f t="shared" si="38"/>
        <v>0</v>
      </c>
      <c r="N162" s="1">
        <f t="shared" si="39"/>
        <v>100</v>
      </c>
      <c r="O162" s="1">
        <f t="shared" si="40"/>
        <v>0</v>
      </c>
      <c r="P162" s="1">
        <f t="shared" ca="1" si="41"/>
        <v>100</v>
      </c>
      <c r="Q162" s="1">
        <f t="shared" si="42"/>
        <v>4</v>
      </c>
      <c r="R162" s="1">
        <f t="shared" si="43"/>
        <v>0</v>
      </c>
    </row>
    <row r="163" spans="1:18" x14ac:dyDescent="0.25">
      <c r="A163" s="21">
        <f t="shared" si="47"/>
        <v>142</v>
      </c>
      <c r="B163" s="1">
        <f t="shared" si="33"/>
        <v>150</v>
      </c>
      <c r="C163" s="1">
        <f t="shared" si="48"/>
        <v>20850</v>
      </c>
      <c r="D163" s="1">
        <f t="shared" si="34"/>
        <v>100</v>
      </c>
      <c r="E163" s="1">
        <f t="shared" si="44"/>
        <v>100</v>
      </c>
      <c r="F163" s="1">
        <f t="shared" ca="1" si="45"/>
        <v>100</v>
      </c>
      <c r="G163" s="1">
        <f t="shared" ca="1" si="35"/>
        <v>399.99999999999994</v>
      </c>
      <c r="H163" s="1">
        <f t="shared" si="46"/>
        <v>4</v>
      </c>
      <c r="I163" s="1">
        <f t="shared" si="36"/>
        <v>400</v>
      </c>
      <c r="K163" s="1">
        <f t="shared" si="37"/>
        <v>100</v>
      </c>
      <c r="L163" s="1">
        <f t="shared" si="38"/>
        <v>0</v>
      </c>
      <c r="N163" s="1">
        <f t="shared" si="39"/>
        <v>100</v>
      </c>
      <c r="O163" s="1">
        <f t="shared" si="40"/>
        <v>0</v>
      </c>
      <c r="P163" s="1">
        <f t="shared" ca="1" si="41"/>
        <v>100</v>
      </c>
      <c r="Q163" s="1">
        <f t="shared" si="42"/>
        <v>4</v>
      </c>
      <c r="R163" s="1">
        <f t="shared" si="43"/>
        <v>0</v>
      </c>
    </row>
    <row r="164" spans="1:18" x14ac:dyDescent="0.25">
      <c r="A164" s="21">
        <f t="shared" si="47"/>
        <v>143</v>
      </c>
      <c r="B164" s="1">
        <f t="shared" si="33"/>
        <v>150</v>
      </c>
      <c r="C164" s="1">
        <f t="shared" si="48"/>
        <v>21000</v>
      </c>
      <c r="D164" s="1">
        <f t="shared" si="34"/>
        <v>100</v>
      </c>
      <c r="E164" s="1">
        <f t="shared" si="44"/>
        <v>100</v>
      </c>
      <c r="F164" s="1">
        <f t="shared" ca="1" si="45"/>
        <v>100</v>
      </c>
      <c r="G164" s="1">
        <f t="shared" ca="1" si="35"/>
        <v>399.99999999999994</v>
      </c>
      <c r="H164" s="1">
        <f t="shared" si="46"/>
        <v>4</v>
      </c>
      <c r="I164" s="1">
        <f t="shared" si="36"/>
        <v>400</v>
      </c>
      <c r="K164" s="1">
        <f t="shared" si="37"/>
        <v>100</v>
      </c>
      <c r="L164" s="1">
        <f t="shared" si="38"/>
        <v>0</v>
      </c>
      <c r="N164" s="1">
        <f t="shared" si="39"/>
        <v>100</v>
      </c>
      <c r="O164" s="1">
        <f t="shared" si="40"/>
        <v>0</v>
      </c>
      <c r="P164" s="1">
        <f t="shared" ca="1" si="41"/>
        <v>100</v>
      </c>
      <c r="Q164" s="1">
        <f t="shared" si="42"/>
        <v>4</v>
      </c>
      <c r="R164" s="1">
        <f t="shared" si="43"/>
        <v>0</v>
      </c>
    </row>
    <row r="165" spans="1:18" x14ac:dyDescent="0.25">
      <c r="A165" s="21">
        <f t="shared" si="47"/>
        <v>144</v>
      </c>
      <c r="B165" s="1">
        <f t="shared" si="33"/>
        <v>150</v>
      </c>
      <c r="C165" s="1">
        <f t="shared" si="48"/>
        <v>21150</v>
      </c>
      <c r="D165" s="1">
        <f t="shared" si="34"/>
        <v>100</v>
      </c>
      <c r="E165" s="1">
        <f t="shared" si="44"/>
        <v>100</v>
      </c>
      <c r="F165" s="1">
        <f t="shared" ca="1" si="45"/>
        <v>100</v>
      </c>
      <c r="G165" s="1">
        <f t="shared" ca="1" si="35"/>
        <v>399.99999999999994</v>
      </c>
      <c r="H165" s="1">
        <f t="shared" si="46"/>
        <v>4</v>
      </c>
      <c r="I165" s="1">
        <f t="shared" si="36"/>
        <v>400</v>
      </c>
      <c r="K165" s="1">
        <f t="shared" si="37"/>
        <v>100</v>
      </c>
      <c r="L165" s="1">
        <f t="shared" si="38"/>
        <v>0</v>
      </c>
      <c r="N165" s="1">
        <f t="shared" si="39"/>
        <v>100</v>
      </c>
      <c r="O165" s="1">
        <f t="shared" si="40"/>
        <v>0</v>
      </c>
      <c r="P165" s="1">
        <f t="shared" ca="1" si="41"/>
        <v>100</v>
      </c>
      <c r="Q165" s="1">
        <f t="shared" si="42"/>
        <v>4</v>
      </c>
      <c r="R165" s="1">
        <f t="shared" si="43"/>
        <v>0</v>
      </c>
    </row>
    <row r="166" spans="1:18" x14ac:dyDescent="0.25">
      <c r="A166" s="21">
        <f t="shared" si="47"/>
        <v>145</v>
      </c>
      <c r="B166" s="1">
        <f t="shared" ref="B166:B211" si="49">N$11</f>
        <v>150</v>
      </c>
      <c r="C166" s="1">
        <f t="shared" si="48"/>
        <v>21300</v>
      </c>
      <c r="D166" s="1">
        <f t="shared" si="34"/>
        <v>100</v>
      </c>
      <c r="E166" s="1">
        <f t="shared" si="44"/>
        <v>100</v>
      </c>
      <c r="F166" s="1">
        <f t="shared" ca="1" si="45"/>
        <v>100</v>
      </c>
      <c r="G166" s="1">
        <f t="shared" ca="1" si="35"/>
        <v>399.99999999999994</v>
      </c>
      <c r="H166" s="1">
        <f t="shared" si="46"/>
        <v>4</v>
      </c>
      <c r="I166" s="1">
        <f t="shared" si="36"/>
        <v>400</v>
      </c>
      <c r="K166" s="1">
        <f t="shared" si="37"/>
        <v>100</v>
      </c>
      <c r="L166" s="1">
        <f t="shared" si="38"/>
        <v>0</v>
      </c>
      <c r="N166" s="1">
        <f t="shared" si="39"/>
        <v>100</v>
      </c>
      <c r="O166" s="1">
        <f t="shared" si="40"/>
        <v>0</v>
      </c>
      <c r="P166" s="1">
        <f t="shared" ca="1" si="41"/>
        <v>100</v>
      </c>
      <c r="Q166" s="1">
        <f t="shared" si="42"/>
        <v>4</v>
      </c>
      <c r="R166" s="1">
        <f t="shared" si="43"/>
        <v>0</v>
      </c>
    </row>
    <row r="167" spans="1:18" x14ac:dyDescent="0.25">
      <c r="A167" s="21">
        <f t="shared" si="47"/>
        <v>146</v>
      </c>
      <c r="B167" s="1">
        <f t="shared" si="49"/>
        <v>150</v>
      </c>
      <c r="C167" s="1">
        <f t="shared" si="48"/>
        <v>21450</v>
      </c>
      <c r="D167" s="1">
        <f t="shared" si="34"/>
        <v>100</v>
      </c>
      <c r="E167" s="1">
        <f t="shared" si="44"/>
        <v>100</v>
      </c>
      <c r="F167" s="1">
        <f t="shared" ca="1" si="45"/>
        <v>100</v>
      </c>
      <c r="G167" s="1">
        <f t="shared" ca="1" si="35"/>
        <v>399.99999999999994</v>
      </c>
      <c r="H167" s="1">
        <f t="shared" si="46"/>
        <v>4</v>
      </c>
      <c r="I167" s="1">
        <f t="shared" si="36"/>
        <v>400</v>
      </c>
      <c r="K167" s="1">
        <f t="shared" si="37"/>
        <v>100</v>
      </c>
      <c r="L167" s="1">
        <f t="shared" si="38"/>
        <v>0</v>
      </c>
      <c r="N167" s="1">
        <f t="shared" si="39"/>
        <v>100</v>
      </c>
      <c r="O167" s="1">
        <f t="shared" si="40"/>
        <v>0</v>
      </c>
      <c r="P167" s="1">
        <f t="shared" ca="1" si="41"/>
        <v>100</v>
      </c>
      <c r="Q167" s="1">
        <f t="shared" si="42"/>
        <v>4</v>
      </c>
      <c r="R167" s="1">
        <f t="shared" si="43"/>
        <v>0</v>
      </c>
    </row>
    <row r="168" spans="1:18" x14ac:dyDescent="0.25">
      <c r="A168" s="21">
        <f t="shared" si="47"/>
        <v>147</v>
      </c>
      <c r="B168" s="1">
        <f t="shared" si="49"/>
        <v>150</v>
      </c>
      <c r="C168" s="1">
        <f t="shared" si="48"/>
        <v>21600</v>
      </c>
      <c r="D168" s="1">
        <f t="shared" si="34"/>
        <v>100</v>
      </c>
      <c r="E168" s="1">
        <f t="shared" si="44"/>
        <v>100</v>
      </c>
      <c r="F168" s="1">
        <f t="shared" ca="1" si="45"/>
        <v>100</v>
      </c>
      <c r="G168" s="1">
        <f t="shared" ca="1" si="35"/>
        <v>399.99999999999994</v>
      </c>
      <c r="H168" s="1">
        <f t="shared" si="46"/>
        <v>4</v>
      </c>
      <c r="I168" s="1">
        <f t="shared" si="36"/>
        <v>400</v>
      </c>
      <c r="K168" s="1">
        <f t="shared" si="37"/>
        <v>100</v>
      </c>
      <c r="L168" s="1">
        <f t="shared" si="38"/>
        <v>0</v>
      </c>
      <c r="N168" s="1">
        <f t="shared" si="39"/>
        <v>100</v>
      </c>
      <c r="O168" s="1">
        <f t="shared" si="40"/>
        <v>0</v>
      </c>
      <c r="P168" s="1">
        <f t="shared" ca="1" si="41"/>
        <v>100</v>
      </c>
      <c r="Q168" s="1">
        <f t="shared" si="42"/>
        <v>4</v>
      </c>
      <c r="R168" s="1">
        <f t="shared" si="43"/>
        <v>0</v>
      </c>
    </row>
    <row r="169" spans="1:18" x14ac:dyDescent="0.25">
      <c r="A169" s="21">
        <f t="shared" si="47"/>
        <v>148</v>
      </c>
      <c r="B169" s="1">
        <f t="shared" si="49"/>
        <v>150</v>
      </c>
      <c r="C169" s="1">
        <f t="shared" si="48"/>
        <v>21750</v>
      </c>
      <c r="D169" s="1">
        <f t="shared" si="34"/>
        <v>100</v>
      </c>
      <c r="E169" s="1">
        <f t="shared" si="44"/>
        <v>100</v>
      </c>
      <c r="F169" s="1">
        <f t="shared" ca="1" si="45"/>
        <v>100</v>
      </c>
      <c r="G169" s="1">
        <f t="shared" ca="1" si="35"/>
        <v>399.99999999999994</v>
      </c>
      <c r="H169" s="1">
        <f t="shared" si="46"/>
        <v>4</v>
      </c>
      <c r="I169" s="1">
        <f t="shared" si="36"/>
        <v>400</v>
      </c>
      <c r="K169" s="1">
        <f t="shared" si="37"/>
        <v>100</v>
      </c>
      <c r="L169" s="1">
        <f t="shared" si="38"/>
        <v>0</v>
      </c>
      <c r="N169" s="1">
        <f t="shared" si="39"/>
        <v>100</v>
      </c>
      <c r="O169" s="1">
        <f t="shared" si="40"/>
        <v>0</v>
      </c>
      <c r="P169" s="1">
        <f t="shared" ca="1" si="41"/>
        <v>100</v>
      </c>
      <c r="Q169" s="1">
        <f t="shared" si="42"/>
        <v>4</v>
      </c>
      <c r="R169" s="1">
        <f t="shared" si="43"/>
        <v>0</v>
      </c>
    </row>
    <row r="170" spans="1:18" x14ac:dyDescent="0.25">
      <c r="A170" s="21">
        <f t="shared" si="47"/>
        <v>149</v>
      </c>
      <c r="B170" s="1">
        <f t="shared" si="49"/>
        <v>150</v>
      </c>
      <c r="C170" s="1">
        <f t="shared" si="48"/>
        <v>21900</v>
      </c>
      <c r="D170" s="1">
        <f t="shared" si="34"/>
        <v>100</v>
      </c>
      <c r="E170" s="1">
        <f t="shared" si="44"/>
        <v>100</v>
      </c>
      <c r="F170" s="1">
        <f t="shared" ca="1" si="45"/>
        <v>100</v>
      </c>
      <c r="G170" s="1">
        <f t="shared" ca="1" si="35"/>
        <v>399.99999999999994</v>
      </c>
      <c r="H170" s="1">
        <f t="shared" si="46"/>
        <v>4</v>
      </c>
      <c r="I170" s="1">
        <f t="shared" si="36"/>
        <v>400</v>
      </c>
      <c r="K170" s="1">
        <f t="shared" si="37"/>
        <v>100</v>
      </c>
      <c r="L170" s="1">
        <f t="shared" si="38"/>
        <v>0</v>
      </c>
      <c r="N170" s="1">
        <f t="shared" si="39"/>
        <v>100</v>
      </c>
      <c r="O170" s="1">
        <f t="shared" si="40"/>
        <v>0</v>
      </c>
      <c r="P170" s="1">
        <f t="shared" ca="1" si="41"/>
        <v>100</v>
      </c>
      <c r="Q170" s="1">
        <f t="shared" si="42"/>
        <v>4</v>
      </c>
      <c r="R170" s="1">
        <f t="shared" si="43"/>
        <v>0</v>
      </c>
    </row>
    <row r="171" spans="1:18" x14ac:dyDescent="0.25">
      <c r="A171" s="21">
        <f t="shared" si="47"/>
        <v>150</v>
      </c>
      <c r="B171" s="1">
        <f t="shared" si="49"/>
        <v>150</v>
      </c>
      <c r="C171" s="1">
        <f t="shared" si="48"/>
        <v>22050</v>
      </c>
      <c r="D171" s="1">
        <f t="shared" si="34"/>
        <v>100</v>
      </c>
      <c r="E171" s="1">
        <f t="shared" si="44"/>
        <v>100</v>
      </c>
      <c r="F171" s="1">
        <f t="shared" ca="1" si="45"/>
        <v>100</v>
      </c>
      <c r="G171" s="1">
        <f t="shared" ca="1" si="35"/>
        <v>399.99999999999994</v>
      </c>
      <c r="H171" s="1">
        <f t="shared" si="46"/>
        <v>4</v>
      </c>
      <c r="I171" s="1">
        <f t="shared" si="36"/>
        <v>400</v>
      </c>
      <c r="K171" s="1">
        <f t="shared" si="37"/>
        <v>100</v>
      </c>
      <c r="L171" s="1">
        <f t="shared" si="38"/>
        <v>0</v>
      </c>
      <c r="N171" s="1">
        <f t="shared" si="39"/>
        <v>100</v>
      </c>
      <c r="O171" s="1">
        <f t="shared" si="40"/>
        <v>0</v>
      </c>
      <c r="P171" s="1">
        <f t="shared" ca="1" si="41"/>
        <v>100</v>
      </c>
      <c r="Q171" s="1">
        <f t="shared" si="42"/>
        <v>4</v>
      </c>
      <c r="R171" s="1">
        <f t="shared" si="43"/>
        <v>0</v>
      </c>
    </row>
    <row r="172" spans="1:18" x14ac:dyDescent="0.25">
      <c r="A172" s="21">
        <f t="shared" si="47"/>
        <v>151</v>
      </c>
      <c r="B172" s="1">
        <f t="shared" si="49"/>
        <v>150</v>
      </c>
      <c r="C172" s="1">
        <f t="shared" si="48"/>
        <v>22200</v>
      </c>
      <c r="D172" s="1">
        <f t="shared" si="34"/>
        <v>100</v>
      </c>
      <c r="E172" s="1">
        <f t="shared" si="44"/>
        <v>100</v>
      </c>
      <c r="F172" s="1">
        <f t="shared" ca="1" si="45"/>
        <v>100</v>
      </c>
      <c r="G172" s="1">
        <f t="shared" ca="1" si="35"/>
        <v>399.99999999999994</v>
      </c>
      <c r="H172" s="1">
        <f t="shared" si="46"/>
        <v>4</v>
      </c>
      <c r="I172" s="1">
        <f t="shared" si="36"/>
        <v>400</v>
      </c>
      <c r="K172" s="1">
        <f t="shared" si="37"/>
        <v>100</v>
      </c>
      <c r="L172" s="1">
        <f t="shared" si="38"/>
        <v>0</v>
      </c>
      <c r="N172" s="1">
        <f t="shared" si="39"/>
        <v>100</v>
      </c>
      <c r="O172" s="1">
        <f t="shared" si="40"/>
        <v>0</v>
      </c>
      <c r="P172" s="1">
        <f t="shared" ca="1" si="41"/>
        <v>100</v>
      </c>
      <c r="Q172" s="1">
        <f t="shared" si="42"/>
        <v>4</v>
      </c>
      <c r="R172" s="1">
        <f t="shared" si="43"/>
        <v>0</v>
      </c>
    </row>
    <row r="173" spans="1:18" x14ac:dyDescent="0.25">
      <c r="A173" s="21">
        <f t="shared" si="47"/>
        <v>152</v>
      </c>
      <c r="B173" s="1">
        <f t="shared" si="49"/>
        <v>150</v>
      </c>
      <c r="C173" s="1">
        <f t="shared" si="48"/>
        <v>22350</v>
      </c>
      <c r="D173" s="1">
        <f t="shared" si="34"/>
        <v>100</v>
      </c>
      <c r="E173" s="1">
        <f t="shared" si="44"/>
        <v>100</v>
      </c>
      <c r="F173" s="1">
        <f t="shared" ca="1" si="45"/>
        <v>100</v>
      </c>
      <c r="G173" s="1">
        <f t="shared" ca="1" si="35"/>
        <v>399.99999999999994</v>
      </c>
      <c r="H173" s="1">
        <f t="shared" si="46"/>
        <v>4</v>
      </c>
      <c r="I173" s="1">
        <f t="shared" si="36"/>
        <v>400</v>
      </c>
      <c r="K173" s="1">
        <f t="shared" si="37"/>
        <v>100</v>
      </c>
      <c r="L173" s="1">
        <f t="shared" si="38"/>
        <v>0</v>
      </c>
      <c r="N173" s="1">
        <f t="shared" si="39"/>
        <v>100</v>
      </c>
      <c r="O173" s="1">
        <f t="shared" si="40"/>
        <v>0</v>
      </c>
      <c r="P173" s="1">
        <f t="shared" ca="1" si="41"/>
        <v>100</v>
      </c>
      <c r="Q173" s="1">
        <f t="shared" si="42"/>
        <v>4</v>
      </c>
      <c r="R173" s="1">
        <f t="shared" si="43"/>
        <v>0</v>
      </c>
    </row>
    <row r="174" spans="1:18" x14ac:dyDescent="0.25">
      <c r="A174" s="21">
        <f t="shared" si="47"/>
        <v>153</v>
      </c>
      <c r="B174" s="1">
        <f t="shared" si="49"/>
        <v>150</v>
      </c>
      <c r="C174" s="1">
        <f t="shared" si="48"/>
        <v>22500</v>
      </c>
      <c r="D174" s="1">
        <f t="shared" si="34"/>
        <v>100</v>
      </c>
      <c r="E174" s="1">
        <f t="shared" si="44"/>
        <v>100</v>
      </c>
      <c r="F174" s="1">
        <f t="shared" ca="1" si="45"/>
        <v>100</v>
      </c>
      <c r="G174" s="1">
        <f t="shared" ca="1" si="35"/>
        <v>399.99999999999994</v>
      </c>
      <c r="H174" s="1">
        <f t="shared" si="46"/>
        <v>4</v>
      </c>
      <c r="I174" s="1">
        <f t="shared" si="36"/>
        <v>400</v>
      </c>
      <c r="K174" s="1">
        <f t="shared" si="37"/>
        <v>100</v>
      </c>
      <c r="L174" s="1">
        <f t="shared" si="38"/>
        <v>0</v>
      </c>
      <c r="N174" s="1">
        <f t="shared" si="39"/>
        <v>100</v>
      </c>
      <c r="O174" s="1">
        <f t="shared" si="40"/>
        <v>0</v>
      </c>
      <c r="P174" s="1">
        <f t="shared" ca="1" si="41"/>
        <v>100</v>
      </c>
      <c r="Q174" s="1">
        <f t="shared" si="42"/>
        <v>4</v>
      </c>
      <c r="R174" s="1">
        <f t="shared" si="43"/>
        <v>0</v>
      </c>
    </row>
    <row r="175" spans="1:18" x14ac:dyDescent="0.25">
      <c r="A175" s="21">
        <f t="shared" si="47"/>
        <v>154</v>
      </c>
      <c r="B175" s="1">
        <f t="shared" si="49"/>
        <v>150</v>
      </c>
      <c r="C175" s="1">
        <f t="shared" si="48"/>
        <v>22650</v>
      </c>
      <c r="D175" s="1">
        <f t="shared" si="34"/>
        <v>100</v>
      </c>
      <c r="E175" s="1">
        <f t="shared" si="44"/>
        <v>100</v>
      </c>
      <c r="F175" s="1">
        <f t="shared" ca="1" si="45"/>
        <v>100</v>
      </c>
      <c r="G175" s="1">
        <f t="shared" ca="1" si="35"/>
        <v>399.99999999999994</v>
      </c>
      <c r="H175" s="1">
        <f t="shared" si="46"/>
        <v>4</v>
      </c>
      <c r="I175" s="1">
        <f t="shared" si="36"/>
        <v>400</v>
      </c>
      <c r="K175" s="1">
        <f t="shared" si="37"/>
        <v>100</v>
      </c>
      <c r="L175" s="1">
        <f t="shared" si="38"/>
        <v>0</v>
      </c>
      <c r="N175" s="1">
        <f t="shared" si="39"/>
        <v>100</v>
      </c>
      <c r="O175" s="1">
        <f t="shared" si="40"/>
        <v>0</v>
      </c>
      <c r="P175" s="1">
        <f t="shared" ca="1" si="41"/>
        <v>100</v>
      </c>
      <c r="Q175" s="1">
        <f t="shared" si="42"/>
        <v>4</v>
      </c>
      <c r="R175" s="1">
        <f t="shared" si="43"/>
        <v>0</v>
      </c>
    </row>
    <row r="176" spans="1:18" x14ac:dyDescent="0.25">
      <c r="A176" s="21">
        <f t="shared" si="47"/>
        <v>155</v>
      </c>
      <c r="B176" s="1">
        <f t="shared" si="49"/>
        <v>150</v>
      </c>
      <c r="C176" s="1">
        <f t="shared" si="48"/>
        <v>22800</v>
      </c>
      <c r="D176" s="1">
        <f t="shared" si="34"/>
        <v>100</v>
      </c>
      <c r="E176" s="1">
        <f t="shared" si="44"/>
        <v>100</v>
      </c>
      <c r="F176" s="1">
        <f t="shared" ca="1" si="45"/>
        <v>100</v>
      </c>
      <c r="G176" s="1">
        <f t="shared" ca="1" si="35"/>
        <v>399.99999999999994</v>
      </c>
      <c r="H176" s="1">
        <f t="shared" si="46"/>
        <v>4</v>
      </c>
      <c r="I176" s="1">
        <f t="shared" si="36"/>
        <v>400</v>
      </c>
      <c r="K176" s="1">
        <f t="shared" si="37"/>
        <v>100</v>
      </c>
      <c r="L176" s="1">
        <f t="shared" si="38"/>
        <v>0</v>
      </c>
      <c r="N176" s="1">
        <f t="shared" si="39"/>
        <v>100</v>
      </c>
      <c r="O176" s="1">
        <f t="shared" si="40"/>
        <v>0</v>
      </c>
      <c r="P176" s="1">
        <f t="shared" ca="1" si="41"/>
        <v>100</v>
      </c>
      <c r="Q176" s="1">
        <f t="shared" si="42"/>
        <v>4</v>
      </c>
      <c r="R176" s="1">
        <f t="shared" si="43"/>
        <v>0</v>
      </c>
    </row>
    <row r="177" spans="1:18" x14ac:dyDescent="0.25">
      <c r="A177" s="21">
        <f t="shared" si="47"/>
        <v>156</v>
      </c>
      <c r="B177" s="1">
        <f t="shared" si="49"/>
        <v>150</v>
      </c>
      <c r="C177" s="1">
        <f t="shared" si="48"/>
        <v>22950</v>
      </c>
      <c r="D177" s="1">
        <f t="shared" si="34"/>
        <v>100</v>
      </c>
      <c r="E177" s="1">
        <f t="shared" si="44"/>
        <v>100</v>
      </c>
      <c r="F177" s="1">
        <f t="shared" ca="1" si="45"/>
        <v>100</v>
      </c>
      <c r="G177" s="1">
        <f t="shared" ca="1" si="35"/>
        <v>399.99999999999994</v>
      </c>
      <c r="H177" s="1">
        <f t="shared" si="46"/>
        <v>4</v>
      </c>
      <c r="I177" s="1">
        <f t="shared" si="36"/>
        <v>400</v>
      </c>
      <c r="K177" s="1">
        <f t="shared" si="37"/>
        <v>100</v>
      </c>
      <c r="L177" s="1">
        <f t="shared" si="38"/>
        <v>0</v>
      </c>
      <c r="N177" s="1">
        <f t="shared" si="39"/>
        <v>100</v>
      </c>
      <c r="O177" s="1">
        <f t="shared" si="40"/>
        <v>0</v>
      </c>
      <c r="P177" s="1">
        <f t="shared" ca="1" si="41"/>
        <v>100</v>
      </c>
      <c r="Q177" s="1">
        <f t="shared" si="42"/>
        <v>4</v>
      </c>
      <c r="R177" s="1">
        <f t="shared" si="43"/>
        <v>0</v>
      </c>
    </row>
    <row r="178" spans="1:18" x14ac:dyDescent="0.25">
      <c r="A178" s="21">
        <f t="shared" si="47"/>
        <v>157</v>
      </c>
      <c r="B178" s="1">
        <f t="shared" si="49"/>
        <v>150</v>
      </c>
      <c r="C178" s="1">
        <f t="shared" si="48"/>
        <v>23100</v>
      </c>
      <c r="D178" s="1">
        <f t="shared" si="34"/>
        <v>100</v>
      </c>
      <c r="E178" s="1">
        <f t="shared" si="44"/>
        <v>100</v>
      </c>
      <c r="F178" s="1">
        <f t="shared" ca="1" si="45"/>
        <v>100</v>
      </c>
      <c r="G178" s="1">
        <f t="shared" ca="1" si="35"/>
        <v>399.99999999999994</v>
      </c>
      <c r="H178" s="1">
        <f t="shared" si="46"/>
        <v>4</v>
      </c>
      <c r="I178" s="1">
        <f t="shared" si="36"/>
        <v>400</v>
      </c>
      <c r="K178" s="1">
        <f t="shared" si="37"/>
        <v>100</v>
      </c>
      <c r="L178" s="1">
        <f t="shared" si="38"/>
        <v>0</v>
      </c>
      <c r="N178" s="1">
        <f t="shared" si="39"/>
        <v>100</v>
      </c>
      <c r="O178" s="1">
        <f t="shared" si="40"/>
        <v>0</v>
      </c>
      <c r="P178" s="1">
        <f t="shared" ca="1" si="41"/>
        <v>100</v>
      </c>
      <c r="Q178" s="1">
        <f t="shared" si="42"/>
        <v>4</v>
      </c>
      <c r="R178" s="1">
        <f t="shared" si="43"/>
        <v>0</v>
      </c>
    </row>
    <row r="179" spans="1:18" x14ac:dyDescent="0.25">
      <c r="A179" s="21">
        <f t="shared" si="47"/>
        <v>158</v>
      </c>
      <c r="B179" s="1">
        <f t="shared" si="49"/>
        <v>150</v>
      </c>
      <c r="C179" s="1">
        <f t="shared" si="48"/>
        <v>23250</v>
      </c>
      <c r="D179" s="1">
        <f t="shared" si="34"/>
        <v>100</v>
      </c>
      <c r="E179" s="1">
        <f t="shared" si="44"/>
        <v>100</v>
      </c>
      <c r="F179" s="1">
        <f t="shared" ca="1" si="45"/>
        <v>100</v>
      </c>
      <c r="G179" s="1">
        <f t="shared" ca="1" si="35"/>
        <v>399.99999999999994</v>
      </c>
      <c r="H179" s="1">
        <f t="shared" si="46"/>
        <v>4</v>
      </c>
      <c r="I179" s="1">
        <f t="shared" si="36"/>
        <v>400</v>
      </c>
      <c r="K179" s="1">
        <f t="shared" si="37"/>
        <v>100</v>
      </c>
      <c r="L179" s="1">
        <f t="shared" si="38"/>
        <v>0</v>
      </c>
      <c r="N179" s="1">
        <f t="shared" si="39"/>
        <v>100</v>
      </c>
      <c r="O179" s="1">
        <f t="shared" si="40"/>
        <v>0</v>
      </c>
      <c r="P179" s="1">
        <f t="shared" ca="1" si="41"/>
        <v>100</v>
      </c>
      <c r="Q179" s="1">
        <f t="shared" si="42"/>
        <v>4</v>
      </c>
      <c r="R179" s="1">
        <f t="shared" si="43"/>
        <v>0</v>
      </c>
    </row>
    <row r="180" spans="1:18" x14ac:dyDescent="0.25">
      <c r="A180" s="21">
        <f t="shared" si="47"/>
        <v>159</v>
      </c>
      <c r="B180" s="1">
        <f t="shared" si="49"/>
        <v>150</v>
      </c>
      <c r="C180" s="1">
        <f t="shared" si="48"/>
        <v>23400</v>
      </c>
      <c r="D180" s="1">
        <f t="shared" si="34"/>
        <v>100</v>
      </c>
      <c r="E180" s="1">
        <f t="shared" si="44"/>
        <v>100</v>
      </c>
      <c r="F180" s="1">
        <f t="shared" ca="1" si="45"/>
        <v>100</v>
      </c>
      <c r="G180" s="1">
        <f t="shared" ca="1" si="35"/>
        <v>399.99999999999994</v>
      </c>
      <c r="H180" s="1">
        <f t="shared" si="46"/>
        <v>4</v>
      </c>
      <c r="I180" s="1">
        <f t="shared" si="36"/>
        <v>400</v>
      </c>
      <c r="K180" s="1">
        <f t="shared" si="37"/>
        <v>100</v>
      </c>
      <c r="L180" s="1">
        <f t="shared" si="38"/>
        <v>0</v>
      </c>
      <c r="N180" s="1">
        <f t="shared" si="39"/>
        <v>100</v>
      </c>
      <c r="O180" s="1">
        <f t="shared" si="40"/>
        <v>0</v>
      </c>
      <c r="P180" s="1">
        <f t="shared" ca="1" si="41"/>
        <v>100</v>
      </c>
      <c r="Q180" s="1">
        <f t="shared" si="42"/>
        <v>4</v>
      </c>
      <c r="R180" s="1">
        <f t="shared" si="43"/>
        <v>0</v>
      </c>
    </row>
    <row r="181" spans="1:18" x14ac:dyDescent="0.25">
      <c r="A181" s="21">
        <f t="shared" si="47"/>
        <v>160</v>
      </c>
      <c r="B181" s="1">
        <f t="shared" si="49"/>
        <v>150</v>
      </c>
      <c r="C181" s="1">
        <f t="shared" si="48"/>
        <v>23550</v>
      </c>
      <c r="D181" s="1">
        <f t="shared" si="34"/>
        <v>100</v>
      </c>
      <c r="E181" s="1">
        <f t="shared" si="44"/>
        <v>100</v>
      </c>
      <c r="F181" s="1">
        <f t="shared" ca="1" si="45"/>
        <v>100</v>
      </c>
      <c r="G181" s="1">
        <f t="shared" ca="1" si="35"/>
        <v>399.99999999999994</v>
      </c>
      <c r="H181" s="1">
        <f t="shared" si="46"/>
        <v>4</v>
      </c>
      <c r="I181" s="1">
        <f t="shared" si="36"/>
        <v>400</v>
      </c>
      <c r="K181" s="1">
        <f t="shared" si="37"/>
        <v>100</v>
      </c>
      <c r="L181" s="1">
        <f t="shared" si="38"/>
        <v>0</v>
      </c>
      <c r="N181" s="1">
        <f t="shared" si="39"/>
        <v>100</v>
      </c>
      <c r="O181" s="1">
        <f t="shared" si="40"/>
        <v>0</v>
      </c>
      <c r="P181" s="1">
        <f t="shared" ca="1" si="41"/>
        <v>100</v>
      </c>
      <c r="Q181" s="1">
        <f t="shared" si="42"/>
        <v>4</v>
      </c>
      <c r="R181" s="1">
        <f t="shared" si="43"/>
        <v>0</v>
      </c>
    </row>
    <row r="182" spans="1:18" x14ac:dyDescent="0.25">
      <c r="A182" s="21">
        <f t="shared" si="47"/>
        <v>161</v>
      </c>
      <c r="B182" s="1">
        <f t="shared" si="49"/>
        <v>150</v>
      </c>
      <c r="C182" s="1">
        <f t="shared" si="48"/>
        <v>23700</v>
      </c>
      <c r="D182" s="1">
        <f t="shared" si="34"/>
        <v>100</v>
      </c>
      <c r="E182" s="1">
        <f t="shared" si="44"/>
        <v>100</v>
      </c>
      <c r="F182" s="1">
        <f t="shared" ca="1" si="45"/>
        <v>100</v>
      </c>
      <c r="G182" s="1">
        <f t="shared" ca="1" si="35"/>
        <v>399.99999999999994</v>
      </c>
      <c r="H182" s="1">
        <f t="shared" si="46"/>
        <v>4</v>
      </c>
      <c r="I182" s="1">
        <f t="shared" si="36"/>
        <v>400</v>
      </c>
      <c r="K182" s="1">
        <f t="shared" si="37"/>
        <v>100</v>
      </c>
      <c r="L182" s="1">
        <f t="shared" si="38"/>
        <v>0</v>
      </c>
      <c r="N182" s="1">
        <f t="shared" si="39"/>
        <v>100</v>
      </c>
      <c r="O182" s="1">
        <f t="shared" si="40"/>
        <v>0</v>
      </c>
      <c r="P182" s="1">
        <f t="shared" ca="1" si="41"/>
        <v>100</v>
      </c>
      <c r="Q182" s="1">
        <f t="shared" si="42"/>
        <v>4</v>
      </c>
      <c r="R182" s="1">
        <f t="shared" si="43"/>
        <v>0</v>
      </c>
    </row>
    <row r="183" spans="1:18" x14ac:dyDescent="0.25">
      <c r="A183" s="21">
        <f t="shared" si="47"/>
        <v>162</v>
      </c>
      <c r="B183" s="1">
        <f t="shared" si="49"/>
        <v>150</v>
      </c>
      <c r="C183" s="1">
        <f t="shared" si="48"/>
        <v>23850</v>
      </c>
      <c r="D183" s="1">
        <f t="shared" si="34"/>
        <v>100</v>
      </c>
      <c r="E183" s="1">
        <f t="shared" si="44"/>
        <v>100</v>
      </c>
      <c r="F183" s="1">
        <f t="shared" ca="1" si="45"/>
        <v>100</v>
      </c>
      <c r="G183" s="1">
        <f t="shared" ca="1" si="35"/>
        <v>399.99999999999994</v>
      </c>
      <c r="H183" s="1">
        <f t="shared" si="46"/>
        <v>4</v>
      </c>
      <c r="I183" s="1">
        <f t="shared" si="36"/>
        <v>400</v>
      </c>
      <c r="K183" s="1">
        <f t="shared" si="37"/>
        <v>100</v>
      </c>
      <c r="L183" s="1">
        <f t="shared" si="38"/>
        <v>0</v>
      </c>
      <c r="N183" s="1">
        <f t="shared" si="39"/>
        <v>100</v>
      </c>
      <c r="O183" s="1">
        <f t="shared" si="40"/>
        <v>0</v>
      </c>
      <c r="P183" s="1">
        <f t="shared" ca="1" si="41"/>
        <v>100</v>
      </c>
      <c r="Q183" s="1">
        <f t="shared" si="42"/>
        <v>4</v>
      </c>
      <c r="R183" s="1">
        <f t="shared" si="43"/>
        <v>0</v>
      </c>
    </row>
    <row r="184" spans="1:18" x14ac:dyDescent="0.25">
      <c r="A184" s="21">
        <f t="shared" si="47"/>
        <v>163</v>
      </c>
      <c r="B184" s="1">
        <f t="shared" si="49"/>
        <v>150</v>
      </c>
      <c r="C184" s="1">
        <f t="shared" si="48"/>
        <v>24000</v>
      </c>
      <c r="D184" s="1">
        <f t="shared" si="34"/>
        <v>100</v>
      </c>
      <c r="E184" s="1">
        <f t="shared" si="44"/>
        <v>100</v>
      </c>
      <c r="F184" s="1">
        <f t="shared" ca="1" si="45"/>
        <v>100</v>
      </c>
      <c r="G184" s="1">
        <f t="shared" ca="1" si="35"/>
        <v>399.99999999999994</v>
      </c>
      <c r="H184" s="1">
        <f t="shared" si="46"/>
        <v>4</v>
      </c>
      <c r="I184" s="1">
        <f t="shared" si="36"/>
        <v>400</v>
      </c>
      <c r="K184" s="1">
        <f t="shared" si="37"/>
        <v>100</v>
      </c>
      <c r="L184" s="1">
        <f t="shared" si="38"/>
        <v>0</v>
      </c>
      <c r="N184" s="1">
        <f t="shared" si="39"/>
        <v>100</v>
      </c>
      <c r="O184" s="1">
        <f t="shared" si="40"/>
        <v>0</v>
      </c>
      <c r="P184" s="1">
        <f t="shared" ca="1" si="41"/>
        <v>100</v>
      </c>
      <c r="Q184" s="1">
        <f t="shared" si="42"/>
        <v>4</v>
      </c>
      <c r="R184" s="1">
        <f t="shared" si="43"/>
        <v>0</v>
      </c>
    </row>
    <row r="185" spans="1:18" x14ac:dyDescent="0.25">
      <c r="A185" s="21">
        <f t="shared" si="47"/>
        <v>164</v>
      </c>
      <c r="B185" s="1">
        <f t="shared" si="49"/>
        <v>150</v>
      </c>
      <c r="C185" s="1">
        <f t="shared" si="48"/>
        <v>24150</v>
      </c>
      <c r="D185" s="1">
        <f t="shared" si="34"/>
        <v>100</v>
      </c>
      <c r="E185" s="1">
        <f t="shared" si="44"/>
        <v>100</v>
      </c>
      <c r="F185" s="1">
        <f t="shared" ca="1" si="45"/>
        <v>100</v>
      </c>
      <c r="G185" s="1">
        <f t="shared" ca="1" si="35"/>
        <v>399.99999999999994</v>
      </c>
      <c r="H185" s="1">
        <f t="shared" si="46"/>
        <v>4</v>
      </c>
      <c r="I185" s="1">
        <f t="shared" si="36"/>
        <v>400</v>
      </c>
      <c r="K185" s="1">
        <f t="shared" si="37"/>
        <v>100</v>
      </c>
      <c r="L185" s="1">
        <f t="shared" si="38"/>
        <v>0</v>
      </c>
      <c r="N185" s="1">
        <f t="shared" si="39"/>
        <v>100</v>
      </c>
      <c r="O185" s="1">
        <f t="shared" si="40"/>
        <v>0</v>
      </c>
      <c r="P185" s="1">
        <f t="shared" ca="1" si="41"/>
        <v>100</v>
      </c>
      <c r="Q185" s="1">
        <f t="shared" si="42"/>
        <v>4</v>
      </c>
      <c r="R185" s="1">
        <f t="shared" si="43"/>
        <v>0</v>
      </c>
    </row>
    <row r="186" spans="1:18" x14ac:dyDescent="0.25">
      <c r="A186" s="21">
        <f t="shared" si="47"/>
        <v>165</v>
      </c>
      <c r="B186" s="1">
        <f t="shared" si="49"/>
        <v>150</v>
      </c>
      <c r="C186" s="1">
        <f t="shared" si="48"/>
        <v>24300</v>
      </c>
      <c r="D186" s="1">
        <f t="shared" si="34"/>
        <v>100</v>
      </c>
      <c r="E186" s="1">
        <f t="shared" si="44"/>
        <v>100</v>
      </c>
      <c r="F186" s="1">
        <f t="shared" ca="1" si="45"/>
        <v>100</v>
      </c>
      <c r="G186" s="1">
        <f t="shared" ca="1" si="35"/>
        <v>399.99999999999994</v>
      </c>
      <c r="H186" s="1">
        <f t="shared" si="46"/>
        <v>4</v>
      </c>
      <c r="I186" s="1">
        <f t="shared" si="36"/>
        <v>400</v>
      </c>
      <c r="K186" s="1">
        <f t="shared" si="37"/>
        <v>100</v>
      </c>
      <c r="L186" s="1">
        <f t="shared" si="38"/>
        <v>0</v>
      </c>
      <c r="N186" s="1">
        <f t="shared" si="39"/>
        <v>100</v>
      </c>
      <c r="O186" s="1">
        <f t="shared" si="40"/>
        <v>0</v>
      </c>
      <c r="P186" s="1">
        <f t="shared" ca="1" si="41"/>
        <v>100</v>
      </c>
      <c r="Q186" s="1">
        <f t="shared" si="42"/>
        <v>4</v>
      </c>
      <c r="R186" s="1">
        <f t="shared" si="43"/>
        <v>0</v>
      </c>
    </row>
    <row r="187" spans="1:18" x14ac:dyDescent="0.25">
      <c r="A187" s="21">
        <f t="shared" si="47"/>
        <v>166</v>
      </c>
      <c r="B187" s="1">
        <f t="shared" si="49"/>
        <v>150</v>
      </c>
      <c r="C187" s="1">
        <f t="shared" si="48"/>
        <v>24450</v>
      </c>
      <c r="D187" s="1">
        <f t="shared" si="34"/>
        <v>100</v>
      </c>
      <c r="E187" s="1">
        <f t="shared" si="44"/>
        <v>100</v>
      </c>
      <c r="F187" s="1">
        <f t="shared" ca="1" si="45"/>
        <v>100</v>
      </c>
      <c r="G187" s="1">
        <f t="shared" ca="1" si="35"/>
        <v>399.99999999999994</v>
      </c>
      <c r="H187" s="1">
        <f t="shared" si="46"/>
        <v>4</v>
      </c>
      <c r="I187" s="1">
        <f t="shared" si="36"/>
        <v>400</v>
      </c>
      <c r="K187" s="1">
        <f t="shared" si="37"/>
        <v>100</v>
      </c>
      <c r="L187" s="1">
        <f t="shared" si="38"/>
        <v>0</v>
      </c>
      <c r="N187" s="1">
        <f t="shared" si="39"/>
        <v>100</v>
      </c>
      <c r="O187" s="1">
        <f t="shared" si="40"/>
        <v>0</v>
      </c>
      <c r="P187" s="1">
        <f t="shared" ca="1" si="41"/>
        <v>100</v>
      </c>
      <c r="Q187" s="1">
        <f t="shared" si="42"/>
        <v>4</v>
      </c>
      <c r="R187" s="1">
        <f t="shared" si="43"/>
        <v>0</v>
      </c>
    </row>
    <row r="188" spans="1:18" x14ac:dyDescent="0.25">
      <c r="A188" s="21">
        <f t="shared" si="47"/>
        <v>167</v>
      </c>
      <c r="B188" s="1">
        <f t="shared" si="49"/>
        <v>150</v>
      </c>
      <c r="C188" s="1">
        <f t="shared" si="48"/>
        <v>24600</v>
      </c>
      <c r="D188" s="1">
        <f t="shared" si="34"/>
        <v>100</v>
      </c>
      <c r="E188" s="1">
        <f t="shared" si="44"/>
        <v>100</v>
      </c>
      <c r="F188" s="1">
        <f t="shared" ca="1" si="45"/>
        <v>100</v>
      </c>
      <c r="G188" s="1">
        <f t="shared" ca="1" si="35"/>
        <v>399.99999999999994</v>
      </c>
      <c r="H188" s="1">
        <f t="shared" si="46"/>
        <v>4</v>
      </c>
      <c r="I188" s="1">
        <f t="shared" si="36"/>
        <v>400</v>
      </c>
      <c r="K188" s="1">
        <f t="shared" si="37"/>
        <v>100</v>
      </c>
      <c r="L188" s="1">
        <f t="shared" si="38"/>
        <v>0</v>
      </c>
      <c r="N188" s="1">
        <f t="shared" si="39"/>
        <v>100</v>
      </c>
      <c r="O188" s="1">
        <f t="shared" si="40"/>
        <v>0</v>
      </c>
      <c r="P188" s="1">
        <f t="shared" ca="1" si="41"/>
        <v>100</v>
      </c>
      <c r="Q188" s="1">
        <f t="shared" si="42"/>
        <v>4</v>
      </c>
      <c r="R188" s="1">
        <f t="shared" si="43"/>
        <v>0</v>
      </c>
    </row>
    <row r="189" spans="1:18" x14ac:dyDescent="0.25">
      <c r="A189" s="21">
        <f t="shared" si="47"/>
        <v>168</v>
      </c>
      <c r="B189" s="1">
        <f t="shared" si="49"/>
        <v>150</v>
      </c>
      <c r="C189" s="1">
        <f t="shared" si="48"/>
        <v>24750</v>
      </c>
      <c r="D189" s="1">
        <f t="shared" si="34"/>
        <v>100</v>
      </c>
      <c r="E189" s="1">
        <f t="shared" si="44"/>
        <v>100</v>
      </c>
      <c r="F189" s="1">
        <f t="shared" ca="1" si="45"/>
        <v>100</v>
      </c>
      <c r="G189" s="1">
        <f t="shared" ca="1" si="35"/>
        <v>399.99999999999994</v>
      </c>
      <c r="H189" s="1">
        <f t="shared" si="46"/>
        <v>4</v>
      </c>
      <c r="I189" s="1">
        <f t="shared" si="36"/>
        <v>400</v>
      </c>
      <c r="K189" s="1">
        <f t="shared" si="37"/>
        <v>100</v>
      </c>
      <c r="L189" s="1">
        <f t="shared" si="38"/>
        <v>0</v>
      </c>
      <c r="N189" s="1">
        <f t="shared" si="39"/>
        <v>100</v>
      </c>
      <c r="O189" s="1">
        <f t="shared" si="40"/>
        <v>0</v>
      </c>
      <c r="P189" s="1">
        <f t="shared" ca="1" si="41"/>
        <v>100</v>
      </c>
      <c r="Q189" s="1">
        <f t="shared" si="42"/>
        <v>4</v>
      </c>
      <c r="R189" s="1">
        <f t="shared" si="43"/>
        <v>0</v>
      </c>
    </row>
    <row r="190" spans="1:18" x14ac:dyDescent="0.25">
      <c r="A190" s="21">
        <f t="shared" si="47"/>
        <v>169</v>
      </c>
      <c r="B190" s="1">
        <f t="shared" si="49"/>
        <v>150</v>
      </c>
      <c r="C190" s="1">
        <f t="shared" si="48"/>
        <v>24900</v>
      </c>
      <c r="D190" s="1">
        <f t="shared" si="34"/>
        <v>100</v>
      </c>
      <c r="E190" s="1">
        <f t="shared" si="44"/>
        <v>100</v>
      </c>
      <c r="F190" s="1">
        <f t="shared" ca="1" si="45"/>
        <v>100</v>
      </c>
      <c r="G190" s="1">
        <f t="shared" ca="1" si="35"/>
        <v>399.99999999999994</v>
      </c>
      <c r="H190" s="1">
        <f t="shared" si="46"/>
        <v>4</v>
      </c>
      <c r="I190" s="1">
        <f t="shared" si="36"/>
        <v>400</v>
      </c>
      <c r="K190" s="1">
        <f t="shared" si="37"/>
        <v>100</v>
      </c>
      <c r="L190" s="1">
        <f t="shared" si="38"/>
        <v>0</v>
      </c>
      <c r="N190" s="1">
        <f t="shared" si="39"/>
        <v>100</v>
      </c>
      <c r="O190" s="1">
        <f t="shared" si="40"/>
        <v>0</v>
      </c>
      <c r="P190" s="1">
        <f t="shared" ca="1" si="41"/>
        <v>100</v>
      </c>
      <c r="Q190" s="1">
        <f t="shared" si="42"/>
        <v>4</v>
      </c>
      <c r="R190" s="1">
        <f t="shared" si="43"/>
        <v>0</v>
      </c>
    </row>
    <row r="191" spans="1:18" x14ac:dyDescent="0.25">
      <c r="A191" s="21">
        <f t="shared" si="47"/>
        <v>170</v>
      </c>
      <c r="B191" s="1">
        <f t="shared" si="49"/>
        <v>150</v>
      </c>
      <c r="C191" s="1">
        <f t="shared" si="48"/>
        <v>25050</v>
      </c>
      <c r="D191" s="1">
        <f t="shared" si="34"/>
        <v>100</v>
      </c>
      <c r="E191" s="1">
        <f t="shared" si="44"/>
        <v>100</v>
      </c>
      <c r="F191" s="1">
        <f t="shared" ca="1" si="45"/>
        <v>100</v>
      </c>
      <c r="G191" s="1">
        <f t="shared" ca="1" si="35"/>
        <v>399.99999999999994</v>
      </c>
      <c r="H191" s="1">
        <f t="shared" si="46"/>
        <v>4</v>
      </c>
      <c r="I191" s="1">
        <f t="shared" si="36"/>
        <v>400</v>
      </c>
      <c r="K191" s="1">
        <f t="shared" si="37"/>
        <v>100</v>
      </c>
      <c r="L191" s="1">
        <f t="shared" si="38"/>
        <v>0</v>
      </c>
      <c r="N191" s="1">
        <f t="shared" si="39"/>
        <v>100</v>
      </c>
      <c r="O191" s="1">
        <f t="shared" si="40"/>
        <v>0</v>
      </c>
      <c r="P191" s="1">
        <f t="shared" ca="1" si="41"/>
        <v>100</v>
      </c>
      <c r="Q191" s="1">
        <f t="shared" si="42"/>
        <v>4</v>
      </c>
      <c r="R191" s="1">
        <f t="shared" si="43"/>
        <v>0</v>
      </c>
    </row>
    <row r="192" spans="1:18" x14ac:dyDescent="0.25">
      <c r="A192" s="21">
        <f t="shared" si="47"/>
        <v>171</v>
      </c>
      <c r="B192" s="1">
        <f t="shared" si="49"/>
        <v>150</v>
      </c>
      <c r="C192" s="1">
        <f t="shared" si="48"/>
        <v>25200</v>
      </c>
      <c r="D192" s="1">
        <f t="shared" si="34"/>
        <v>100</v>
      </c>
      <c r="E192" s="1">
        <f t="shared" si="44"/>
        <v>100</v>
      </c>
      <c r="F192" s="1">
        <f t="shared" ca="1" si="45"/>
        <v>100</v>
      </c>
      <c r="G192" s="1">
        <f t="shared" ca="1" si="35"/>
        <v>399.99999999999994</v>
      </c>
      <c r="H192" s="1">
        <f t="shared" si="46"/>
        <v>4</v>
      </c>
      <c r="I192" s="1">
        <f t="shared" si="36"/>
        <v>400</v>
      </c>
      <c r="K192" s="1">
        <f t="shared" si="37"/>
        <v>100</v>
      </c>
      <c r="L192" s="1">
        <f t="shared" si="38"/>
        <v>0</v>
      </c>
      <c r="N192" s="1">
        <f t="shared" si="39"/>
        <v>100</v>
      </c>
      <c r="O192" s="1">
        <f t="shared" si="40"/>
        <v>0</v>
      </c>
      <c r="P192" s="1">
        <f t="shared" ca="1" si="41"/>
        <v>100</v>
      </c>
      <c r="Q192" s="1">
        <f t="shared" si="42"/>
        <v>4</v>
      </c>
      <c r="R192" s="1">
        <f t="shared" si="43"/>
        <v>0</v>
      </c>
    </row>
    <row r="193" spans="1:18" x14ac:dyDescent="0.25">
      <c r="A193" s="21">
        <f t="shared" si="47"/>
        <v>172</v>
      </c>
      <c r="B193" s="1">
        <f t="shared" si="49"/>
        <v>150</v>
      </c>
      <c r="C193" s="1">
        <f t="shared" si="48"/>
        <v>25350</v>
      </c>
      <c r="D193" s="1">
        <f t="shared" si="34"/>
        <v>100</v>
      </c>
      <c r="E193" s="1">
        <f t="shared" si="44"/>
        <v>100</v>
      </c>
      <c r="F193" s="1">
        <f t="shared" ca="1" si="45"/>
        <v>100</v>
      </c>
      <c r="G193" s="1">
        <f t="shared" ca="1" si="35"/>
        <v>399.99999999999994</v>
      </c>
      <c r="H193" s="1">
        <f t="shared" si="46"/>
        <v>4</v>
      </c>
      <c r="I193" s="1">
        <f t="shared" si="36"/>
        <v>400</v>
      </c>
      <c r="K193" s="1">
        <f t="shared" si="37"/>
        <v>100</v>
      </c>
      <c r="L193" s="1">
        <f t="shared" si="38"/>
        <v>0</v>
      </c>
      <c r="N193" s="1">
        <f t="shared" si="39"/>
        <v>100</v>
      </c>
      <c r="O193" s="1">
        <f t="shared" si="40"/>
        <v>0</v>
      </c>
      <c r="P193" s="1">
        <f t="shared" ca="1" si="41"/>
        <v>100</v>
      </c>
      <c r="Q193" s="1">
        <f t="shared" si="42"/>
        <v>4</v>
      </c>
      <c r="R193" s="1">
        <f t="shared" si="43"/>
        <v>0</v>
      </c>
    </row>
    <row r="194" spans="1:18" x14ac:dyDescent="0.25">
      <c r="A194" s="21">
        <f t="shared" si="47"/>
        <v>173</v>
      </c>
      <c r="B194" s="1">
        <f t="shared" si="49"/>
        <v>150</v>
      </c>
      <c r="C194" s="1">
        <f t="shared" si="48"/>
        <v>25500</v>
      </c>
      <c r="D194" s="1">
        <f t="shared" si="34"/>
        <v>100</v>
      </c>
      <c r="E194" s="1">
        <f t="shared" si="44"/>
        <v>100</v>
      </c>
      <c r="F194" s="1">
        <f t="shared" ca="1" si="45"/>
        <v>100</v>
      </c>
      <c r="G194" s="1">
        <f t="shared" ca="1" si="35"/>
        <v>399.99999999999994</v>
      </c>
      <c r="H194" s="1">
        <f t="shared" si="46"/>
        <v>4</v>
      </c>
      <c r="I194" s="1">
        <f t="shared" si="36"/>
        <v>400</v>
      </c>
      <c r="K194" s="1">
        <f t="shared" si="37"/>
        <v>100</v>
      </c>
      <c r="L194" s="1">
        <f t="shared" si="38"/>
        <v>0</v>
      </c>
      <c r="N194" s="1">
        <f t="shared" si="39"/>
        <v>100</v>
      </c>
      <c r="O194" s="1">
        <f t="shared" si="40"/>
        <v>0</v>
      </c>
      <c r="P194" s="1">
        <f t="shared" ca="1" si="41"/>
        <v>100</v>
      </c>
      <c r="Q194" s="1">
        <f t="shared" si="42"/>
        <v>4</v>
      </c>
      <c r="R194" s="1">
        <f t="shared" si="43"/>
        <v>0</v>
      </c>
    </row>
    <row r="195" spans="1:18" x14ac:dyDescent="0.25">
      <c r="A195" s="21">
        <f t="shared" si="47"/>
        <v>174</v>
      </c>
      <c r="B195" s="1">
        <f t="shared" si="49"/>
        <v>150</v>
      </c>
      <c r="C195" s="1">
        <f t="shared" si="48"/>
        <v>25650</v>
      </c>
      <c r="D195" s="1">
        <f t="shared" si="34"/>
        <v>100</v>
      </c>
      <c r="E195" s="1">
        <f t="shared" si="44"/>
        <v>100</v>
      </c>
      <c r="F195" s="1">
        <f t="shared" ca="1" si="45"/>
        <v>100</v>
      </c>
      <c r="G195" s="1">
        <f t="shared" ca="1" si="35"/>
        <v>399.99999999999994</v>
      </c>
      <c r="H195" s="1">
        <f t="shared" si="46"/>
        <v>4</v>
      </c>
      <c r="I195" s="1">
        <f t="shared" si="36"/>
        <v>400</v>
      </c>
      <c r="K195" s="1">
        <f t="shared" si="37"/>
        <v>100</v>
      </c>
      <c r="L195" s="1">
        <f t="shared" si="38"/>
        <v>0</v>
      </c>
      <c r="N195" s="1">
        <f t="shared" si="39"/>
        <v>100</v>
      </c>
      <c r="O195" s="1">
        <f t="shared" si="40"/>
        <v>0</v>
      </c>
      <c r="P195" s="1">
        <f t="shared" ca="1" si="41"/>
        <v>100</v>
      </c>
      <c r="Q195" s="1">
        <f t="shared" si="42"/>
        <v>4</v>
      </c>
      <c r="R195" s="1">
        <f t="shared" si="43"/>
        <v>0</v>
      </c>
    </row>
    <row r="196" spans="1:18" x14ac:dyDescent="0.25">
      <c r="A196" s="21">
        <f t="shared" si="47"/>
        <v>175</v>
      </c>
      <c r="B196" s="1">
        <f t="shared" si="49"/>
        <v>150</v>
      </c>
      <c r="C196" s="1">
        <f t="shared" si="48"/>
        <v>25800</v>
      </c>
      <c r="D196" s="1">
        <f t="shared" si="34"/>
        <v>100</v>
      </c>
      <c r="E196" s="1">
        <f t="shared" si="44"/>
        <v>100</v>
      </c>
      <c r="F196" s="1">
        <f t="shared" ca="1" si="45"/>
        <v>100</v>
      </c>
      <c r="G196" s="1">
        <f t="shared" ca="1" si="35"/>
        <v>399.99999999999994</v>
      </c>
      <c r="H196" s="1">
        <f t="shared" si="46"/>
        <v>4</v>
      </c>
      <c r="I196" s="1">
        <f t="shared" si="36"/>
        <v>400</v>
      </c>
      <c r="K196" s="1">
        <f t="shared" si="37"/>
        <v>100</v>
      </c>
      <c r="L196" s="1">
        <f t="shared" si="38"/>
        <v>0</v>
      </c>
      <c r="N196" s="1">
        <f t="shared" si="39"/>
        <v>100</v>
      </c>
      <c r="O196" s="1">
        <f t="shared" si="40"/>
        <v>0</v>
      </c>
      <c r="P196" s="1">
        <f t="shared" ca="1" si="41"/>
        <v>100</v>
      </c>
      <c r="Q196" s="1">
        <f t="shared" si="42"/>
        <v>4</v>
      </c>
      <c r="R196" s="1">
        <f t="shared" si="43"/>
        <v>0</v>
      </c>
    </row>
    <row r="197" spans="1:18" x14ac:dyDescent="0.25">
      <c r="A197" s="21">
        <f t="shared" si="47"/>
        <v>176</v>
      </c>
      <c r="B197" s="1">
        <f t="shared" si="49"/>
        <v>150</v>
      </c>
      <c r="C197" s="1">
        <f t="shared" si="48"/>
        <v>25950</v>
      </c>
      <c r="D197" s="1">
        <f t="shared" si="34"/>
        <v>100</v>
      </c>
      <c r="E197" s="1">
        <f t="shared" si="44"/>
        <v>100</v>
      </c>
      <c r="F197" s="1">
        <f t="shared" ca="1" si="45"/>
        <v>100</v>
      </c>
      <c r="G197" s="1">
        <f t="shared" ca="1" si="35"/>
        <v>399.99999999999994</v>
      </c>
      <c r="H197" s="1">
        <f t="shared" si="46"/>
        <v>4</v>
      </c>
      <c r="I197" s="1">
        <f t="shared" si="36"/>
        <v>400</v>
      </c>
      <c r="K197" s="1">
        <f t="shared" si="37"/>
        <v>100</v>
      </c>
      <c r="L197" s="1">
        <f t="shared" si="38"/>
        <v>0</v>
      </c>
      <c r="N197" s="1">
        <f t="shared" si="39"/>
        <v>100</v>
      </c>
      <c r="O197" s="1">
        <f t="shared" si="40"/>
        <v>0</v>
      </c>
      <c r="P197" s="1">
        <f t="shared" ca="1" si="41"/>
        <v>100</v>
      </c>
      <c r="Q197" s="1">
        <f t="shared" si="42"/>
        <v>4</v>
      </c>
      <c r="R197" s="1">
        <f t="shared" si="43"/>
        <v>0</v>
      </c>
    </row>
    <row r="198" spans="1:18" x14ac:dyDescent="0.25">
      <c r="A198" s="21">
        <f t="shared" si="47"/>
        <v>177</v>
      </c>
      <c r="B198" s="1">
        <f t="shared" si="49"/>
        <v>150</v>
      </c>
      <c r="C198" s="1">
        <f t="shared" si="48"/>
        <v>26100</v>
      </c>
      <c r="D198" s="1">
        <f t="shared" si="34"/>
        <v>100</v>
      </c>
      <c r="E198" s="1">
        <f t="shared" si="44"/>
        <v>100</v>
      </c>
      <c r="F198" s="1">
        <f t="shared" ca="1" si="45"/>
        <v>100</v>
      </c>
      <c r="G198" s="1">
        <f t="shared" ca="1" si="35"/>
        <v>399.99999999999994</v>
      </c>
      <c r="H198" s="1">
        <f t="shared" si="46"/>
        <v>4</v>
      </c>
      <c r="I198" s="1">
        <f t="shared" si="36"/>
        <v>400</v>
      </c>
      <c r="K198" s="1">
        <f t="shared" si="37"/>
        <v>100</v>
      </c>
      <c r="L198" s="1">
        <f t="shared" si="38"/>
        <v>0</v>
      </c>
      <c r="N198" s="1">
        <f t="shared" si="39"/>
        <v>100</v>
      </c>
      <c r="O198" s="1">
        <f t="shared" si="40"/>
        <v>0</v>
      </c>
      <c r="P198" s="1">
        <f t="shared" ca="1" si="41"/>
        <v>100</v>
      </c>
      <c r="Q198" s="1">
        <f t="shared" si="42"/>
        <v>4</v>
      </c>
      <c r="R198" s="1">
        <f t="shared" si="43"/>
        <v>0</v>
      </c>
    </row>
    <row r="199" spans="1:18" x14ac:dyDescent="0.25">
      <c r="A199" s="21">
        <f t="shared" si="47"/>
        <v>178</v>
      </c>
      <c r="B199" s="1">
        <f t="shared" si="49"/>
        <v>150</v>
      </c>
      <c r="C199" s="1">
        <f t="shared" si="48"/>
        <v>26250</v>
      </c>
      <c r="D199" s="1">
        <f t="shared" si="34"/>
        <v>100</v>
      </c>
      <c r="E199" s="1">
        <f t="shared" si="44"/>
        <v>100</v>
      </c>
      <c r="F199" s="1">
        <f t="shared" ca="1" si="45"/>
        <v>100</v>
      </c>
      <c r="G199" s="1">
        <f t="shared" ca="1" si="35"/>
        <v>399.99999999999994</v>
      </c>
      <c r="H199" s="1">
        <f t="shared" si="46"/>
        <v>4</v>
      </c>
      <c r="I199" s="1">
        <f t="shared" si="36"/>
        <v>400</v>
      </c>
      <c r="K199" s="1">
        <f t="shared" si="37"/>
        <v>100</v>
      </c>
      <c r="L199" s="1">
        <f t="shared" si="38"/>
        <v>0</v>
      </c>
      <c r="N199" s="1">
        <f t="shared" si="39"/>
        <v>100</v>
      </c>
      <c r="O199" s="1">
        <f t="shared" si="40"/>
        <v>0</v>
      </c>
      <c r="P199" s="1">
        <f t="shared" ca="1" si="41"/>
        <v>100</v>
      </c>
      <c r="Q199" s="1">
        <f t="shared" si="42"/>
        <v>4</v>
      </c>
      <c r="R199" s="1">
        <f t="shared" si="43"/>
        <v>0</v>
      </c>
    </row>
    <row r="200" spans="1:18" x14ac:dyDescent="0.25">
      <c r="A200" s="21">
        <f t="shared" si="47"/>
        <v>179</v>
      </c>
      <c r="B200" s="1">
        <f t="shared" si="49"/>
        <v>150</v>
      </c>
      <c r="C200" s="1">
        <f t="shared" si="48"/>
        <v>26400</v>
      </c>
      <c r="D200" s="1">
        <f t="shared" si="34"/>
        <v>100</v>
      </c>
      <c r="E200" s="1">
        <f t="shared" si="44"/>
        <v>100</v>
      </c>
      <c r="F200" s="1">
        <f t="shared" ca="1" si="45"/>
        <v>100</v>
      </c>
      <c r="G200" s="1">
        <f t="shared" ca="1" si="35"/>
        <v>399.99999999999994</v>
      </c>
      <c r="H200" s="1">
        <f t="shared" si="46"/>
        <v>4</v>
      </c>
      <c r="I200" s="1">
        <f t="shared" si="36"/>
        <v>400</v>
      </c>
      <c r="K200" s="1">
        <f t="shared" si="37"/>
        <v>100</v>
      </c>
      <c r="L200" s="1">
        <f t="shared" si="38"/>
        <v>0</v>
      </c>
      <c r="N200" s="1">
        <f t="shared" si="39"/>
        <v>100</v>
      </c>
      <c r="O200" s="1">
        <f t="shared" si="40"/>
        <v>0</v>
      </c>
      <c r="P200" s="1">
        <f t="shared" ca="1" si="41"/>
        <v>100</v>
      </c>
      <c r="Q200" s="1">
        <f t="shared" si="42"/>
        <v>4</v>
      </c>
      <c r="R200" s="1">
        <f t="shared" si="43"/>
        <v>0</v>
      </c>
    </row>
    <row r="201" spans="1:18" x14ac:dyDescent="0.25">
      <c r="A201" s="21">
        <f t="shared" si="47"/>
        <v>180</v>
      </c>
      <c r="B201" s="1">
        <f t="shared" si="49"/>
        <v>150</v>
      </c>
      <c r="C201" s="1">
        <f t="shared" si="48"/>
        <v>26550</v>
      </c>
      <c r="D201" s="1">
        <f t="shared" si="34"/>
        <v>100</v>
      </c>
      <c r="E201" s="1">
        <f t="shared" si="44"/>
        <v>100</v>
      </c>
      <c r="F201" s="1">
        <f t="shared" ca="1" si="45"/>
        <v>100</v>
      </c>
      <c r="G201" s="1">
        <f t="shared" ca="1" si="35"/>
        <v>399.99999999999994</v>
      </c>
      <c r="H201" s="1">
        <f t="shared" si="46"/>
        <v>4</v>
      </c>
      <c r="I201" s="1">
        <f t="shared" si="36"/>
        <v>400</v>
      </c>
      <c r="K201" s="1">
        <f t="shared" si="37"/>
        <v>100</v>
      </c>
      <c r="L201" s="1">
        <f t="shared" si="38"/>
        <v>0</v>
      </c>
      <c r="N201" s="1">
        <f t="shared" si="39"/>
        <v>100</v>
      </c>
      <c r="O201" s="1">
        <f t="shared" si="40"/>
        <v>0</v>
      </c>
      <c r="P201" s="1">
        <f t="shared" ca="1" si="41"/>
        <v>100</v>
      </c>
      <c r="Q201" s="1">
        <f t="shared" si="42"/>
        <v>4</v>
      </c>
      <c r="R201" s="1">
        <f t="shared" si="43"/>
        <v>0</v>
      </c>
    </row>
    <row r="202" spans="1:18" x14ac:dyDescent="0.25">
      <c r="A202" s="21">
        <f t="shared" si="47"/>
        <v>181</v>
      </c>
      <c r="B202" s="1">
        <f t="shared" si="49"/>
        <v>150</v>
      </c>
      <c r="C202" s="1">
        <f t="shared" si="48"/>
        <v>26700</v>
      </c>
      <c r="D202" s="1">
        <f t="shared" si="34"/>
        <v>100</v>
      </c>
      <c r="E202" s="1">
        <f t="shared" si="44"/>
        <v>100</v>
      </c>
      <c r="F202" s="1">
        <f t="shared" ca="1" si="45"/>
        <v>100</v>
      </c>
      <c r="G202" s="1">
        <f t="shared" ca="1" si="35"/>
        <v>399.99999999999994</v>
      </c>
      <c r="H202" s="1">
        <f t="shared" si="46"/>
        <v>4</v>
      </c>
      <c r="I202" s="1">
        <f t="shared" si="36"/>
        <v>400</v>
      </c>
      <c r="K202" s="1">
        <f t="shared" si="37"/>
        <v>100</v>
      </c>
      <c r="L202" s="1">
        <f t="shared" si="38"/>
        <v>0</v>
      </c>
      <c r="N202" s="1">
        <f t="shared" si="39"/>
        <v>100</v>
      </c>
      <c r="O202" s="1">
        <f t="shared" si="40"/>
        <v>0</v>
      </c>
      <c r="P202" s="1">
        <f t="shared" ca="1" si="41"/>
        <v>100</v>
      </c>
      <c r="Q202" s="1">
        <f t="shared" si="42"/>
        <v>4</v>
      </c>
      <c r="R202" s="1">
        <f t="shared" si="43"/>
        <v>0</v>
      </c>
    </row>
    <row r="203" spans="1:18" x14ac:dyDescent="0.25">
      <c r="A203" s="21">
        <f t="shared" si="47"/>
        <v>182</v>
      </c>
      <c r="B203" s="1">
        <f t="shared" si="49"/>
        <v>150</v>
      </c>
      <c r="C203" s="1">
        <f t="shared" si="48"/>
        <v>26850</v>
      </c>
      <c r="D203" s="1">
        <f t="shared" si="34"/>
        <v>100</v>
      </c>
      <c r="E203" s="1">
        <f t="shared" si="44"/>
        <v>100</v>
      </c>
      <c r="F203" s="1">
        <f t="shared" ca="1" si="45"/>
        <v>100</v>
      </c>
      <c r="G203" s="1">
        <f t="shared" ca="1" si="35"/>
        <v>399.99999999999994</v>
      </c>
      <c r="H203" s="1">
        <f t="shared" si="46"/>
        <v>4</v>
      </c>
      <c r="I203" s="1">
        <f t="shared" si="36"/>
        <v>400</v>
      </c>
      <c r="K203" s="1">
        <f t="shared" si="37"/>
        <v>100</v>
      </c>
      <c r="L203" s="1">
        <f t="shared" si="38"/>
        <v>0</v>
      </c>
      <c r="N203" s="1">
        <f t="shared" si="39"/>
        <v>100</v>
      </c>
      <c r="O203" s="1">
        <f t="shared" si="40"/>
        <v>0</v>
      </c>
      <c r="P203" s="1">
        <f t="shared" ca="1" si="41"/>
        <v>100</v>
      </c>
      <c r="Q203" s="1">
        <f t="shared" si="42"/>
        <v>4</v>
      </c>
      <c r="R203" s="1">
        <f t="shared" si="43"/>
        <v>0</v>
      </c>
    </row>
    <row r="204" spans="1:18" x14ac:dyDescent="0.25">
      <c r="A204" s="21">
        <f t="shared" si="47"/>
        <v>183</v>
      </c>
      <c r="B204" s="1">
        <f t="shared" si="49"/>
        <v>150</v>
      </c>
      <c r="C204" s="1">
        <f t="shared" si="48"/>
        <v>27000</v>
      </c>
      <c r="D204" s="1">
        <f t="shared" si="34"/>
        <v>100</v>
      </c>
      <c r="E204" s="1">
        <f t="shared" si="44"/>
        <v>100</v>
      </c>
      <c r="F204" s="1">
        <f t="shared" ca="1" si="45"/>
        <v>100</v>
      </c>
      <c r="G204" s="1">
        <f t="shared" ca="1" si="35"/>
        <v>399.99999999999994</v>
      </c>
      <c r="H204" s="1">
        <f t="shared" si="46"/>
        <v>4</v>
      </c>
      <c r="I204" s="1">
        <f t="shared" si="36"/>
        <v>400</v>
      </c>
      <c r="K204" s="1">
        <f t="shared" si="37"/>
        <v>100</v>
      </c>
      <c r="L204" s="1">
        <f t="shared" si="38"/>
        <v>0</v>
      </c>
      <c r="N204" s="1">
        <f t="shared" si="39"/>
        <v>100</v>
      </c>
      <c r="O204" s="1">
        <f t="shared" si="40"/>
        <v>0</v>
      </c>
      <c r="P204" s="1">
        <f t="shared" ca="1" si="41"/>
        <v>100</v>
      </c>
      <c r="Q204" s="1">
        <f t="shared" si="42"/>
        <v>4</v>
      </c>
      <c r="R204" s="1">
        <f t="shared" si="43"/>
        <v>0</v>
      </c>
    </row>
    <row r="205" spans="1:18" x14ac:dyDescent="0.25">
      <c r="A205" s="21">
        <f t="shared" si="47"/>
        <v>184</v>
      </c>
      <c r="B205" s="1">
        <f t="shared" si="49"/>
        <v>150</v>
      </c>
      <c r="C205" s="1">
        <f t="shared" si="48"/>
        <v>27150</v>
      </c>
      <c r="D205" s="1">
        <f t="shared" si="34"/>
        <v>100</v>
      </c>
      <c r="E205" s="1">
        <f t="shared" si="44"/>
        <v>100</v>
      </c>
      <c r="F205" s="1">
        <f t="shared" ca="1" si="45"/>
        <v>100</v>
      </c>
      <c r="G205" s="1">
        <f t="shared" ca="1" si="35"/>
        <v>399.99999999999994</v>
      </c>
      <c r="H205" s="1">
        <f t="shared" si="46"/>
        <v>4</v>
      </c>
      <c r="I205" s="1">
        <f t="shared" si="36"/>
        <v>400</v>
      </c>
      <c r="K205" s="1">
        <f t="shared" si="37"/>
        <v>100</v>
      </c>
      <c r="L205" s="1">
        <f t="shared" si="38"/>
        <v>0</v>
      </c>
      <c r="N205" s="1">
        <f t="shared" si="39"/>
        <v>100</v>
      </c>
      <c r="O205" s="1">
        <f t="shared" si="40"/>
        <v>0</v>
      </c>
      <c r="P205" s="1">
        <f t="shared" ca="1" si="41"/>
        <v>100</v>
      </c>
      <c r="Q205" s="1">
        <f t="shared" si="42"/>
        <v>4</v>
      </c>
      <c r="R205" s="1">
        <f t="shared" si="43"/>
        <v>0</v>
      </c>
    </row>
    <row r="206" spans="1:18" x14ac:dyDescent="0.25">
      <c r="A206" s="21">
        <f t="shared" si="47"/>
        <v>185</v>
      </c>
      <c r="B206" s="1">
        <f t="shared" si="49"/>
        <v>150</v>
      </c>
      <c r="C206" s="1">
        <f t="shared" si="48"/>
        <v>27300</v>
      </c>
      <c r="D206" s="1">
        <f t="shared" si="34"/>
        <v>100</v>
      </c>
      <c r="E206" s="1">
        <f t="shared" si="44"/>
        <v>100</v>
      </c>
      <c r="F206" s="1">
        <f t="shared" ca="1" si="45"/>
        <v>100</v>
      </c>
      <c r="G206" s="1">
        <f t="shared" ca="1" si="35"/>
        <v>399.99999999999994</v>
      </c>
      <c r="H206" s="1">
        <f t="shared" si="46"/>
        <v>4</v>
      </c>
      <c r="I206" s="1">
        <f t="shared" si="36"/>
        <v>400</v>
      </c>
      <c r="K206" s="1">
        <f t="shared" si="37"/>
        <v>100</v>
      </c>
      <c r="L206" s="1">
        <f t="shared" si="38"/>
        <v>0</v>
      </c>
      <c r="N206" s="1">
        <f t="shared" si="39"/>
        <v>100</v>
      </c>
      <c r="O206" s="1">
        <f t="shared" si="40"/>
        <v>0</v>
      </c>
      <c r="P206" s="1">
        <f t="shared" ca="1" si="41"/>
        <v>100</v>
      </c>
      <c r="Q206" s="1">
        <f t="shared" si="42"/>
        <v>4</v>
      </c>
      <c r="R206" s="1">
        <f t="shared" si="43"/>
        <v>0</v>
      </c>
    </row>
    <row r="207" spans="1:18" x14ac:dyDescent="0.25">
      <c r="A207" s="21">
        <f t="shared" si="47"/>
        <v>186</v>
      </c>
      <c r="B207" s="1">
        <f t="shared" si="49"/>
        <v>150</v>
      </c>
      <c r="C207" s="1">
        <f t="shared" si="48"/>
        <v>27450</v>
      </c>
      <c r="D207" s="1">
        <f t="shared" si="34"/>
        <v>100</v>
      </c>
      <c r="E207" s="1">
        <f t="shared" si="44"/>
        <v>100</v>
      </c>
      <c r="F207" s="1">
        <f t="shared" ca="1" si="45"/>
        <v>100</v>
      </c>
      <c r="G207" s="1">
        <f t="shared" ca="1" si="35"/>
        <v>399.99999999999994</v>
      </c>
      <c r="H207" s="1">
        <f t="shared" si="46"/>
        <v>4</v>
      </c>
      <c r="I207" s="1">
        <f t="shared" si="36"/>
        <v>400</v>
      </c>
      <c r="K207" s="1">
        <f t="shared" si="37"/>
        <v>100</v>
      </c>
      <c r="L207" s="1">
        <f t="shared" si="38"/>
        <v>0</v>
      </c>
      <c r="N207" s="1">
        <f t="shared" si="39"/>
        <v>100</v>
      </c>
      <c r="O207" s="1">
        <f t="shared" si="40"/>
        <v>0</v>
      </c>
      <c r="P207" s="1">
        <f t="shared" ca="1" si="41"/>
        <v>100</v>
      </c>
      <c r="Q207" s="1">
        <f t="shared" si="42"/>
        <v>4</v>
      </c>
      <c r="R207" s="1">
        <f t="shared" si="43"/>
        <v>0</v>
      </c>
    </row>
    <row r="208" spans="1:18" x14ac:dyDescent="0.25">
      <c r="A208" s="21">
        <f t="shared" si="47"/>
        <v>187</v>
      </c>
      <c r="B208" s="1">
        <f t="shared" si="49"/>
        <v>150</v>
      </c>
      <c r="C208" s="1">
        <f t="shared" si="48"/>
        <v>27600</v>
      </c>
      <c r="D208" s="1">
        <f t="shared" si="34"/>
        <v>100</v>
      </c>
      <c r="E208" s="1">
        <f t="shared" si="44"/>
        <v>100</v>
      </c>
      <c r="F208" s="1">
        <f t="shared" ca="1" si="45"/>
        <v>100</v>
      </c>
      <c r="G208" s="1">
        <f t="shared" ca="1" si="35"/>
        <v>399.99999999999994</v>
      </c>
      <c r="H208" s="1">
        <f t="shared" si="46"/>
        <v>4</v>
      </c>
      <c r="I208" s="1">
        <f t="shared" si="36"/>
        <v>400</v>
      </c>
      <c r="K208" s="1">
        <f t="shared" si="37"/>
        <v>100</v>
      </c>
      <c r="L208" s="1">
        <f t="shared" si="38"/>
        <v>0</v>
      </c>
      <c r="N208" s="1">
        <f t="shared" si="39"/>
        <v>100</v>
      </c>
      <c r="O208" s="1">
        <f t="shared" si="40"/>
        <v>0</v>
      </c>
      <c r="P208" s="1">
        <f t="shared" ca="1" si="41"/>
        <v>100</v>
      </c>
      <c r="Q208" s="1">
        <f t="shared" si="42"/>
        <v>4</v>
      </c>
      <c r="R208" s="1">
        <f t="shared" si="43"/>
        <v>0</v>
      </c>
    </row>
    <row r="209" spans="1:18" x14ac:dyDescent="0.25">
      <c r="A209" s="21">
        <f t="shared" si="47"/>
        <v>188</v>
      </c>
      <c r="B209" s="1">
        <f t="shared" si="49"/>
        <v>150</v>
      </c>
      <c r="C209" s="1">
        <f t="shared" si="48"/>
        <v>27750</v>
      </c>
      <c r="D209" s="1">
        <f t="shared" si="34"/>
        <v>100</v>
      </c>
      <c r="E209" s="1">
        <f t="shared" si="44"/>
        <v>100</v>
      </c>
      <c r="F209" s="1">
        <f t="shared" ca="1" si="45"/>
        <v>100</v>
      </c>
      <c r="G209" s="1">
        <f t="shared" ca="1" si="35"/>
        <v>399.99999999999994</v>
      </c>
      <c r="H209" s="1">
        <f t="shared" si="46"/>
        <v>4</v>
      </c>
      <c r="I209" s="1">
        <f t="shared" si="36"/>
        <v>400</v>
      </c>
      <c r="K209" s="1">
        <f t="shared" si="37"/>
        <v>100</v>
      </c>
      <c r="L209" s="1">
        <f t="shared" si="38"/>
        <v>0</v>
      </c>
      <c r="N209" s="1">
        <f t="shared" si="39"/>
        <v>100</v>
      </c>
      <c r="O209" s="1">
        <f t="shared" si="40"/>
        <v>0</v>
      </c>
      <c r="P209" s="1">
        <f t="shared" ca="1" si="41"/>
        <v>100</v>
      </c>
      <c r="Q209" s="1">
        <f t="shared" si="42"/>
        <v>4</v>
      </c>
      <c r="R209" s="1">
        <f t="shared" si="43"/>
        <v>0</v>
      </c>
    </row>
    <row r="210" spans="1:18" x14ac:dyDescent="0.25">
      <c r="A210" s="21">
        <f t="shared" si="47"/>
        <v>189</v>
      </c>
      <c r="B210" s="1">
        <f t="shared" si="49"/>
        <v>150</v>
      </c>
      <c r="C210" s="1">
        <f t="shared" si="48"/>
        <v>27900</v>
      </c>
      <c r="D210" s="1">
        <f t="shared" si="34"/>
        <v>100</v>
      </c>
      <c r="E210" s="1">
        <f t="shared" si="44"/>
        <v>100</v>
      </c>
      <c r="F210" s="1">
        <f t="shared" ca="1" si="45"/>
        <v>100</v>
      </c>
      <c r="G210" s="1">
        <f t="shared" ca="1" si="35"/>
        <v>399.99999999999994</v>
      </c>
      <c r="H210" s="1">
        <f t="shared" si="46"/>
        <v>4</v>
      </c>
      <c r="I210" s="1">
        <f t="shared" si="36"/>
        <v>400</v>
      </c>
      <c r="K210" s="1">
        <f t="shared" si="37"/>
        <v>100</v>
      </c>
      <c r="L210" s="1">
        <f t="shared" si="38"/>
        <v>0</v>
      </c>
      <c r="N210" s="1">
        <f t="shared" si="39"/>
        <v>100</v>
      </c>
      <c r="O210" s="1">
        <f t="shared" si="40"/>
        <v>0</v>
      </c>
      <c r="P210" s="1">
        <f t="shared" ca="1" si="41"/>
        <v>100</v>
      </c>
      <c r="Q210" s="1">
        <f t="shared" si="42"/>
        <v>4</v>
      </c>
      <c r="R210" s="1">
        <f t="shared" si="43"/>
        <v>0</v>
      </c>
    </row>
    <row r="211" spans="1:18" x14ac:dyDescent="0.25">
      <c r="A211" s="21">
        <f t="shared" si="47"/>
        <v>190</v>
      </c>
      <c r="B211" s="1">
        <f t="shared" si="49"/>
        <v>150</v>
      </c>
      <c r="C211" s="1">
        <f t="shared" si="48"/>
        <v>28050</v>
      </c>
      <c r="D211" s="1">
        <f t="shared" si="34"/>
        <v>100</v>
      </c>
      <c r="E211" s="1">
        <f t="shared" si="44"/>
        <v>100</v>
      </c>
      <c r="F211" s="1">
        <f t="shared" ca="1" si="45"/>
        <v>100</v>
      </c>
      <c r="G211" s="1">
        <f t="shared" ca="1" si="35"/>
        <v>399.99999999999994</v>
      </c>
      <c r="H211" s="1">
        <f t="shared" si="46"/>
        <v>4</v>
      </c>
      <c r="I211" s="1">
        <f t="shared" si="36"/>
        <v>400</v>
      </c>
      <c r="K211" s="1">
        <f t="shared" si="37"/>
        <v>100</v>
      </c>
      <c r="L211" s="1">
        <f t="shared" si="38"/>
        <v>0</v>
      </c>
      <c r="N211" s="1">
        <f t="shared" si="39"/>
        <v>100</v>
      </c>
      <c r="O211" s="1">
        <f t="shared" si="40"/>
        <v>0</v>
      </c>
      <c r="P211" s="1">
        <f t="shared" ca="1" si="41"/>
        <v>100</v>
      </c>
      <c r="Q211" s="1">
        <f t="shared" si="42"/>
        <v>4</v>
      </c>
      <c r="R211" s="1">
        <f t="shared" si="43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1"/>
  <sheetViews>
    <sheetView workbookViewId="0">
      <selection activeCell="V29" sqref="V29"/>
    </sheetView>
  </sheetViews>
  <sheetFormatPr defaultRowHeight="15" x14ac:dyDescent="0.25"/>
  <cols>
    <col min="1" max="1" width="9.140625" style="21"/>
    <col min="3" max="3" width="9.140625" style="1"/>
    <col min="6" max="6" width="9.140625" style="1"/>
    <col min="7" max="7" width="11.140625" style="1" customWidth="1"/>
    <col min="8" max="8" width="9.140625" style="1"/>
    <col min="19" max="19" width="11.42578125" customWidth="1"/>
    <col min="20" max="20" width="11.85546875" customWidth="1"/>
    <col min="21" max="21" width="11.7109375" customWidth="1"/>
    <col min="23" max="23" width="11.28515625" customWidth="1"/>
  </cols>
  <sheetData>
    <row r="1" spans="1:23" x14ac:dyDescent="0.25">
      <c r="A1" s="21" t="s">
        <v>23</v>
      </c>
    </row>
    <row r="2" spans="1:23" x14ac:dyDescent="0.25">
      <c r="A2" s="21" t="s">
        <v>44</v>
      </c>
    </row>
    <row r="3" spans="1:23" x14ac:dyDescent="0.25">
      <c r="A3" s="21" t="s">
        <v>45</v>
      </c>
    </row>
    <row r="4" spans="1:23" x14ac:dyDescent="0.25">
      <c r="A4" s="22" t="s">
        <v>24</v>
      </c>
      <c r="B4" s="14"/>
      <c r="C4" s="15"/>
      <c r="D4" s="14"/>
      <c r="E4" s="14"/>
    </row>
    <row r="5" spans="1:23" x14ac:dyDescent="0.25">
      <c r="A5" s="21" t="s">
        <v>46</v>
      </c>
    </row>
    <row r="6" spans="1:23" x14ac:dyDescent="0.25">
      <c r="A6" s="23" t="s">
        <v>29</v>
      </c>
      <c r="B6" s="19"/>
      <c r="C6" s="20"/>
      <c r="D6" s="19"/>
    </row>
    <row r="7" spans="1:23" x14ac:dyDescent="0.25">
      <c r="A7" s="21" t="s">
        <v>31</v>
      </c>
    </row>
    <row r="8" spans="1:23" x14ac:dyDescent="0.25">
      <c r="A8" s="21" t="s">
        <v>27</v>
      </c>
    </row>
    <row r="9" spans="1:23" x14ac:dyDescent="0.25">
      <c r="A9" s="21" t="s">
        <v>35</v>
      </c>
    </row>
    <row r="11" spans="1:23" x14ac:dyDescent="0.25">
      <c r="B11" t="s">
        <v>4</v>
      </c>
      <c r="C11" s="15">
        <v>0.2</v>
      </c>
      <c r="L11" t="s">
        <v>7</v>
      </c>
      <c r="M11" s="14">
        <v>150</v>
      </c>
      <c r="Q11" s="26"/>
      <c r="R11" s="26"/>
      <c r="S11" s="26"/>
      <c r="T11" s="26"/>
      <c r="U11" s="26"/>
      <c r="V11" s="26"/>
      <c r="W11" s="26"/>
    </row>
    <row r="12" spans="1:23" x14ac:dyDescent="0.25">
      <c r="B12" t="s">
        <v>38</v>
      </c>
      <c r="C12" s="15">
        <v>100</v>
      </c>
      <c r="K12" t="s">
        <v>19</v>
      </c>
      <c r="L12" t="s">
        <v>47</v>
      </c>
      <c r="M12" s="14">
        <v>4</v>
      </c>
      <c r="Q12" s="26"/>
      <c r="R12" s="26"/>
      <c r="S12" s="26"/>
      <c r="T12" s="26"/>
      <c r="U12" s="26"/>
      <c r="V12" s="26"/>
      <c r="W12" s="26"/>
    </row>
    <row r="13" spans="1:23" x14ac:dyDescent="0.25">
      <c r="Q13" s="26"/>
      <c r="R13" s="26"/>
      <c r="S13" s="26"/>
      <c r="T13" s="26"/>
      <c r="U13" s="26"/>
      <c r="V13" s="26"/>
      <c r="W13" s="26"/>
    </row>
    <row r="14" spans="1:23" x14ac:dyDescent="0.25">
      <c r="C14" s="1" t="s">
        <v>16</v>
      </c>
      <c r="E14" s="20">
        <f ca="1">G14-G15</f>
        <v>350</v>
      </c>
      <c r="F14" t="s">
        <v>13</v>
      </c>
      <c r="G14" s="1">
        <f ca="1">MAX(E22:E211)</f>
        <v>550</v>
      </c>
      <c r="Q14" s="26"/>
      <c r="R14" s="27"/>
      <c r="S14" s="28"/>
      <c r="T14" s="28"/>
      <c r="U14" s="28"/>
      <c r="V14" s="28"/>
      <c r="W14" s="26"/>
    </row>
    <row r="15" spans="1:23" x14ac:dyDescent="0.25">
      <c r="F15" t="s">
        <v>14</v>
      </c>
      <c r="G15" s="1">
        <f ca="1">MIN(E22:E211)</f>
        <v>200</v>
      </c>
      <c r="Q15" s="26"/>
      <c r="R15" s="27"/>
      <c r="S15" s="27"/>
      <c r="T15" s="27"/>
      <c r="U15" s="27"/>
      <c r="V15" s="27"/>
      <c r="W15" s="26"/>
    </row>
    <row r="16" spans="1:23" x14ac:dyDescent="0.25">
      <c r="C16" s="1" t="s">
        <v>15</v>
      </c>
      <c r="E16" s="20">
        <f>MAX(J22:J211)-MIN(J22:J211)</f>
        <v>128.05244310589887</v>
      </c>
      <c r="J16" s="1"/>
      <c r="Q16" s="26"/>
      <c r="R16" s="27"/>
      <c r="S16" s="27"/>
      <c r="T16" s="27"/>
      <c r="U16" s="27"/>
      <c r="V16" s="27"/>
      <c r="W16" s="26"/>
    </row>
    <row r="17" spans="1:23" x14ac:dyDescent="0.25">
      <c r="Q17" s="26"/>
      <c r="R17" s="27"/>
      <c r="S17" s="27"/>
      <c r="T17" s="27"/>
      <c r="U17" s="27"/>
      <c r="V17" s="27"/>
      <c r="W17" s="26"/>
    </row>
    <row r="18" spans="1:23" x14ac:dyDescent="0.25">
      <c r="Q18" s="26"/>
      <c r="R18" s="27"/>
      <c r="S18" s="27"/>
      <c r="T18" s="27"/>
      <c r="U18" s="27"/>
      <c r="V18" s="27"/>
      <c r="W18" s="26"/>
    </row>
    <row r="19" spans="1:23" x14ac:dyDescent="0.25">
      <c r="C19" s="1" t="s">
        <v>0</v>
      </c>
      <c r="D19" t="s">
        <v>5</v>
      </c>
      <c r="E19" t="s">
        <v>5</v>
      </c>
      <c r="F19" s="1" t="s">
        <v>3</v>
      </c>
      <c r="G19" s="1" t="s">
        <v>40</v>
      </c>
      <c r="H19" s="1" t="s">
        <v>48</v>
      </c>
      <c r="N19" t="s">
        <v>49</v>
      </c>
      <c r="Q19" s="26"/>
      <c r="R19" s="27"/>
      <c r="S19" s="27"/>
      <c r="T19" s="27"/>
      <c r="U19" s="27"/>
      <c r="V19" s="27"/>
      <c r="W19" s="26"/>
    </row>
    <row r="20" spans="1:23" x14ac:dyDescent="0.25">
      <c r="A20" s="21" t="s">
        <v>28</v>
      </c>
      <c r="B20" t="s">
        <v>0</v>
      </c>
      <c r="C20" s="1" t="s">
        <v>1</v>
      </c>
      <c r="D20" t="s">
        <v>6</v>
      </c>
      <c r="F20" s="1" t="s">
        <v>1</v>
      </c>
      <c r="H20" s="1" t="s">
        <v>50</v>
      </c>
      <c r="J20" t="s">
        <v>2</v>
      </c>
      <c r="M20" t="s">
        <v>8</v>
      </c>
      <c r="N20" t="s">
        <v>9</v>
      </c>
      <c r="O20" t="s">
        <v>10</v>
      </c>
      <c r="P20" t="s">
        <v>11</v>
      </c>
      <c r="Q20" s="26"/>
      <c r="R20" s="27"/>
      <c r="S20" s="27"/>
      <c r="T20" s="27"/>
      <c r="U20" s="27"/>
      <c r="V20" s="27"/>
      <c r="W20" s="26"/>
    </row>
    <row r="21" spans="1:23" x14ac:dyDescent="0.25">
      <c r="C21" s="1">
        <f>C12</f>
        <v>100</v>
      </c>
      <c r="E21">
        <f>M12*C12</f>
        <v>400</v>
      </c>
      <c r="F21" s="1">
        <f>M12</f>
        <v>4</v>
      </c>
      <c r="G21" s="1">
        <f>C21*F21</f>
        <v>400</v>
      </c>
      <c r="H21" s="1">
        <f>G21</f>
        <v>400</v>
      </c>
      <c r="N21">
        <v>0</v>
      </c>
      <c r="P21" s="1">
        <f>M12</f>
        <v>4</v>
      </c>
      <c r="Q21" s="26"/>
      <c r="R21" s="27"/>
      <c r="S21" s="27"/>
      <c r="T21" s="27"/>
      <c r="U21" s="27"/>
      <c r="V21" s="27"/>
      <c r="W21" s="26"/>
    </row>
    <row r="22" spans="1:23" x14ac:dyDescent="0.25">
      <c r="A22" s="21">
        <f>1</f>
        <v>1</v>
      </c>
      <c r="B22" s="1">
        <f t="shared" ref="B22:B30" si="0">C$12</f>
        <v>100</v>
      </c>
      <c r="C22" s="1">
        <f>C$11*B22+(1-C$11)*C21</f>
        <v>100</v>
      </c>
      <c r="D22" s="1">
        <f ca="1">O22</f>
        <v>100</v>
      </c>
      <c r="E22" s="1">
        <f ca="1">E21+D22-B22</f>
        <v>400</v>
      </c>
      <c r="F22" s="1">
        <f>P21</f>
        <v>4</v>
      </c>
      <c r="G22" s="1">
        <f t="shared" ref="G22:G85" si="1">F22*C22</f>
        <v>400</v>
      </c>
      <c r="H22" s="1">
        <f t="shared" ref="H22:H85" si="2">H21+J22-B22</f>
        <v>400</v>
      </c>
      <c r="I22" s="1"/>
      <c r="J22" s="1">
        <f t="shared" ref="J22:J85" si="3">MIN(M$11,MAX(0,B22+G22-H21))</f>
        <v>100</v>
      </c>
      <c r="M22" s="1">
        <f t="shared" ref="M22:M85" si="4">MAX(0,MIN(M$11,J22))</f>
        <v>100</v>
      </c>
      <c r="N22" s="1">
        <f>G22-H22</f>
        <v>0</v>
      </c>
      <c r="O22" s="1">
        <f t="shared" ref="O22:O85" ca="1" si="5">IF(A22&lt;=M$12,C$12,OFFSET(O22,-M$12,-2))</f>
        <v>100</v>
      </c>
      <c r="P22" s="1">
        <f>M$12+N22/M$11</f>
        <v>4</v>
      </c>
      <c r="Q22" s="26"/>
      <c r="R22" s="27"/>
      <c r="S22" s="27"/>
      <c r="T22" s="27"/>
      <c r="U22" s="27"/>
      <c r="V22" s="27"/>
      <c r="W22" s="26"/>
    </row>
    <row r="23" spans="1:23" x14ac:dyDescent="0.25">
      <c r="A23" s="21">
        <f>1+A22</f>
        <v>2</v>
      </c>
      <c r="B23" s="1">
        <f t="shared" si="0"/>
        <v>100</v>
      </c>
      <c r="C23" s="1">
        <f t="shared" ref="C23:C86" si="6">C$11*B23+(1-C$11)*C22</f>
        <v>100</v>
      </c>
      <c r="D23" s="1">
        <f t="shared" ref="D23:D86" ca="1" si="7">O23</f>
        <v>100</v>
      </c>
      <c r="E23" s="1">
        <f t="shared" ref="E23:E86" ca="1" si="8">E22+D23-B23</f>
        <v>400</v>
      </c>
      <c r="F23" s="1">
        <f t="shared" ref="F23:F86" si="9">P22</f>
        <v>4</v>
      </c>
      <c r="G23" s="1">
        <f t="shared" si="1"/>
        <v>400</v>
      </c>
      <c r="H23" s="1">
        <f t="shared" si="2"/>
        <v>400</v>
      </c>
      <c r="I23" s="1"/>
      <c r="J23" s="1">
        <f t="shared" si="3"/>
        <v>100</v>
      </c>
      <c r="M23" s="1">
        <f t="shared" si="4"/>
        <v>100</v>
      </c>
      <c r="N23" s="1">
        <f t="shared" ref="N23:N86" si="10">G23-H23</f>
        <v>0</v>
      </c>
      <c r="O23" s="1">
        <f t="shared" ca="1" si="5"/>
        <v>100</v>
      </c>
      <c r="P23" s="1">
        <f t="shared" ref="P23:P86" si="11">M$12+N23/M$11</f>
        <v>4</v>
      </c>
      <c r="Q23" s="26"/>
      <c r="R23" s="27"/>
      <c r="S23" s="27"/>
      <c r="T23" s="27"/>
      <c r="U23" s="27"/>
      <c r="V23" s="27"/>
      <c r="W23" s="26"/>
    </row>
    <row r="24" spans="1:23" x14ac:dyDescent="0.25">
      <c r="A24" s="21">
        <f t="shared" ref="A24:A87" si="12">1+A23</f>
        <v>3</v>
      </c>
      <c r="B24" s="1">
        <f t="shared" si="0"/>
        <v>100</v>
      </c>
      <c r="C24" s="1">
        <f t="shared" si="6"/>
        <v>100</v>
      </c>
      <c r="D24" s="1">
        <f t="shared" ca="1" si="7"/>
        <v>100</v>
      </c>
      <c r="E24" s="1">
        <f t="shared" ca="1" si="8"/>
        <v>400</v>
      </c>
      <c r="F24" s="1">
        <f t="shared" si="9"/>
        <v>4</v>
      </c>
      <c r="G24" s="1">
        <f t="shared" si="1"/>
        <v>400</v>
      </c>
      <c r="H24" s="1">
        <f t="shared" si="2"/>
        <v>400</v>
      </c>
      <c r="I24" s="1"/>
      <c r="J24" s="1">
        <f t="shared" si="3"/>
        <v>100</v>
      </c>
      <c r="M24" s="1">
        <f t="shared" si="4"/>
        <v>100</v>
      </c>
      <c r="N24" s="1">
        <f t="shared" si="10"/>
        <v>0</v>
      </c>
      <c r="O24" s="1">
        <f t="shared" ca="1" si="5"/>
        <v>100</v>
      </c>
      <c r="P24" s="1">
        <f t="shared" si="11"/>
        <v>4</v>
      </c>
      <c r="Q24" s="26"/>
      <c r="R24" s="27"/>
      <c r="S24" s="27"/>
      <c r="T24" s="27"/>
      <c r="U24" s="27"/>
      <c r="V24" s="27"/>
      <c r="W24" s="26"/>
    </row>
    <row r="25" spans="1:23" x14ac:dyDescent="0.25">
      <c r="A25" s="21">
        <f t="shared" si="12"/>
        <v>4</v>
      </c>
      <c r="B25" s="1">
        <f t="shared" si="0"/>
        <v>100</v>
      </c>
      <c r="C25" s="1">
        <f t="shared" si="6"/>
        <v>100</v>
      </c>
      <c r="D25" s="1">
        <f t="shared" ca="1" si="7"/>
        <v>100</v>
      </c>
      <c r="E25" s="1">
        <f t="shared" ca="1" si="8"/>
        <v>400</v>
      </c>
      <c r="F25" s="1">
        <f t="shared" si="9"/>
        <v>4</v>
      </c>
      <c r="G25" s="1">
        <f t="shared" si="1"/>
        <v>400</v>
      </c>
      <c r="H25" s="1">
        <f t="shared" si="2"/>
        <v>400</v>
      </c>
      <c r="I25" s="1"/>
      <c r="J25" s="1">
        <f t="shared" si="3"/>
        <v>100</v>
      </c>
      <c r="M25" s="1">
        <f t="shared" si="4"/>
        <v>100</v>
      </c>
      <c r="N25" s="1">
        <f t="shared" si="10"/>
        <v>0</v>
      </c>
      <c r="O25" s="1">
        <f t="shared" ca="1" si="5"/>
        <v>100</v>
      </c>
      <c r="P25" s="1">
        <f t="shared" si="11"/>
        <v>4</v>
      </c>
      <c r="Q25" s="26"/>
      <c r="R25" s="27"/>
      <c r="S25" s="27"/>
      <c r="T25" s="27"/>
      <c r="U25" s="27"/>
      <c r="V25" s="27"/>
      <c r="W25" s="26"/>
    </row>
    <row r="26" spans="1:23" x14ac:dyDescent="0.25">
      <c r="A26" s="21">
        <f t="shared" si="12"/>
        <v>5</v>
      </c>
      <c r="B26" s="1">
        <f t="shared" si="0"/>
        <v>100</v>
      </c>
      <c r="C26" s="1">
        <f t="shared" si="6"/>
        <v>100</v>
      </c>
      <c r="D26" s="1">
        <f t="shared" ca="1" si="7"/>
        <v>100</v>
      </c>
      <c r="E26" s="1">
        <f t="shared" ca="1" si="8"/>
        <v>400</v>
      </c>
      <c r="F26" s="1">
        <f t="shared" si="9"/>
        <v>4</v>
      </c>
      <c r="G26" s="1">
        <f t="shared" si="1"/>
        <v>400</v>
      </c>
      <c r="H26" s="1">
        <f t="shared" si="2"/>
        <v>400</v>
      </c>
      <c r="I26" s="1"/>
      <c r="J26" s="1">
        <f t="shared" si="3"/>
        <v>100</v>
      </c>
      <c r="M26" s="1">
        <f t="shared" si="4"/>
        <v>100</v>
      </c>
      <c r="N26" s="1">
        <f t="shared" si="10"/>
        <v>0</v>
      </c>
      <c r="O26" s="1">
        <f t="shared" ca="1" si="5"/>
        <v>100</v>
      </c>
      <c r="P26" s="1">
        <f t="shared" si="11"/>
        <v>4</v>
      </c>
      <c r="Q26" s="26"/>
      <c r="R26" s="26"/>
      <c r="S26" s="26"/>
      <c r="T26" s="26"/>
      <c r="U26" s="26"/>
      <c r="V26" s="26"/>
      <c r="W26" s="26"/>
    </row>
    <row r="27" spans="1:23" x14ac:dyDescent="0.25">
      <c r="A27" s="21">
        <f t="shared" si="12"/>
        <v>6</v>
      </c>
      <c r="B27" s="1">
        <f t="shared" si="0"/>
        <v>100</v>
      </c>
      <c r="C27" s="1">
        <f t="shared" si="6"/>
        <v>100</v>
      </c>
      <c r="D27" s="1">
        <f t="shared" ca="1" si="7"/>
        <v>100</v>
      </c>
      <c r="E27" s="1">
        <f t="shared" ca="1" si="8"/>
        <v>400</v>
      </c>
      <c r="F27" s="1">
        <f t="shared" si="9"/>
        <v>4</v>
      </c>
      <c r="G27" s="1">
        <f t="shared" si="1"/>
        <v>400</v>
      </c>
      <c r="H27" s="1">
        <f t="shared" si="2"/>
        <v>400</v>
      </c>
      <c r="I27" s="1"/>
      <c r="J27" s="1">
        <f t="shared" si="3"/>
        <v>100</v>
      </c>
      <c r="M27" s="1">
        <f t="shared" si="4"/>
        <v>100</v>
      </c>
      <c r="N27" s="1">
        <f t="shared" si="10"/>
        <v>0</v>
      </c>
      <c r="O27" s="1">
        <f t="shared" ca="1" si="5"/>
        <v>100</v>
      </c>
      <c r="P27" s="1">
        <f t="shared" si="11"/>
        <v>4</v>
      </c>
      <c r="Q27" s="26"/>
      <c r="R27" s="26"/>
      <c r="S27" s="26"/>
      <c r="T27" s="26"/>
      <c r="U27" s="26"/>
      <c r="V27" s="26"/>
      <c r="W27" s="26"/>
    </row>
    <row r="28" spans="1:23" x14ac:dyDescent="0.25">
      <c r="A28" s="21">
        <f t="shared" si="12"/>
        <v>7</v>
      </c>
      <c r="B28" s="1">
        <f t="shared" si="0"/>
        <v>100</v>
      </c>
      <c r="C28" s="1">
        <f t="shared" si="6"/>
        <v>100</v>
      </c>
      <c r="D28" s="1">
        <f t="shared" ca="1" si="7"/>
        <v>100</v>
      </c>
      <c r="E28" s="1">
        <f t="shared" ca="1" si="8"/>
        <v>400</v>
      </c>
      <c r="F28" s="1">
        <f t="shared" si="9"/>
        <v>4</v>
      </c>
      <c r="G28" s="1">
        <f t="shared" si="1"/>
        <v>400</v>
      </c>
      <c r="H28" s="1">
        <f t="shared" si="2"/>
        <v>400</v>
      </c>
      <c r="I28" s="1"/>
      <c r="J28" s="1">
        <f t="shared" si="3"/>
        <v>100</v>
      </c>
      <c r="M28" s="1">
        <f t="shared" si="4"/>
        <v>100</v>
      </c>
      <c r="N28" s="1">
        <f t="shared" si="10"/>
        <v>0</v>
      </c>
      <c r="O28" s="1">
        <f t="shared" ca="1" si="5"/>
        <v>100</v>
      </c>
      <c r="P28" s="1">
        <f t="shared" si="11"/>
        <v>4</v>
      </c>
      <c r="Q28" s="26"/>
      <c r="R28" s="26"/>
      <c r="S28" s="26"/>
      <c r="T28" s="26"/>
      <c r="U28" s="26"/>
      <c r="V28" s="26"/>
      <c r="W28" s="26"/>
    </row>
    <row r="29" spans="1:23" x14ac:dyDescent="0.25">
      <c r="A29" s="21">
        <f t="shared" si="12"/>
        <v>8</v>
      </c>
      <c r="B29" s="1">
        <f t="shared" si="0"/>
        <v>100</v>
      </c>
      <c r="C29" s="1">
        <f t="shared" si="6"/>
        <v>100</v>
      </c>
      <c r="D29" s="1">
        <f t="shared" ca="1" si="7"/>
        <v>100</v>
      </c>
      <c r="E29" s="1">
        <f t="shared" ca="1" si="8"/>
        <v>400</v>
      </c>
      <c r="F29" s="1">
        <f t="shared" si="9"/>
        <v>4</v>
      </c>
      <c r="G29" s="1">
        <f t="shared" si="1"/>
        <v>400</v>
      </c>
      <c r="H29" s="1">
        <f t="shared" si="2"/>
        <v>400</v>
      </c>
      <c r="I29" s="1"/>
      <c r="J29" s="1">
        <f t="shared" si="3"/>
        <v>100</v>
      </c>
      <c r="M29" s="1">
        <f t="shared" si="4"/>
        <v>100</v>
      </c>
      <c r="N29" s="1">
        <f t="shared" si="10"/>
        <v>0</v>
      </c>
      <c r="O29" s="1">
        <f t="shared" ca="1" si="5"/>
        <v>100</v>
      </c>
      <c r="P29" s="1">
        <f t="shared" si="11"/>
        <v>4</v>
      </c>
      <c r="Q29" s="26"/>
      <c r="R29" s="26"/>
      <c r="S29" s="26"/>
      <c r="T29" s="26"/>
      <c r="U29" s="26"/>
      <c r="V29" s="26"/>
      <c r="W29" s="26"/>
    </row>
    <row r="30" spans="1:23" x14ac:dyDescent="0.25">
      <c r="A30" s="21">
        <f t="shared" si="12"/>
        <v>9</v>
      </c>
      <c r="B30" s="1">
        <f t="shared" si="0"/>
        <v>100</v>
      </c>
      <c r="C30" s="1">
        <f t="shared" si="6"/>
        <v>100</v>
      </c>
      <c r="D30" s="1">
        <f t="shared" ca="1" si="7"/>
        <v>100</v>
      </c>
      <c r="E30" s="1">
        <f t="shared" ca="1" si="8"/>
        <v>400</v>
      </c>
      <c r="F30" s="1">
        <f t="shared" si="9"/>
        <v>4</v>
      </c>
      <c r="G30" s="1">
        <f t="shared" si="1"/>
        <v>400</v>
      </c>
      <c r="H30" s="1">
        <f t="shared" si="2"/>
        <v>400</v>
      </c>
      <c r="I30" s="1"/>
      <c r="J30" s="1">
        <f t="shared" si="3"/>
        <v>100</v>
      </c>
      <c r="M30" s="1">
        <f t="shared" si="4"/>
        <v>100</v>
      </c>
      <c r="N30" s="1">
        <f t="shared" si="10"/>
        <v>0</v>
      </c>
      <c r="O30" s="1">
        <f t="shared" ca="1" si="5"/>
        <v>100</v>
      </c>
      <c r="P30" s="1">
        <f t="shared" si="11"/>
        <v>4</v>
      </c>
      <c r="Q30" s="26"/>
      <c r="R30" s="26"/>
      <c r="S30" s="26"/>
      <c r="T30" s="26"/>
      <c r="U30" s="26"/>
      <c r="V30" s="26"/>
      <c r="W30" s="26"/>
    </row>
    <row r="31" spans="1:23" x14ac:dyDescent="0.25">
      <c r="A31" s="24">
        <f t="shared" si="12"/>
        <v>10</v>
      </c>
      <c r="B31" s="2">
        <v>300</v>
      </c>
      <c r="C31" s="1">
        <f t="shared" si="6"/>
        <v>140</v>
      </c>
      <c r="D31" s="1">
        <f t="shared" ca="1" si="7"/>
        <v>100</v>
      </c>
      <c r="E31" s="1">
        <f t="shared" ca="1" si="8"/>
        <v>200</v>
      </c>
      <c r="F31" s="1">
        <f t="shared" si="9"/>
        <v>4</v>
      </c>
      <c r="G31" s="1">
        <f t="shared" si="1"/>
        <v>560</v>
      </c>
      <c r="H31" s="1">
        <f t="shared" si="2"/>
        <v>250</v>
      </c>
      <c r="I31" s="29"/>
      <c r="J31" s="1">
        <f t="shared" si="3"/>
        <v>150</v>
      </c>
      <c r="M31" s="1">
        <f t="shared" si="4"/>
        <v>150</v>
      </c>
      <c r="N31" s="1">
        <f t="shared" si="10"/>
        <v>310</v>
      </c>
      <c r="O31" s="1">
        <f t="shared" ca="1" si="5"/>
        <v>100</v>
      </c>
      <c r="P31" s="1">
        <f t="shared" si="11"/>
        <v>6.0666666666666664</v>
      </c>
      <c r="Q31" s="26"/>
      <c r="R31" s="27"/>
      <c r="S31" s="28"/>
      <c r="T31" s="28"/>
      <c r="U31" s="28"/>
      <c r="V31" s="28"/>
      <c r="W31" s="26"/>
    </row>
    <row r="32" spans="1:23" x14ac:dyDescent="0.25">
      <c r="A32" s="21">
        <f t="shared" si="12"/>
        <v>11</v>
      </c>
      <c r="B32" s="2">
        <f t="shared" ref="B32:B95" si="13">C$12</f>
        <v>100</v>
      </c>
      <c r="C32" s="1">
        <f t="shared" si="6"/>
        <v>132</v>
      </c>
      <c r="D32" s="1">
        <f t="shared" ca="1" si="7"/>
        <v>100</v>
      </c>
      <c r="E32" s="1">
        <f t="shared" ca="1" si="8"/>
        <v>200</v>
      </c>
      <c r="F32" s="1">
        <f t="shared" si="9"/>
        <v>6.0666666666666664</v>
      </c>
      <c r="G32" s="1">
        <f t="shared" si="1"/>
        <v>800.8</v>
      </c>
      <c r="H32" s="1">
        <f t="shared" si="2"/>
        <v>300</v>
      </c>
      <c r="I32" s="29"/>
      <c r="J32" s="1">
        <f t="shared" si="3"/>
        <v>150</v>
      </c>
      <c r="M32" s="1">
        <f t="shared" si="4"/>
        <v>150</v>
      </c>
      <c r="N32" s="1">
        <f t="shared" si="10"/>
        <v>500.79999999999995</v>
      </c>
      <c r="O32" s="1">
        <f t="shared" ca="1" si="5"/>
        <v>100</v>
      </c>
      <c r="P32" s="1">
        <f t="shared" si="11"/>
        <v>7.3386666666666667</v>
      </c>
      <c r="Q32" s="26"/>
      <c r="R32" s="27"/>
      <c r="S32" s="27"/>
      <c r="T32" s="27"/>
      <c r="U32" s="27"/>
      <c r="V32" s="27"/>
      <c r="W32" s="26"/>
    </row>
    <row r="33" spans="1:23" x14ac:dyDescent="0.25">
      <c r="A33" s="21">
        <f t="shared" si="12"/>
        <v>12</v>
      </c>
      <c r="B33" s="2">
        <f t="shared" si="13"/>
        <v>100</v>
      </c>
      <c r="C33" s="1">
        <f t="shared" si="6"/>
        <v>125.60000000000001</v>
      </c>
      <c r="D33" s="1">
        <f t="shared" ca="1" si="7"/>
        <v>100</v>
      </c>
      <c r="E33" s="1">
        <f t="shared" ca="1" si="8"/>
        <v>200</v>
      </c>
      <c r="F33" s="1">
        <f t="shared" si="9"/>
        <v>7.3386666666666667</v>
      </c>
      <c r="G33" s="1">
        <f t="shared" si="1"/>
        <v>921.73653333333334</v>
      </c>
      <c r="H33" s="1">
        <f t="shared" si="2"/>
        <v>350</v>
      </c>
      <c r="I33" s="29"/>
      <c r="J33" s="1">
        <f t="shared" si="3"/>
        <v>150</v>
      </c>
      <c r="M33" s="1">
        <f t="shared" si="4"/>
        <v>150</v>
      </c>
      <c r="N33" s="1">
        <f t="shared" si="10"/>
        <v>571.73653333333334</v>
      </c>
      <c r="O33" s="1">
        <f t="shared" ca="1" si="5"/>
        <v>100</v>
      </c>
      <c r="P33" s="1">
        <f t="shared" si="11"/>
        <v>7.8115768888888883</v>
      </c>
      <c r="Q33" s="26"/>
      <c r="R33" s="27"/>
      <c r="S33" s="27"/>
      <c r="T33" s="27"/>
      <c r="U33" s="27"/>
      <c r="V33" s="27"/>
      <c r="W33" s="26"/>
    </row>
    <row r="34" spans="1:23" x14ac:dyDescent="0.25">
      <c r="A34" s="21">
        <f t="shared" si="12"/>
        <v>13</v>
      </c>
      <c r="B34" s="12">
        <f t="shared" si="13"/>
        <v>100</v>
      </c>
      <c r="C34" s="1">
        <f t="shared" si="6"/>
        <v>120.48000000000002</v>
      </c>
      <c r="D34" s="1">
        <f t="shared" ca="1" si="7"/>
        <v>100</v>
      </c>
      <c r="E34" s="1">
        <f t="shared" ca="1" si="8"/>
        <v>200</v>
      </c>
      <c r="F34" s="1">
        <f t="shared" si="9"/>
        <v>7.8115768888888883</v>
      </c>
      <c r="G34" s="1">
        <f t="shared" si="1"/>
        <v>941.1387835733334</v>
      </c>
      <c r="H34" s="1">
        <f t="shared" si="2"/>
        <v>400</v>
      </c>
      <c r="I34" s="29"/>
      <c r="J34" s="1">
        <f t="shared" si="3"/>
        <v>150</v>
      </c>
      <c r="M34" s="1">
        <f t="shared" si="4"/>
        <v>150</v>
      </c>
      <c r="N34" s="1">
        <f t="shared" si="10"/>
        <v>541.1387835733334</v>
      </c>
      <c r="O34" s="1">
        <f t="shared" ca="1" si="5"/>
        <v>100</v>
      </c>
      <c r="P34" s="1">
        <f t="shared" si="11"/>
        <v>7.6075918904888891</v>
      </c>
      <c r="Q34" s="26"/>
      <c r="R34" s="27"/>
      <c r="S34" s="27"/>
      <c r="T34" s="27"/>
      <c r="U34" s="27"/>
      <c r="V34" s="27"/>
      <c r="W34" s="26"/>
    </row>
    <row r="35" spans="1:23" x14ac:dyDescent="0.25">
      <c r="A35" s="21">
        <f t="shared" si="12"/>
        <v>14</v>
      </c>
      <c r="B35" s="12">
        <f t="shared" si="13"/>
        <v>100</v>
      </c>
      <c r="C35" s="1">
        <f t="shared" si="6"/>
        <v>116.38400000000001</v>
      </c>
      <c r="D35" s="1">
        <f t="shared" ca="1" si="7"/>
        <v>150</v>
      </c>
      <c r="E35" s="1">
        <f t="shared" ca="1" si="8"/>
        <v>250</v>
      </c>
      <c r="F35" s="1">
        <f t="shared" si="9"/>
        <v>7.6075918904888891</v>
      </c>
      <c r="G35" s="1">
        <f t="shared" si="1"/>
        <v>885.40197458265902</v>
      </c>
      <c r="H35" s="1">
        <f t="shared" si="2"/>
        <v>450</v>
      </c>
      <c r="I35" s="29"/>
      <c r="J35" s="1">
        <f t="shared" si="3"/>
        <v>150</v>
      </c>
      <c r="M35" s="1">
        <f t="shared" si="4"/>
        <v>150</v>
      </c>
      <c r="N35" s="1">
        <f t="shared" si="10"/>
        <v>435.40197458265902</v>
      </c>
      <c r="O35" s="1">
        <f t="shared" ca="1" si="5"/>
        <v>150</v>
      </c>
      <c r="P35" s="1">
        <f t="shared" si="11"/>
        <v>6.9026798305510599</v>
      </c>
      <c r="Q35" s="26"/>
      <c r="R35" s="27"/>
      <c r="S35" s="27"/>
      <c r="T35" s="27"/>
      <c r="U35" s="27"/>
      <c r="V35" s="27"/>
      <c r="W35" s="26"/>
    </row>
    <row r="36" spans="1:23" x14ac:dyDescent="0.25">
      <c r="A36" s="21">
        <f t="shared" si="12"/>
        <v>15</v>
      </c>
      <c r="B36" s="12">
        <f t="shared" si="13"/>
        <v>100</v>
      </c>
      <c r="C36" s="1">
        <f t="shared" si="6"/>
        <v>113.10720000000002</v>
      </c>
      <c r="D36" s="1">
        <f t="shared" ca="1" si="7"/>
        <v>150</v>
      </c>
      <c r="E36" s="1">
        <f t="shared" ca="1" si="8"/>
        <v>300</v>
      </c>
      <c r="F36" s="1">
        <f t="shared" si="9"/>
        <v>6.9026798305510599</v>
      </c>
      <c r="G36" s="1">
        <f t="shared" si="1"/>
        <v>780.74278813010494</v>
      </c>
      <c r="H36" s="1">
        <f t="shared" si="2"/>
        <v>500</v>
      </c>
      <c r="I36" s="29"/>
      <c r="J36" s="1">
        <f t="shared" si="3"/>
        <v>150</v>
      </c>
      <c r="M36" s="1">
        <f t="shared" si="4"/>
        <v>150</v>
      </c>
      <c r="N36" s="1">
        <f t="shared" si="10"/>
        <v>280.74278813010494</v>
      </c>
      <c r="O36" s="1">
        <f t="shared" ca="1" si="5"/>
        <v>150</v>
      </c>
      <c r="P36" s="1">
        <f t="shared" si="11"/>
        <v>5.8716185875340328</v>
      </c>
      <c r="Q36" s="26"/>
      <c r="R36" s="27"/>
      <c r="S36" s="27"/>
      <c r="T36" s="27"/>
      <c r="U36" s="27"/>
      <c r="V36" s="27"/>
      <c r="W36" s="26"/>
    </row>
    <row r="37" spans="1:23" x14ac:dyDescent="0.25">
      <c r="A37" s="21">
        <f t="shared" si="12"/>
        <v>16</v>
      </c>
      <c r="B37" s="12">
        <f t="shared" si="13"/>
        <v>100</v>
      </c>
      <c r="C37" s="1">
        <f t="shared" si="6"/>
        <v>110.48576000000003</v>
      </c>
      <c r="D37" s="1">
        <f t="shared" ca="1" si="7"/>
        <v>150</v>
      </c>
      <c r="E37" s="1">
        <f t="shared" ca="1" si="8"/>
        <v>350</v>
      </c>
      <c r="F37" s="1">
        <f t="shared" si="9"/>
        <v>5.8716185875340328</v>
      </c>
      <c r="G37" s="1">
        <f t="shared" si="1"/>
        <v>648.73024207382434</v>
      </c>
      <c r="H37" s="1">
        <f t="shared" si="2"/>
        <v>550</v>
      </c>
      <c r="I37" s="29"/>
      <c r="J37" s="1">
        <f t="shared" si="3"/>
        <v>150</v>
      </c>
      <c r="M37" s="1">
        <f t="shared" si="4"/>
        <v>150</v>
      </c>
      <c r="N37" s="1">
        <f t="shared" si="10"/>
        <v>98.730242073824343</v>
      </c>
      <c r="O37" s="1">
        <f t="shared" ca="1" si="5"/>
        <v>150</v>
      </c>
      <c r="P37" s="1">
        <f t="shared" si="11"/>
        <v>4.6582016138254954</v>
      </c>
      <c r="Q37" s="26"/>
      <c r="R37" s="26"/>
      <c r="S37" s="26"/>
      <c r="T37" s="26"/>
      <c r="U37" s="26"/>
      <c r="V37" s="26"/>
      <c r="W37" s="26"/>
    </row>
    <row r="38" spans="1:23" x14ac:dyDescent="0.25">
      <c r="A38" s="21">
        <f t="shared" si="12"/>
        <v>17</v>
      </c>
      <c r="B38" s="12">
        <f t="shared" si="13"/>
        <v>100</v>
      </c>
      <c r="C38" s="1">
        <f t="shared" si="6"/>
        <v>108.38860800000003</v>
      </c>
      <c r="D38" s="1">
        <f t="shared" ca="1" si="7"/>
        <v>150</v>
      </c>
      <c r="E38" s="12">
        <f t="shared" ca="1" si="8"/>
        <v>400</v>
      </c>
      <c r="F38" s="1">
        <f t="shared" si="9"/>
        <v>4.6582016138254954</v>
      </c>
      <c r="G38" s="1">
        <f t="shared" si="1"/>
        <v>504.89598870589913</v>
      </c>
      <c r="H38" s="1">
        <f t="shared" si="2"/>
        <v>504.89598870589907</v>
      </c>
      <c r="I38" s="29"/>
      <c r="J38" s="1">
        <f t="shared" si="3"/>
        <v>54.895988705899072</v>
      </c>
      <c r="M38" s="1">
        <f t="shared" si="4"/>
        <v>54.895988705899072</v>
      </c>
      <c r="N38" s="1">
        <f t="shared" si="10"/>
        <v>0</v>
      </c>
      <c r="O38" s="1">
        <f t="shared" ca="1" si="5"/>
        <v>150</v>
      </c>
      <c r="P38" s="1">
        <f t="shared" si="11"/>
        <v>4</v>
      </c>
      <c r="Q38" s="26"/>
      <c r="R38" s="26"/>
      <c r="S38" s="26"/>
      <c r="T38" s="26"/>
      <c r="U38" s="26"/>
      <c r="V38" s="26"/>
      <c r="W38" s="26"/>
    </row>
    <row r="39" spans="1:23" x14ac:dyDescent="0.25">
      <c r="A39" s="21">
        <f t="shared" si="12"/>
        <v>18</v>
      </c>
      <c r="B39" s="12">
        <f t="shared" si="13"/>
        <v>100</v>
      </c>
      <c r="C39" s="1">
        <f t="shared" si="6"/>
        <v>106.71088640000004</v>
      </c>
      <c r="D39" s="1">
        <f t="shared" ca="1" si="7"/>
        <v>150</v>
      </c>
      <c r="E39" s="1">
        <f t="shared" ca="1" si="8"/>
        <v>450</v>
      </c>
      <c r="F39" s="1">
        <f t="shared" si="9"/>
        <v>4</v>
      </c>
      <c r="G39" s="1">
        <f t="shared" si="1"/>
        <v>426.84354560000014</v>
      </c>
      <c r="H39" s="1">
        <f t="shared" si="2"/>
        <v>426.8435456000002</v>
      </c>
      <c r="I39" s="29"/>
      <c r="J39" s="1">
        <f t="shared" si="3"/>
        <v>21.947556894101126</v>
      </c>
      <c r="M39" s="1">
        <f t="shared" si="4"/>
        <v>21.947556894101126</v>
      </c>
      <c r="N39" s="1">
        <f t="shared" si="10"/>
        <v>0</v>
      </c>
      <c r="O39" s="1">
        <f t="shared" ca="1" si="5"/>
        <v>150</v>
      </c>
      <c r="P39" s="1">
        <f t="shared" si="11"/>
        <v>4</v>
      </c>
      <c r="Q39" s="26"/>
      <c r="R39" s="27"/>
      <c r="S39" s="28"/>
      <c r="T39" s="28"/>
      <c r="U39" s="28"/>
      <c r="V39" s="28"/>
      <c r="W39" s="26"/>
    </row>
    <row r="40" spans="1:23" x14ac:dyDescent="0.25">
      <c r="A40" s="21">
        <f t="shared" si="12"/>
        <v>19</v>
      </c>
      <c r="B40" s="12">
        <f t="shared" si="13"/>
        <v>100</v>
      </c>
      <c r="C40" s="1">
        <f t="shared" si="6"/>
        <v>105.36870912000003</v>
      </c>
      <c r="D40" s="1">
        <f t="shared" ca="1" si="7"/>
        <v>150</v>
      </c>
      <c r="E40" s="1">
        <f t="shared" ca="1" si="8"/>
        <v>500</v>
      </c>
      <c r="F40" s="1">
        <f t="shared" si="9"/>
        <v>4</v>
      </c>
      <c r="G40" s="1">
        <f t="shared" si="1"/>
        <v>421.47483648000014</v>
      </c>
      <c r="H40" s="1">
        <f t="shared" si="2"/>
        <v>421.47483648000014</v>
      </c>
      <c r="I40" s="29"/>
      <c r="J40" s="1">
        <f t="shared" si="3"/>
        <v>94.631290879999938</v>
      </c>
      <c r="M40" s="1">
        <f t="shared" si="4"/>
        <v>94.631290879999938</v>
      </c>
      <c r="N40" s="1">
        <f t="shared" si="10"/>
        <v>0</v>
      </c>
      <c r="O40" s="1">
        <f t="shared" ca="1" si="5"/>
        <v>150</v>
      </c>
      <c r="P40" s="1">
        <f t="shared" si="11"/>
        <v>4</v>
      </c>
      <c r="Q40" s="26"/>
      <c r="R40" s="27"/>
      <c r="S40" s="27"/>
      <c r="T40" s="27"/>
      <c r="U40" s="27"/>
      <c r="V40" s="27"/>
      <c r="W40" s="26"/>
    </row>
    <row r="41" spans="1:23" x14ac:dyDescent="0.25">
      <c r="A41" s="21">
        <f t="shared" si="12"/>
        <v>20</v>
      </c>
      <c r="B41" s="12">
        <f t="shared" si="13"/>
        <v>100</v>
      </c>
      <c r="C41" s="1">
        <f t="shared" si="6"/>
        <v>104.29496729600004</v>
      </c>
      <c r="D41" s="1">
        <f t="shared" ca="1" si="7"/>
        <v>150</v>
      </c>
      <c r="E41" s="1">
        <f t="shared" ca="1" si="8"/>
        <v>550</v>
      </c>
      <c r="F41" s="1">
        <f t="shared" si="9"/>
        <v>4</v>
      </c>
      <c r="G41" s="1">
        <f t="shared" si="1"/>
        <v>417.17986918400015</v>
      </c>
      <c r="H41" s="1">
        <f t="shared" si="2"/>
        <v>417.17986918400015</v>
      </c>
      <c r="I41" s="29"/>
      <c r="J41" s="1">
        <f t="shared" si="3"/>
        <v>95.705032704000018</v>
      </c>
      <c r="M41" s="1">
        <f t="shared" si="4"/>
        <v>95.705032704000018</v>
      </c>
      <c r="N41" s="1">
        <f t="shared" si="10"/>
        <v>0</v>
      </c>
      <c r="O41" s="1">
        <f t="shared" ca="1" si="5"/>
        <v>150</v>
      </c>
      <c r="P41" s="1">
        <f t="shared" si="11"/>
        <v>4</v>
      </c>
      <c r="Q41" s="26"/>
      <c r="R41" s="27"/>
      <c r="S41" s="27"/>
      <c r="T41" s="27"/>
      <c r="U41" s="27"/>
      <c r="V41" s="27"/>
      <c r="W41" s="26"/>
    </row>
    <row r="42" spans="1:23" x14ac:dyDescent="0.25">
      <c r="A42" s="21">
        <f t="shared" si="12"/>
        <v>21</v>
      </c>
      <c r="B42" s="12">
        <f t="shared" si="13"/>
        <v>100</v>
      </c>
      <c r="C42" s="1">
        <f t="shared" si="6"/>
        <v>103.43597383680003</v>
      </c>
      <c r="D42" s="1">
        <f t="shared" ca="1" si="7"/>
        <v>54.895988705899072</v>
      </c>
      <c r="E42" s="1">
        <f t="shared" ca="1" si="8"/>
        <v>504.89598870589907</v>
      </c>
      <c r="F42" s="1">
        <f t="shared" si="9"/>
        <v>4</v>
      </c>
      <c r="G42" s="1">
        <f t="shared" si="1"/>
        <v>413.74389534720012</v>
      </c>
      <c r="H42" s="1">
        <f t="shared" si="2"/>
        <v>413.74389534720012</v>
      </c>
      <c r="I42" s="29"/>
      <c r="J42" s="1">
        <f t="shared" si="3"/>
        <v>96.564026163199969</v>
      </c>
      <c r="M42" s="1">
        <f t="shared" si="4"/>
        <v>96.564026163199969</v>
      </c>
      <c r="N42" s="1">
        <f t="shared" si="10"/>
        <v>0</v>
      </c>
      <c r="O42" s="1">
        <f t="shared" ca="1" si="5"/>
        <v>54.895988705899072</v>
      </c>
      <c r="P42" s="1">
        <f t="shared" si="11"/>
        <v>4</v>
      </c>
      <c r="Q42" s="26"/>
      <c r="R42" s="27"/>
      <c r="S42" s="27"/>
      <c r="T42" s="27"/>
      <c r="U42" s="27"/>
      <c r="V42" s="27"/>
      <c r="W42" s="26"/>
    </row>
    <row r="43" spans="1:23" x14ac:dyDescent="0.25">
      <c r="A43" s="21">
        <f t="shared" si="12"/>
        <v>22</v>
      </c>
      <c r="B43" s="12">
        <f t="shared" si="13"/>
        <v>100</v>
      </c>
      <c r="C43" s="1">
        <f t="shared" si="6"/>
        <v>102.74877906944003</v>
      </c>
      <c r="D43" s="1">
        <f t="shared" ca="1" si="7"/>
        <v>21.947556894101126</v>
      </c>
      <c r="E43" s="1">
        <f t="shared" ca="1" si="8"/>
        <v>426.8435456000002</v>
      </c>
      <c r="F43" s="1">
        <f t="shared" si="9"/>
        <v>4</v>
      </c>
      <c r="G43" s="1">
        <f t="shared" si="1"/>
        <v>410.99511627776013</v>
      </c>
      <c r="H43" s="1">
        <f t="shared" si="2"/>
        <v>410.99511627776013</v>
      </c>
      <c r="I43" s="29"/>
      <c r="J43" s="1">
        <f t="shared" si="3"/>
        <v>97.251220930560009</v>
      </c>
      <c r="M43" s="1">
        <f t="shared" si="4"/>
        <v>97.251220930560009</v>
      </c>
      <c r="N43" s="1">
        <f t="shared" si="10"/>
        <v>0</v>
      </c>
      <c r="O43" s="1">
        <f t="shared" ca="1" si="5"/>
        <v>21.947556894101126</v>
      </c>
      <c r="P43" s="1">
        <f t="shared" si="11"/>
        <v>4</v>
      </c>
      <c r="Q43" s="26"/>
      <c r="R43" s="27"/>
      <c r="S43" s="27"/>
      <c r="T43" s="27"/>
      <c r="U43" s="27"/>
      <c r="V43" s="27"/>
      <c r="W43" s="26"/>
    </row>
    <row r="44" spans="1:23" x14ac:dyDescent="0.25">
      <c r="A44" s="21">
        <f t="shared" si="12"/>
        <v>23</v>
      </c>
      <c r="B44" s="12">
        <f t="shared" si="13"/>
        <v>100</v>
      </c>
      <c r="C44" s="1">
        <f t="shared" si="6"/>
        <v>102.19902325555204</v>
      </c>
      <c r="D44" s="1">
        <f t="shared" ca="1" si="7"/>
        <v>94.631290879999938</v>
      </c>
      <c r="E44" s="1">
        <f t="shared" ca="1" si="8"/>
        <v>421.47483648000014</v>
      </c>
      <c r="F44" s="1">
        <f t="shared" si="9"/>
        <v>4</v>
      </c>
      <c r="G44" s="1">
        <f t="shared" si="1"/>
        <v>408.79609302220814</v>
      </c>
      <c r="H44" s="1">
        <f t="shared" si="2"/>
        <v>408.79609302220814</v>
      </c>
      <c r="I44" s="29"/>
      <c r="J44" s="1">
        <f t="shared" si="3"/>
        <v>97.800976744448008</v>
      </c>
      <c r="M44" s="1">
        <f t="shared" si="4"/>
        <v>97.800976744448008</v>
      </c>
      <c r="N44" s="1">
        <f t="shared" si="10"/>
        <v>0</v>
      </c>
      <c r="O44" s="1">
        <f t="shared" ca="1" si="5"/>
        <v>94.631290879999938</v>
      </c>
      <c r="P44" s="1">
        <f t="shared" si="11"/>
        <v>4</v>
      </c>
      <c r="Q44" s="26"/>
      <c r="R44" s="27"/>
      <c r="S44" s="27"/>
      <c r="T44" s="27"/>
      <c r="U44" s="27"/>
      <c r="V44" s="27"/>
      <c r="W44" s="26"/>
    </row>
    <row r="45" spans="1:23" x14ac:dyDescent="0.25">
      <c r="A45" s="21">
        <f t="shared" si="12"/>
        <v>24</v>
      </c>
      <c r="B45" s="12">
        <f t="shared" si="13"/>
        <v>100</v>
      </c>
      <c r="C45" s="1">
        <f t="shared" si="6"/>
        <v>101.75921860444163</v>
      </c>
      <c r="D45" s="1">
        <f t="shared" ca="1" si="7"/>
        <v>95.705032704000018</v>
      </c>
      <c r="E45" s="1">
        <f t="shared" ca="1" si="8"/>
        <v>417.17986918400015</v>
      </c>
      <c r="F45" s="1">
        <f t="shared" si="9"/>
        <v>4</v>
      </c>
      <c r="G45" s="1">
        <f t="shared" si="1"/>
        <v>407.03687441776651</v>
      </c>
      <c r="H45" s="1">
        <f t="shared" si="2"/>
        <v>407.03687441776651</v>
      </c>
      <c r="I45" s="29"/>
      <c r="J45" s="1">
        <f t="shared" si="3"/>
        <v>98.240781395558372</v>
      </c>
      <c r="M45" s="1">
        <f t="shared" si="4"/>
        <v>98.240781395558372</v>
      </c>
      <c r="N45" s="1">
        <f t="shared" si="10"/>
        <v>0</v>
      </c>
      <c r="O45" s="1">
        <f t="shared" ca="1" si="5"/>
        <v>95.705032704000018</v>
      </c>
      <c r="P45" s="1">
        <f t="shared" si="11"/>
        <v>4</v>
      </c>
      <c r="Q45" s="26"/>
      <c r="R45" s="26"/>
      <c r="S45" s="26"/>
      <c r="T45" s="26"/>
      <c r="U45" s="26"/>
      <c r="V45" s="26"/>
      <c r="W45" s="26"/>
    </row>
    <row r="46" spans="1:23" x14ac:dyDescent="0.25">
      <c r="A46" s="21">
        <f t="shared" si="12"/>
        <v>25</v>
      </c>
      <c r="B46" s="12">
        <f t="shared" si="13"/>
        <v>100</v>
      </c>
      <c r="C46" s="1">
        <f t="shared" si="6"/>
        <v>101.4073748835533</v>
      </c>
      <c r="D46" s="1">
        <f t="shared" ca="1" si="7"/>
        <v>96.564026163199969</v>
      </c>
      <c r="E46" s="1">
        <f t="shared" ca="1" si="8"/>
        <v>413.74389534720012</v>
      </c>
      <c r="F46" s="1">
        <f t="shared" si="9"/>
        <v>4</v>
      </c>
      <c r="G46" s="1">
        <f t="shared" si="1"/>
        <v>405.62949953421321</v>
      </c>
      <c r="H46" s="1">
        <f t="shared" si="2"/>
        <v>405.62949953421321</v>
      </c>
      <c r="I46" s="29"/>
      <c r="J46" s="1">
        <f t="shared" si="3"/>
        <v>98.592625116446698</v>
      </c>
      <c r="M46" s="1">
        <f t="shared" si="4"/>
        <v>98.592625116446698</v>
      </c>
      <c r="N46" s="1">
        <f t="shared" si="10"/>
        <v>0</v>
      </c>
      <c r="O46" s="1">
        <f t="shared" ca="1" si="5"/>
        <v>96.564026163199969</v>
      </c>
      <c r="P46" s="1">
        <f t="shared" si="11"/>
        <v>4</v>
      </c>
      <c r="Q46" s="26"/>
      <c r="R46" s="26"/>
      <c r="S46" s="26"/>
      <c r="T46" s="26"/>
      <c r="U46" s="26"/>
      <c r="V46" s="26"/>
      <c r="W46" s="26"/>
    </row>
    <row r="47" spans="1:23" x14ac:dyDescent="0.25">
      <c r="A47" s="21">
        <f t="shared" si="12"/>
        <v>26</v>
      </c>
      <c r="B47" s="12">
        <f t="shared" si="13"/>
        <v>100</v>
      </c>
      <c r="C47" s="1">
        <f t="shared" si="6"/>
        <v>101.12589990684265</v>
      </c>
      <c r="D47" s="1">
        <f t="shared" ca="1" si="7"/>
        <v>97.251220930560009</v>
      </c>
      <c r="E47" s="1">
        <f t="shared" ca="1" si="8"/>
        <v>410.99511627776013</v>
      </c>
      <c r="F47" s="1">
        <f t="shared" si="9"/>
        <v>4</v>
      </c>
      <c r="G47" s="1">
        <f t="shared" si="1"/>
        <v>404.50359962737059</v>
      </c>
      <c r="H47" s="1">
        <f t="shared" si="2"/>
        <v>404.50359962737059</v>
      </c>
      <c r="I47" s="29"/>
      <c r="J47" s="1">
        <f t="shared" si="3"/>
        <v>98.874100093157381</v>
      </c>
      <c r="M47" s="1">
        <f t="shared" si="4"/>
        <v>98.874100093157381</v>
      </c>
      <c r="N47" s="1">
        <f t="shared" si="10"/>
        <v>0</v>
      </c>
      <c r="O47" s="1">
        <f t="shared" ca="1" si="5"/>
        <v>97.251220930560009</v>
      </c>
      <c r="P47" s="1">
        <f t="shared" si="11"/>
        <v>4</v>
      </c>
      <c r="Q47" s="26"/>
      <c r="R47" s="26"/>
      <c r="S47" s="26"/>
      <c r="T47" s="26"/>
      <c r="U47" s="26"/>
      <c r="V47" s="26"/>
      <c r="W47" s="26"/>
    </row>
    <row r="48" spans="1:23" x14ac:dyDescent="0.25">
      <c r="A48" s="21">
        <f t="shared" si="12"/>
        <v>27</v>
      </c>
      <c r="B48" s="12">
        <f t="shared" si="13"/>
        <v>100</v>
      </c>
      <c r="C48" s="1">
        <f t="shared" si="6"/>
        <v>100.90071992547412</v>
      </c>
      <c r="D48" s="1">
        <f t="shared" ca="1" si="7"/>
        <v>97.800976744448008</v>
      </c>
      <c r="E48" s="1">
        <f t="shared" ca="1" si="8"/>
        <v>408.79609302220814</v>
      </c>
      <c r="F48" s="1">
        <f t="shared" si="9"/>
        <v>4</v>
      </c>
      <c r="G48" s="1">
        <f t="shared" si="1"/>
        <v>403.60287970189648</v>
      </c>
      <c r="H48" s="1">
        <f t="shared" si="2"/>
        <v>403.60287970189648</v>
      </c>
      <c r="I48" s="29"/>
      <c r="J48" s="1">
        <f t="shared" si="3"/>
        <v>99.099280074525893</v>
      </c>
      <c r="M48" s="1">
        <f t="shared" si="4"/>
        <v>99.099280074525893</v>
      </c>
      <c r="N48" s="1">
        <f t="shared" si="10"/>
        <v>0</v>
      </c>
      <c r="O48" s="1">
        <f t="shared" ca="1" si="5"/>
        <v>97.800976744448008</v>
      </c>
      <c r="P48" s="1">
        <f t="shared" si="11"/>
        <v>4</v>
      </c>
    </row>
    <row r="49" spans="1:16" x14ac:dyDescent="0.25">
      <c r="A49" s="21">
        <f t="shared" si="12"/>
        <v>28</v>
      </c>
      <c r="B49" s="12">
        <f t="shared" si="13"/>
        <v>100</v>
      </c>
      <c r="C49" s="1">
        <f t="shared" si="6"/>
        <v>100.72057594037931</v>
      </c>
      <c r="D49" s="1">
        <f t="shared" ca="1" si="7"/>
        <v>98.240781395558372</v>
      </c>
      <c r="E49" s="1">
        <f t="shared" ca="1" si="8"/>
        <v>407.03687441776651</v>
      </c>
      <c r="F49" s="1">
        <f t="shared" si="9"/>
        <v>4</v>
      </c>
      <c r="G49" s="1">
        <f t="shared" si="1"/>
        <v>402.88230376151722</v>
      </c>
      <c r="H49" s="1">
        <f t="shared" si="2"/>
        <v>402.88230376151722</v>
      </c>
      <c r="I49" s="29"/>
      <c r="J49" s="1">
        <f t="shared" si="3"/>
        <v>99.279424059620737</v>
      </c>
      <c r="M49" s="1">
        <f t="shared" si="4"/>
        <v>99.279424059620737</v>
      </c>
      <c r="N49" s="1">
        <f t="shared" si="10"/>
        <v>0</v>
      </c>
      <c r="O49" s="1">
        <f t="shared" ca="1" si="5"/>
        <v>98.240781395558372</v>
      </c>
      <c r="P49" s="1">
        <f t="shared" si="11"/>
        <v>4</v>
      </c>
    </row>
    <row r="50" spans="1:16" x14ac:dyDescent="0.25">
      <c r="A50" s="21">
        <f t="shared" si="12"/>
        <v>29</v>
      </c>
      <c r="B50" s="12">
        <f t="shared" si="13"/>
        <v>100</v>
      </c>
      <c r="C50" s="1">
        <f t="shared" si="6"/>
        <v>100.57646075230345</v>
      </c>
      <c r="D50" s="1">
        <f t="shared" ca="1" si="7"/>
        <v>98.592625116446698</v>
      </c>
      <c r="E50" s="1">
        <f t="shared" ca="1" si="8"/>
        <v>405.62949953421321</v>
      </c>
      <c r="F50" s="1">
        <f t="shared" si="9"/>
        <v>4</v>
      </c>
      <c r="G50" s="1">
        <f t="shared" si="1"/>
        <v>402.30584300921379</v>
      </c>
      <c r="H50" s="1">
        <f t="shared" si="2"/>
        <v>402.30584300921379</v>
      </c>
      <c r="I50" s="29"/>
      <c r="J50" s="1">
        <f t="shared" si="3"/>
        <v>99.423539247696567</v>
      </c>
      <c r="M50" s="1">
        <f t="shared" si="4"/>
        <v>99.423539247696567</v>
      </c>
      <c r="N50" s="1">
        <f t="shared" si="10"/>
        <v>0</v>
      </c>
      <c r="O50" s="1">
        <f t="shared" ca="1" si="5"/>
        <v>98.592625116446698</v>
      </c>
      <c r="P50" s="1">
        <f t="shared" si="11"/>
        <v>4</v>
      </c>
    </row>
    <row r="51" spans="1:16" x14ac:dyDescent="0.25">
      <c r="A51" s="21">
        <f t="shared" si="12"/>
        <v>30</v>
      </c>
      <c r="B51" s="12">
        <f t="shared" si="13"/>
        <v>100</v>
      </c>
      <c r="C51" s="1">
        <f t="shared" si="6"/>
        <v>100.46116860184276</v>
      </c>
      <c r="D51" s="1">
        <f t="shared" ca="1" si="7"/>
        <v>98.874100093157381</v>
      </c>
      <c r="E51" s="1">
        <f t="shared" ca="1" si="8"/>
        <v>404.50359962737059</v>
      </c>
      <c r="F51" s="1">
        <f t="shared" si="9"/>
        <v>4</v>
      </c>
      <c r="G51" s="1">
        <f t="shared" si="1"/>
        <v>401.84467440737103</v>
      </c>
      <c r="H51" s="1">
        <f t="shared" si="2"/>
        <v>401.84467440737103</v>
      </c>
      <c r="I51" s="29"/>
      <c r="J51" s="1">
        <f t="shared" si="3"/>
        <v>99.538831398157242</v>
      </c>
      <c r="M51" s="1">
        <f t="shared" si="4"/>
        <v>99.538831398157242</v>
      </c>
      <c r="N51" s="1">
        <f t="shared" si="10"/>
        <v>0</v>
      </c>
      <c r="O51" s="1">
        <f t="shared" ca="1" si="5"/>
        <v>98.874100093157381</v>
      </c>
      <c r="P51" s="1">
        <f t="shared" si="11"/>
        <v>4</v>
      </c>
    </row>
    <row r="52" spans="1:16" x14ac:dyDescent="0.25">
      <c r="A52" s="21">
        <f t="shared" si="12"/>
        <v>31</v>
      </c>
      <c r="B52" s="12">
        <f t="shared" si="13"/>
        <v>100</v>
      </c>
      <c r="C52" s="1">
        <f t="shared" si="6"/>
        <v>100.36893488147422</v>
      </c>
      <c r="D52" s="1">
        <f t="shared" ca="1" si="7"/>
        <v>99.099280074525893</v>
      </c>
      <c r="E52" s="1">
        <f t="shared" ca="1" si="8"/>
        <v>403.60287970189648</v>
      </c>
      <c r="F52" s="1">
        <f t="shared" si="9"/>
        <v>4</v>
      </c>
      <c r="G52" s="1">
        <f t="shared" si="1"/>
        <v>401.47573952589687</v>
      </c>
      <c r="H52" s="1">
        <f t="shared" si="2"/>
        <v>401.47573952589687</v>
      </c>
      <c r="I52" s="29"/>
      <c r="J52" s="1">
        <f t="shared" si="3"/>
        <v>99.631065118525839</v>
      </c>
      <c r="M52" s="1">
        <f t="shared" si="4"/>
        <v>99.631065118525839</v>
      </c>
      <c r="N52" s="1">
        <f t="shared" si="10"/>
        <v>0</v>
      </c>
      <c r="O52" s="1">
        <f t="shared" ca="1" si="5"/>
        <v>99.099280074525893</v>
      </c>
      <c r="P52" s="1">
        <f t="shared" si="11"/>
        <v>4</v>
      </c>
    </row>
    <row r="53" spans="1:16" x14ac:dyDescent="0.25">
      <c r="A53" s="21">
        <f t="shared" si="12"/>
        <v>32</v>
      </c>
      <c r="B53" s="1">
        <f t="shared" si="13"/>
        <v>100</v>
      </c>
      <c r="C53" s="1">
        <f t="shared" si="6"/>
        <v>100.29514790517938</v>
      </c>
      <c r="D53" s="1">
        <f t="shared" ca="1" si="7"/>
        <v>99.279424059620737</v>
      </c>
      <c r="E53" s="1">
        <f t="shared" ca="1" si="8"/>
        <v>402.88230376151722</v>
      </c>
      <c r="F53" s="1">
        <f t="shared" si="9"/>
        <v>4</v>
      </c>
      <c r="G53" s="1">
        <f t="shared" si="1"/>
        <v>401.18059162071751</v>
      </c>
      <c r="H53" s="1">
        <f t="shared" si="2"/>
        <v>401.18059162071751</v>
      </c>
      <c r="I53" s="29"/>
      <c r="J53" s="1">
        <f t="shared" si="3"/>
        <v>99.704852094820637</v>
      </c>
      <c r="M53" s="1">
        <f t="shared" si="4"/>
        <v>99.704852094820637</v>
      </c>
      <c r="N53" s="1">
        <f t="shared" si="10"/>
        <v>0</v>
      </c>
      <c r="O53" s="1">
        <f t="shared" ca="1" si="5"/>
        <v>99.279424059620737</v>
      </c>
      <c r="P53" s="1">
        <f t="shared" si="11"/>
        <v>4</v>
      </c>
    </row>
    <row r="54" spans="1:16" x14ac:dyDescent="0.25">
      <c r="A54" s="21">
        <f t="shared" si="12"/>
        <v>33</v>
      </c>
      <c r="B54" s="1">
        <f t="shared" si="13"/>
        <v>100</v>
      </c>
      <c r="C54" s="1">
        <f t="shared" si="6"/>
        <v>100.2361183241435</v>
      </c>
      <c r="D54" s="1">
        <f t="shared" ca="1" si="7"/>
        <v>99.423539247696567</v>
      </c>
      <c r="E54" s="1">
        <f t="shared" ca="1" si="8"/>
        <v>402.30584300921379</v>
      </c>
      <c r="F54" s="1">
        <f t="shared" si="9"/>
        <v>4</v>
      </c>
      <c r="G54" s="1">
        <f t="shared" si="1"/>
        <v>400.94447329657402</v>
      </c>
      <c r="H54" s="1">
        <f t="shared" si="2"/>
        <v>400.94447329657402</v>
      </c>
      <c r="I54" s="12"/>
      <c r="J54" s="1">
        <f t="shared" si="3"/>
        <v>99.76388167585651</v>
      </c>
      <c r="M54" s="1">
        <f t="shared" si="4"/>
        <v>99.76388167585651</v>
      </c>
      <c r="N54" s="1">
        <f t="shared" si="10"/>
        <v>0</v>
      </c>
      <c r="O54" s="1">
        <f t="shared" ca="1" si="5"/>
        <v>99.423539247696567</v>
      </c>
      <c r="P54" s="1">
        <f t="shared" si="11"/>
        <v>4</v>
      </c>
    </row>
    <row r="55" spans="1:16" x14ac:dyDescent="0.25">
      <c r="A55" s="21">
        <f t="shared" si="12"/>
        <v>34</v>
      </c>
      <c r="B55" s="1">
        <f t="shared" si="13"/>
        <v>100</v>
      </c>
      <c r="C55" s="1">
        <f t="shared" si="6"/>
        <v>100.18889465931481</v>
      </c>
      <c r="D55" s="1">
        <f t="shared" ca="1" si="7"/>
        <v>99.538831398157242</v>
      </c>
      <c r="E55" s="1">
        <f t="shared" ca="1" si="8"/>
        <v>401.84467440737103</v>
      </c>
      <c r="F55" s="1">
        <f t="shared" si="9"/>
        <v>4</v>
      </c>
      <c r="G55" s="1">
        <f t="shared" si="1"/>
        <v>400.75557863725925</v>
      </c>
      <c r="H55" s="1">
        <f t="shared" si="2"/>
        <v>400.75557863725925</v>
      </c>
      <c r="I55" s="12"/>
      <c r="J55" s="1">
        <f t="shared" si="3"/>
        <v>99.811105340685231</v>
      </c>
      <c r="M55" s="1">
        <f t="shared" si="4"/>
        <v>99.811105340685231</v>
      </c>
      <c r="N55" s="1">
        <f t="shared" si="10"/>
        <v>0</v>
      </c>
      <c r="O55" s="1">
        <f t="shared" ca="1" si="5"/>
        <v>99.538831398157242</v>
      </c>
      <c r="P55" s="1">
        <f t="shared" si="11"/>
        <v>4</v>
      </c>
    </row>
    <row r="56" spans="1:16" x14ac:dyDescent="0.25">
      <c r="A56" s="21">
        <f t="shared" si="12"/>
        <v>35</v>
      </c>
      <c r="B56" s="1">
        <f t="shared" si="13"/>
        <v>100</v>
      </c>
      <c r="C56" s="1">
        <f t="shared" si="6"/>
        <v>100.15111572745185</v>
      </c>
      <c r="D56" s="1">
        <f t="shared" ca="1" si="7"/>
        <v>99.631065118525839</v>
      </c>
      <c r="E56" s="1">
        <f t="shared" ca="1" si="8"/>
        <v>401.47573952589687</v>
      </c>
      <c r="F56" s="1">
        <f t="shared" si="9"/>
        <v>4</v>
      </c>
      <c r="G56" s="1">
        <f t="shared" si="1"/>
        <v>400.60446290980741</v>
      </c>
      <c r="H56" s="1">
        <f t="shared" si="2"/>
        <v>400.60446290980741</v>
      </c>
      <c r="I56" s="12"/>
      <c r="J56" s="1">
        <f t="shared" si="3"/>
        <v>99.848884272548162</v>
      </c>
      <c r="M56" s="1">
        <f t="shared" si="4"/>
        <v>99.848884272548162</v>
      </c>
      <c r="N56" s="1">
        <f t="shared" si="10"/>
        <v>0</v>
      </c>
      <c r="O56" s="1">
        <f t="shared" ca="1" si="5"/>
        <v>99.631065118525839</v>
      </c>
      <c r="P56" s="1">
        <f t="shared" si="11"/>
        <v>4</v>
      </c>
    </row>
    <row r="57" spans="1:16" x14ac:dyDescent="0.25">
      <c r="A57" s="21">
        <f t="shared" si="12"/>
        <v>36</v>
      </c>
      <c r="B57" s="1">
        <f t="shared" si="13"/>
        <v>100</v>
      </c>
      <c r="C57" s="1">
        <f t="shared" si="6"/>
        <v>100.12089258196148</v>
      </c>
      <c r="D57" s="1">
        <f t="shared" ca="1" si="7"/>
        <v>99.704852094820637</v>
      </c>
      <c r="E57" s="1">
        <f t="shared" ca="1" si="8"/>
        <v>401.18059162071751</v>
      </c>
      <c r="F57" s="1">
        <f t="shared" si="9"/>
        <v>4</v>
      </c>
      <c r="G57" s="1">
        <f t="shared" si="1"/>
        <v>400.48357032784594</v>
      </c>
      <c r="H57" s="1">
        <f t="shared" si="2"/>
        <v>400.48357032784594</v>
      </c>
      <c r="I57" s="1"/>
      <c r="J57" s="1">
        <f t="shared" si="3"/>
        <v>99.879107418038529</v>
      </c>
      <c r="M57" s="1">
        <f t="shared" si="4"/>
        <v>99.879107418038529</v>
      </c>
      <c r="N57" s="1">
        <f t="shared" si="10"/>
        <v>0</v>
      </c>
      <c r="O57" s="1">
        <f t="shared" ca="1" si="5"/>
        <v>99.704852094820637</v>
      </c>
      <c r="P57" s="1">
        <f t="shared" si="11"/>
        <v>4</v>
      </c>
    </row>
    <row r="58" spans="1:16" x14ac:dyDescent="0.25">
      <c r="A58" s="21">
        <f t="shared" si="12"/>
        <v>37</v>
      </c>
      <c r="B58" s="1">
        <f t="shared" si="13"/>
        <v>100</v>
      </c>
      <c r="C58" s="1">
        <f t="shared" si="6"/>
        <v>100.09671406556919</v>
      </c>
      <c r="D58" s="1">
        <f t="shared" ca="1" si="7"/>
        <v>99.76388167585651</v>
      </c>
      <c r="E58" s="1">
        <f t="shared" ca="1" si="8"/>
        <v>400.94447329657402</v>
      </c>
      <c r="F58" s="1">
        <f t="shared" si="9"/>
        <v>4</v>
      </c>
      <c r="G58" s="1">
        <f t="shared" si="1"/>
        <v>400.38685626227675</v>
      </c>
      <c r="H58" s="1">
        <f t="shared" si="2"/>
        <v>400.38685626227675</v>
      </c>
      <c r="I58" s="1"/>
      <c r="J58" s="1">
        <f t="shared" si="3"/>
        <v>99.903285934430812</v>
      </c>
      <c r="M58" s="1">
        <f t="shared" si="4"/>
        <v>99.903285934430812</v>
      </c>
      <c r="N58" s="1">
        <f t="shared" si="10"/>
        <v>0</v>
      </c>
      <c r="O58" s="1">
        <f t="shared" ca="1" si="5"/>
        <v>99.76388167585651</v>
      </c>
      <c r="P58" s="1">
        <f t="shared" si="11"/>
        <v>4</v>
      </c>
    </row>
    <row r="59" spans="1:16" x14ac:dyDescent="0.25">
      <c r="A59" s="21">
        <f t="shared" si="12"/>
        <v>38</v>
      </c>
      <c r="B59" s="1">
        <f t="shared" si="13"/>
        <v>100</v>
      </c>
      <c r="C59" s="1">
        <f t="shared" si="6"/>
        <v>100.07737125245535</v>
      </c>
      <c r="D59" s="1">
        <f t="shared" ca="1" si="7"/>
        <v>99.811105340685231</v>
      </c>
      <c r="E59" s="1">
        <f t="shared" ca="1" si="8"/>
        <v>400.75557863725925</v>
      </c>
      <c r="F59" s="1">
        <f t="shared" si="9"/>
        <v>4</v>
      </c>
      <c r="G59" s="1">
        <f t="shared" si="1"/>
        <v>400.3094850098214</v>
      </c>
      <c r="H59" s="1">
        <f t="shared" si="2"/>
        <v>400.3094850098214</v>
      </c>
      <c r="I59" s="1"/>
      <c r="J59" s="1">
        <f t="shared" si="3"/>
        <v>99.92262874754465</v>
      </c>
      <c r="M59" s="1">
        <f t="shared" si="4"/>
        <v>99.92262874754465</v>
      </c>
      <c r="N59" s="1">
        <f t="shared" si="10"/>
        <v>0</v>
      </c>
      <c r="O59" s="1">
        <f t="shared" ca="1" si="5"/>
        <v>99.811105340685231</v>
      </c>
      <c r="P59" s="1">
        <f t="shared" si="11"/>
        <v>4</v>
      </c>
    </row>
    <row r="60" spans="1:16" x14ac:dyDescent="0.25">
      <c r="A60" s="21">
        <f t="shared" si="12"/>
        <v>39</v>
      </c>
      <c r="B60" s="1">
        <f t="shared" si="13"/>
        <v>100</v>
      </c>
      <c r="C60" s="1">
        <f t="shared" si="6"/>
        <v>100.06189700196428</v>
      </c>
      <c r="D60" s="1">
        <f t="shared" ca="1" si="7"/>
        <v>99.848884272548162</v>
      </c>
      <c r="E60" s="1">
        <f t="shared" ca="1" si="8"/>
        <v>400.60446290980741</v>
      </c>
      <c r="F60" s="1">
        <f t="shared" si="9"/>
        <v>4</v>
      </c>
      <c r="G60" s="1">
        <f t="shared" si="1"/>
        <v>400.24758800785713</v>
      </c>
      <c r="H60" s="1">
        <f t="shared" si="2"/>
        <v>400.24758800785713</v>
      </c>
      <c r="I60" s="1"/>
      <c r="J60" s="1">
        <f t="shared" si="3"/>
        <v>99.938102998035731</v>
      </c>
      <c r="M60" s="1">
        <f t="shared" si="4"/>
        <v>99.938102998035731</v>
      </c>
      <c r="N60" s="1">
        <f t="shared" si="10"/>
        <v>0</v>
      </c>
      <c r="O60" s="1">
        <f t="shared" ca="1" si="5"/>
        <v>99.848884272548162</v>
      </c>
      <c r="P60" s="1">
        <f t="shared" si="11"/>
        <v>4</v>
      </c>
    </row>
    <row r="61" spans="1:16" x14ac:dyDescent="0.25">
      <c r="A61" s="21">
        <f t="shared" si="12"/>
        <v>40</v>
      </c>
      <c r="B61" s="1">
        <f t="shared" si="13"/>
        <v>100</v>
      </c>
      <c r="C61" s="1">
        <f t="shared" si="6"/>
        <v>100.04951760157144</v>
      </c>
      <c r="D61" s="1">
        <f t="shared" ca="1" si="7"/>
        <v>99.879107418038529</v>
      </c>
      <c r="E61" s="1">
        <f t="shared" ca="1" si="8"/>
        <v>400.48357032784594</v>
      </c>
      <c r="F61" s="1">
        <f t="shared" si="9"/>
        <v>4</v>
      </c>
      <c r="G61" s="1">
        <f t="shared" si="1"/>
        <v>400.19807040628575</v>
      </c>
      <c r="H61" s="1">
        <f t="shared" si="2"/>
        <v>400.19807040628575</v>
      </c>
      <c r="I61" s="1"/>
      <c r="J61" s="1">
        <f t="shared" si="3"/>
        <v>99.950482398428619</v>
      </c>
      <c r="M61" s="1">
        <f t="shared" si="4"/>
        <v>99.950482398428619</v>
      </c>
      <c r="N61" s="1">
        <f t="shared" si="10"/>
        <v>0</v>
      </c>
      <c r="O61" s="1">
        <f t="shared" ca="1" si="5"/>
        <v>99.879107418038529</v>
      </c>
      <c r="P61" s="1">
        <f t="shared" si="11"/>
        <v>4</v>
      </c>
    </row>
    <row r="62" spans="1:16" x14ac:dyDescent="0.25">
      <c r="A62" s="21">
        <f t="shared" si="12"/>
        <v>41</v>
      </c>
      <c r="B62" s="1">
        <f t="shared" si="13"/>
        <v>100</v>
      </c>
      <c r="C62" s="1">
        <f t="shared" si="6"/>
        <v>100.03961408125716</v>
      </c>
      <c r="D62" s="1">
        <f t="shared" ca="1" si="7"/>
        <v>99.903285934430812</v>
      </c>
      <c r="E62" s="1">
        <f t="shared" ca="1" si="8"/>
        <v>400.38685626227675</v>
      </c>
      <c r="F62" s="1">
        <f t="shared" si="9"/>
        <v>4</v>
      </c>
      <c r="G62" s="1">
        <f t="shared" si="1"/>
        <v>400.15845632502862</v>
      </c>
      <c r="H62" s="1">
        <f t="shared" si="2"/>
        <v>400.15845632502862</v>
      </c>
      <c r="I62" s="1"/>
      <c r="J62" s="1">
        <f t="shared" si="3"/>
        <v>99.960385918742872</v>
      </c>
      <c r="M62" s="1">
        <f t="shared" si="4"/>
        <v>99.960385918742872</v>
      </c>
      <c r="N62" s="1">
        <f t="shared" si="10"/>
        <v>0</v>
      </c>
      <c r="O62" s="1">
        <f t="shared" ca="1" si="5"/>
        <v>99.903285934430812</v>
      </c>
      <c r="P62" s="1">
        <f t="shared" si="11"/>
        <v>4</v>
      </c>
    </row>
    <row r="63" spans="1:16" x14ac:dyDescent="0.25">
      <c r="A63" s="21">
        <f t="shared" si="12"/>
        <v>42</v>
      </c>
      <c r="B63" s="1">
        <f t="shared" si="13"/>
        <v>100</v>
      </c>
      <c r="C63" s="1">
        <f t="shared" si="6"/>
        <v>100.03169126500573</v>
      </c>
      <c r="D63" s="1">
        <f t="shared" ca="1" si="7"/>
        <v>99.92262874754465</v>
      </c>
      <c r="E63" s="1">
        <f t="shared" ca="1" si="8"/>
        <v>400.3094850098214</v>
      </c>
      <c r="F63" s="1">
        <f t="shared" si="9"/>
        <v>4</v>
      </c>
      <c r="G63" s="1">
        <f t="shared" si="1"/>
        <v>400.12676506002293</v>
      </c>
      <c r="H63" s="1">
        <f t="shared" si="2"/>
        <v>400.12676506002293</v>
      </c>
      <c r="I63" s="1"/>
      <c r="J63" s="1">
        <f t="shared" si="3"/>
        <v>99.968308734994309</v>
      </c>
      <c r="M63" s="1">
        <f t="shared" si="4"/>
        <v>99.968308734994309</v>
      </c>
      <c r="N63" s="1">
        <f t="shared" si="10"/>
        <v>0</v>
      </c>
      <c r="O63" s="1">
        <f t="shared" ca="1" si="5"/>
        <v>99.92262874754465</v>
      </c>
      <c r="P63" s="1">
        <f t="shared" si="11"/>
        <v>4</v>
      </c>
    </row>
    <row r="64" spans="1:16" x14ac:dyDescent="0.25">
      <c r="A64" s="21">
        <f t="shared" si="12"/>
        <v>43</v>
      </c>
      <c r="B64" s="1">
        <f t="shared" si="13"/>
        <v>100</v>
      </c>
      <c r="C64" s="1">
        <f t="shared" si="6"/>
        <v>100.02535301200459</v>
      </c>
      <c r="D64" s="1">
        <f t="shared" ca="1" si="7"/>
        <v>99.938102998035731</v>
      </c>
      <c r="E64" s="1">
        <f t="shared" ca="1" si="8"/>
        <v>400.24758800785713</v>
      </c>
      <c r="F64" s="1">
        <f t="shared" si="9"/>
        <v>4</v>
      </c>
      <c r="G64" s="1">
        <f t="shared" si="1"/>
        <v>400.10141204801835</v>
      </c>
      <c r="H64" s="1">
        <f t="shared" si="2"/>
        <v>400.10141204801835</v>
      </c>
      <c r="I64" s="1"/>
      <c r="J64" s="1">
        <f t="shared" si="3"/>
        <v>99.974646987995413</v>
      </c>
      <c r="M64" s="1">
        <f t="shared" si="4"/>
        <v>99.974646987995413</v>
      </c>
      <c r="N64" s="1">
        <f t="shared" si="10"/>
        <v>0</v>
      </c>
      <c r="O64" s="1">
        <f t="shared" ca="1" si="5"/>
        <v>99.938102998035731</v>
      </c>
      <c r="P64" s="1">
        <f t="shared" si="11"/>
        <v>4</v>
      </c>
    </row>
    <row r="65" spans="1:16" x14ac:dyDescent="0.25">
      <c r="A65" s="21">
        <f t="shared" si="12"/>
        <v>44</v>
      </c>
      <c r="B65" s="1">
        <f t="shared" si="13"/>
        <v>100</v>
      </c>
      <c r="C65" s="1">
        <f t="shared" si="6"/>
        <v>100.02028240960368</v>
      </c>
      <c r="D65" s="1">
        <f t="shared" ca="1" si="7"/>
        <v>99.950482398428619</v>
      </c>
      <c r="E65" s="1">
        <f t="shared" ca="1" si="8"/>
        <v>400.19807040628575</v>
      </c>
      <c r="F65" s="1">
        <f t="shared" si="9"/>
        <v>4</v>
      </c>
      <c r="G65" s="1">
        <f t="shared" si="1"/>
        <v>400.08112963841472</v>
      </c>
      <c r="H65" s="1">
        <f t="shared" si="2"/>
        <v>400.08112963841472</v>
      </c>
      <c r="I65" s="1"/>
      <c r="J65" s="1">
        <f t="shared" si="3"/>
        <v>99.979717590396376</v>
      </c>
      <c r="M65" s="1">
        <f t="shared" si="4"/>
        <v>99.979717590396376</v>
      </c>
      <c r="N65" s="1">
        <f t="shared" si="10"/>
        <v>0</v>
      </c>
      <c r="O65" s="1">
        <f t="shared" ca="1" si="5"/>
        <v>99.950482398428619</v>
      </c>
      <c r="P65" s="1">
        <f t="shared" si="11"/>
        <v>4</v>
      </c>
    </row>
    <row r="66" spans="1:16" x14ac:dyDescent="0.25">
      <c r="A66" s="21">
        <f t="shared" si="12"/>
        <v>45</v>
      </c>
      <c r="B66" s="1">
        <f t="shared" si="13"/>
        <v>100</v>
      </c>
      <c r="C66" s="1">
        <f t="shared" si="6"/>
        <v>100.01622592768295</v>
      </c>
      <c r="D66" s="1">
        <f t="shared" ca="1" si="7"/>
        <v>99.960385918742872</v>
      </c>
      <c r="E66" s="1">
        <f t="shared" ca="1" si="8"/>
        <v>400.15845632502862</v>
      </c>
      <c r="F66" s="1">
        <f t="shared" si="9"/>
        <v>4</v>
      </c>
      <c r="G66" s="1">
        <f t="shared" si="1"/>
        <v>400.06490371073181</v>
      </c>
      <c r="H66" s="1">
        <f t="shared" si="2"/>
        <v>400.06490371073181</v>
      </c>
      <c r="I66" s="1"/>
      <c r="J66" s="1">
        <f t="shared" si="3"/>
        <v>99.98377407231709</v>
      </c>
      <c r="M66" s="1">
        <f t="shared" si="4"/>
        <v>99.98377407231709</v>
      </c>
      <c r="N66" s="1">
        <f t="shared" si="10"/>
        <v>0</v>
      </c>
      <c r="O66" s="1">
        <f t="shared" ca="1" si="5"/>
        <v>99.960385918742872</v>
      </c>
      <c r="P66" s="1">
        <f t="shared" si="11"/>
        <v>4</v>
      </c>
    </row>
    <row r="67" spans="1:16" x14ac:dyDescent="0.25">
      <c r="A67" s="21">
        <f t="shared" si="12"/>
        <v>46</v>
      </c>
      <c r="B67" s="1">
        <f t="shared" si="13"/>
        <v>100</v>
      </c>
      <c r="C67" s="1">
        <f t="shared" si="6"/>
        <v>100.01298074214637</v>
      </c>
      <c r="D67" s="1">
        <f t="shared" ca="1" si="7"/>
        <v>99.968308734994309</v>
      </c>
      <c r="E67" s="1">
        <f t="shared" ca="1" si="8"/>
        <v>400.12676506002293</v>
      </c>
      <c r="F67" s="1">
        <f t="shared" si="9"/>
        <v>4</v>
      </c>
      <c r="G67" s="1">
        <f t="shared" si="1"/>
        <v>400.05192296858547</v>
      </c>
      <c r="H67" s="1">
        <f t="shared" si="2"/>
        <v>400.05192296858547</v>
      </c>
      <c r="I67" s="1"/>
      <c r="J67" s="1">
        <f t="shared" si="3"/>
        <v>99.98701925785366</v>
      </c>
      <c r="M67" s="1">
        <f t="shared" si="4"/>
        <v>99.98701925785366</v>
      </c>
      <c r="N67" s="1">
        <f t="shared" si="10"/>
        <v>0</v>
      </c>
      <c r="O67" s="1">
        <f t="shared" ca="1" si="5"/>
        <v>99.968308734994309</v>
      </c>
      <c r="P67" s="1">
        <f t="shared" si="11"/>
        <v>4</v>
      </c>
    </row>
    <row r="68" spans="1:16" x14ac:dyDescent="0.25">
      <c r="A68" s="21">
        <f t="shared" si="12"/>
        <v>47</v>
      </c>
      <c r="B68" s="1">
        <f t="shared" si="13"/>
        <v>100</v>
      </c>
      <c r="C68" s="1">
        <f t="shared" si="6"/>
        <v>100.01038459371711</v>
      </c>
      <c r="D68" s="1">
        <f t="shared" ca="1" si="7"/>
        <v>99.974646987995413</v>
      </c>
      <c r="E68" s="1">
        <f t="shared" ca="1" si="8"/>
        <v>400.10141204801835</v>
      </c>
      <c r="F68" s="1">
        <f t="shared" si="9"/>
        <v>4</v>
      </c>
      <c r="G68" s="1">
        <f t="shared" si="1"/>
        <v>400.04153837486842</v>
      </c>
      <c r="H68" s="1">
        <f t="shared" si="2"/>
        <v>400.04153837486842</v>
      </c>
      <c r="I68" s="1"/>
      <c r="J68" s="1">
        <f t="shared" si="3"/>
        <v>99.989615406282951</v>
      </c>
      <c r="M68" s="1">
        <f t="shared" si="4"/>
        <v>99.989615406282951</v>
      </c>
      <c r="N68" s="1">
        <f t="shared" si="10"/>
        <v>0</v>
      </c>
      <c r="O68" s="1">
        <f t="shared" ca="1" si="5"/>
        <v>99.974646987995413</v>
      </c>
      <c r="P68" s="1">
        <f t="shared" si="11"/>
        <v>4</v>
      </c>
    </row>
    <row r="69" spans="1:16" x14ac:dyDescent="0.25">
      <c r="A69" s="21">
        <f t="shared" si="12"/>
        <v>48</v>
      </c>
      <c r="B69" s="1">
        <f t="shared" si="13"/>
        <v>100</v>
      </c>
      <c r="C69" s="1">
        <f t="shared" si="6"/>
        <v>100.00830767497369</v>
      </c>
      <c r="D69" s="1">
        <f t="shared" ca="1" si="7"/>
        <v>99.979717590396376</v>
      </c>
      <c r="E69" s="1">
        <f t="shared" ca="1" si="8"/>
        <v>400.08112963841472</v>
      </c>
      <c r="F69" s="1">
        <f t="shared" si="9"/>
        <v>4</v>
      </c>
      <c r="G69" s="1">
        <f t="shared" si="1"/>
        <v>400.03323069989477</v>
      </c>
      <c r="H69" s="1">
        <f t="shared" si="2"/>
        <v>400.03323069989477</v>
      </c>
      <c r="I69" s="1"/>
      <c r="J69" s="1">
        <f t="shared" si="3"/>
        <v>99.991692325026349</v>
      </c>
      <c r="M69" s="1">
        <f t="shared" si="4"/>
        <v>99.991692325026349</v>
      </c>
      <c r="N69" s="1">
        <f t="shared" si="10"/>
        <v>0</v>
      </c>
      <c r="O69" s="1">
        <f t="shared" ca="1" si="5"/>
        <v>99.979717590396376</v>
      </c>
      <c r="P69" s="1">
        <f t="shared" si="11"/>
        <v>4</v>
      </c>
    </row>
    <row r="70" spans="1:16" x14ac:dyDescent="0.25">
      <c r="A70" s="21">
        <f t="shared" si="12"/>
        <v>49</v>
      </c>
      <c r="B70" s="1">
        <f t="shared" si="13"/>
        <v>100</v>
      </c>
      <c r="C70" s="1">
        <f t="shared" si="6"/>
        <v>100.00664613997895</v>
      </c>
      <c r="D70" s="1">
        <f t="shared" ca="1" si="7"/>
        <v>99.98377407231709</v>
      </c>
      <c r="E70" s="1">
        <f t="shared" ca="1" si="8"/>
        <v>400.06490371073181</v>
      </c>
      <c r="F70" s="1">
        <f t="shared" si="9"/>
        <v>4</v>
      </c>
      <c r="G70" s="1">
        <f t="shared" si="1"/>
        <v>400.02658455991582</v>
      </c>
      <c r="H70" s="1">
        <f t="shared" si="2"/>
        <v>400.02658455991582</v>
      </c>
      <c r="I70" s="1"/>
      <c r="J70" s="1">
        <f t="shared" si="3"/>
        <v>99.993353860021045</v>
      </c>
      <c r="M70" s="1">
        <f t="shared" si="4"/>
        <v>99.993353860021045</v>
      </c>
      <c r="N70" s="1">
        <f t="shared" si="10"/>
        <v>0</v>
      </c>
      <c r="O70" s="1">
        <f t="shared" ca="1" si="5"/>
        <v>99.98377407231709</v>
      </c>
      <c r="P70" s="1">
        <f t="shared" si="11"/>
        <v>4</v>
      </c>
    </row>
    <row r="71" spans="1:16" x14ac:dyDescent="0.25">
      <c r="A71" s="21">
        <f t="shared" si="12"/>
        <v>50</v>
      </c>
      <c r="B71" s="1">
        <f t="shared" si="13"/>
        <v>100</v>
      </c>
      <c r="C71" s="1">
        <f t="shared" si="6"/>
        <v>100.00531691198317</v>
      </c>
      <c r="D71" s="1">
        <f t="shared" ca="1" si="7"/>
        <v>99.98701925785366</v>
      </c>
      <c r="E71" s="1">
        <f t="shared" ca="1" si="8"/>
        <v>400.05192296858547</v>
      </c>
      <c r="F71" s="1">
        <f t="shared" si="9"/>
        <v>4</v>
      </c>
      <c r="G71" s="1">
        <f t="shared" si="1"/>
        <v>400.02126764793269</v>
      </c>
      <c r="H71" s="1">
        <f t="shared" si="2"/>
        <v>400.02126764793269</v>
      </c>
      <c r="I71" s="1"/>
      <c r="J71" s="1">
        <f t="shared" si="3"/>
        <v>99.99468308801687</v>
      </c>
      <c r="M71" s="1">
        <f t="shared" si="4"/>
        <v>99.99468308801687</v>
      </c>
      <c r="N71" s="1">
        <f t="shared" si="10"/>
        <v>0</v>
      </c>
      <c r="O71" s="1">
        <f t="shared" ca="1" si="5"/>
        <v>99.98701925785366</v>
      </c>
      <c r="P71" s="1">
        <f t="shared" si="11"/>
        <v>4</v>
      </c>
    </row>
    <row r="72" spans="1:16" x14ac:dyDescent="0.25">
      <c r="A72" s="21">
        <f t="shared" si="12"/>
        <v>51</v>
      </c>
      <c r="B72" s="1">
        <f t="shared" si="13"/>
        <v>100</v>
      </c>
      <c r="C72" s="1">
        <f t="shared" si="6"/>
        <v>100.00425352958655</v>
      </c>
      <c r="D72" s="1">
        <f t="shared" ca="1" si="7"/>
        <v>99.989615406282951</v>
      </c>
      <c r="E72" s="1">
        <f t="shared" ca="1" si="8"/>
        <v>400.04153837486842</v>
      </c>
      <c r="F72" s="1">
        <f t="shared" si="9"/>
        <v>4</v>
      </c>
      <c r="G72" s="1">
        <f t="shared" si="1"/>
        <v>400.0170141183462</v>
      </c>
      <c r="H72" s="1">
        <f t="shared" si="2"/>
        <v>400.0170141183462</v>
      </c>
      <c r="I72" s="1"/>
      <c r="J72" s="1">
        <f t="shared" si="3"/>
        <v>99.995746470413508</v>
      </c>
      <c r="M72" s="1">
        <f t="shared" si="4"/>
        <v>99.995746470413508</v>
      </c>
      <c r="N72" s="1">
        <f t="shared" si="10"/>
        <v>0</v>
      </c>
      <c r="O72" s="1">
        <f t="shared" ca="1" si="5"/>
        <v>99.989615406282951</v>
      </c>
      <c r="P72" s="1">
        <f t="shared" si="11"/>
        <v>4</v>
      </c>
    </row>
    <row r="73" spans="1:16" x14ac:dyDescent="0.25">
      <c r="A73" s="21">
        <f t="shared" si="12"/>
        <v>52</v>
      </c>
      <c r="B73" s="1">
        <f t="shared" si="13"/>
        <v>100</v>
      </c>
      <c r="C73" s="1">
        <f t="shared" si="6"/>
        <v>100.00340282366925</v>
      </c>
      <c r="D73" s="1">
        <f t="shared" ca="1" si="7"/>
        <v>99.991692325026349</v>
      </c>
      <c r="E73" s="1">
        <f t="shared" ca="1" si="8"/>
        <v>400.03323069989477</v>
      </c>
      <c r="F73" s="1">
        <f t="shared" si="9"/>
        <v>4</v>
      </c>
      <c r="G73" s="1">
        <f t="shared" si="1"/>
        <v>400.01361129467699</v>
      </c>
      <c r="H73" s="1">
        <f t="shared" si="2"/>
        <v>400.01361129467699</v>
      </c>
      <c r="I73" s="1"/>
      <c r="J73" s="1">
        <f t="shared" si="3"/>
        <v>99.996597176330795</v>
      </c>
      <c r="M73" s="1">
        <f t="shared" si="4"/>
        <v>99.996597176330795</v>
      </c>
      <c r="N73" s="1">
        <f t="shared" si="10"/>
        <v>0</v>
      </c>
      <c r="O73" s="1">
        <f t="shared" ca="1" si="5"/>
        <v>99.991692325026349</v>
      </c>
      <c r="P73" s="1">
        <f t="shared" si="11"/>
        <v>4</v>
      </c>
    </row>
    <row r="74" spans="1:16" x14ac:dyDescent="0.25">
      <c r="A74" s="21">
        <f t="shared" si="12"/>
        <v>53</v>
      </c>
      <c r="B74" s="1">
        <f t="shared" si="13"/>
        <v>100</v>
      </c>
      <c r="C74" s="1">
        <f t="shared" si="6"/>
        <v>100.00272225893541</v>
      </c>
      <c r="D74" s="1">
        <f t="shared" ca="1" si="7"/>
        <v>99.993353860021045</v>
      </c>
      <c r="E74" s="1">
        <f t="shared" ca="1" si="8"/>
        <v>400.02658455991582</v>
      </c>
      <c r="F74" s="1">
        <f t="shared" si="9"/>
        <v>4</v>
      </c>
      <c r="G74" s="1">
        <f t="shared" si="1"/>
        <v>400.01088903574163</v>
      </c>
      <c r="H74" s="1">
        <f t="shared" si="2"/>
        <v>400.01088903574163</v>
      </c>
      <c r="I74" s="1"/>
      <c r="J74" s="1">
        <f t="shared" si="3"/>
        <v>99.997277741064636</v>
      </c>
      <c r="M74" s="1">
        <f t="shared" si="4"/>
        <v>99.997277741064636</v>
      </c>
      <c r="N74" s="1">
        <f t="shared" si="10"/>
        <v>0</v>
      </c>
      <c r="O74" s="1">
        <f t="shared" ca="1" si="5"/>
        <v>99.993353860021045</v>
      </c>
      <c r="P74" s="1">
        <f t="shared" si="11"/>
        <v>4</v>
      </c>
    </row>
    <row r="75" spans="1:16" x14ac:dyDescent="0.25">
      <c r="A75" s="21">
        <f t="shared" si="12"/>
        <v>54</v>
      </c>
      <c r="B75" s="1">
        <f t="shared" si="13"/>
        <v>100</v>
      </c>
      <c r="C75" s="1">
        <f t="shared" si="6"/>
        <v>100.00217780714833</v>
      </c>
      <c r="D75" s="1">
        <f t="shared" ca="1" si="7"/>
        <v>99.99468308801687</v>
      </c>
      <c r="E75" s="1">
        <f t="shared" ca="1" si="8"/>
        <v>400.02126764793269</v>
      </c>
      <c r="F75" s="1">
        <f t="shared" si="9"/>
        <v>4</v>
      </c>
      <c r="G75" s="1">
        <f t="shared" si="1"/>
        <v>400.00871122859331</v>
      </c>
      <c r="H75" s="1">
        <f t="shared" si="2"/>
        <v>400.00871122859331</v>
      </c>
      <c r="I75" s="1"/>
      <c r="J75" s="1">
        <f t="shared" si="3"/>
        <v>99.997822192851686</v>
      </c>
      <c r="M75" s="1">
        <f t="shared" si="4"/>
        <v>99.997822192851686</v>
      </c>
      <c r="N75" s="1">
        <f t="shared" si="10"/>
        <v>0</v>
      </c>
      <c r="O75" s="1">
        <f t="shared" ca="1" si="5"/>
        <v>99.99468308801687</v>
      </c>
      <c r="P75" s="1">
        <f t="shared" si="11"/>
        <v>4</v>
      </c>
    </row>
    <row r="76" spans="1:16" x14ac:dyDescent="0.25">
      <c r="A76" s="21">
        <f t="shared" si="12"/>
        <v>55</v>
      </c>
      <c r="B76" s="1">
        <f t="shared" si="13"/>
        <v>100</v>
      </c>
      <c r="C76" s="1">
        <f t="shared" si="6"/>
        <v>100.00174224571867</v>
      </c>
      <c r="D76" s="1">
        <f t="shared" ca="1" si="7"/>
        <v>99.995746470413508</v>
      </c>
      <c r="E76" s="1">
        <f t="shared" ca="1" si="8"/>
        <v>400.0170141183462</v>
      </c>
      <c r="F76" s="1">
        <f t="shared" si="9"/>
        <v>4</v>
      </c>
      <c r="G76" s="1">
        <f t="shared" si="1"/>
        <v>400.0069689828747</v>
      </c>
      <c r="H76" s="1">
        <f t="shared" si="2"/>
        <v>400.0069689828747</v>
      </c>
      <c r="I76" s="1"/>
      <c r="J76" s="1">
        <f t="shared" si="3"/>
        <v>99.998257754281383</v>
      </c>
      <c r="M76" s="1">
        <f t="shared" si="4"/>
        <v>99.998257754281383</v>
      </c>
      <c r="N76" s="1">
        <f t="shared" si="10"/>
        <v>0</v>
      </c>
      <c r="O76" s="1">
        <f t="shared" ca="1" si="5"/>
        <v>99.995746470413508</v>
      </c>
      <c r="P76" s="1">
        <f t="shared" si="11"/>
        <v>4</v>
      </c>
    </row>
    <row r="77" spans="1:16" x14ac:dyDescent="0.25">
      <c r="A77" s="21">
        <f t="shared" si="12"/>
        <v>56</v>
      </c>
      <c r="B77" s="1">
        <f t="shared" si="13"/>
        <v>100</v>
      </c>
      <c r="C77" s="1">
        <f t="shared" si="6"/>
        <v>100.00139379657494</v>
      </c>
      <c r="D77" s="1">
        <f t="shared" ca="1" si="7"/>
        <v>99.996597176330795</v>
      </c>
      <c r="E77" s="1">
        <f t="shared" ca="1" si="8"/>
        <v>400.01361129467699</v>
      </c>
      <c r="F77" s="1">
        <f t="shared" si="9"/>
        <v>4</v>
      </c>
      <c r="G77" s="1">
        <f t="shared" si="1"/>
        <v>400.00557518629978</v>
      </c>
      <c r="H77" s="1">
        <f t="shared" si="2"/>
        <v>400.00557518629978</v>
      </c>
      <c r="I77" s="1"/>
      <c r="J77" s="1">
        <f t="shared" si="3"/>
        <v>99.998606203425084</v>
      </c>
      <c r="M77" s="1">
        <f t="shared" si="4"/>
        <v>99.998606203425084</v>
      </c>
      <c r="N77" s="1">
        <f t="shared" si="10"/>
        <v>0</v>
      </c>
      <c r="O77" s="1">
        <f t="shared" ca="1" si="5"/>
        <v>99.996597176330795</v>
      </c>
      <c r="P77" s="1">
        <f t="shared" si="11"/>
        <v>4</v>
      </c>
    </row>
    <row r="78" spans="1:16" x14ac:dyDescent="0.25">
      <c r="A78" s="21">
        <f t="shared" si="12"/>
        <v>57</v>
      </c>
      <c r="B78" s="1">
        <f t="shared" si="13"/>
        <v>100</v>
      </c>
      <c r="C78" s="1">
        <f t="shared" si="6"/>
        <v>100.00111503725996</v>
      </c>
      <c r="D78" s="1">
        <f t="shared" ca="1" si="7"/>
        <v>99.997277741064636</v>
      </c>
      <c r="E78" s="1">
        <f t="shared" ca="1" si="8"/>
        <v>400.01088903574163</v>
      </c>
      <c r="F78" s="1">
        <f t="shared" si="9"/>
        <v>4</v>
      </c>
      <c r="G78" s="1">
        <f t="shared" si="1"/>
        <v>400.00446014903986</v>
      </c>
      <c r="H78" s="1">
        <f t="shared" si="2"/>
        <v>400.00446014903986</v>
      </c>
      <c r="I78" s="1"/>
      <c r="J78" s="1">
        <f t="shared" si="3"/>
        <v>99.998884962740078</v>
      </c>
      <c r="M78" s="1">
        <f t="shared" si="4"/>
        <v>99.998884962740078</v>
      </c>
      <c r="N78" s="1">
        <f t="shared" si="10"/>
        <v>0</v>
      </c>
      <c r="O78" s="1">
        <f t="shared" ca="1" si="5"/>
        <v>99.997277741064636</v>
      </c>
      <c r="P78" s="1">
        <f t="shared" si="11"/>
        <v>4</v>
      </c>
    </row>
    <row r="79" spans="1:16" x14ac:dyDescent="0.25">
      <c r="A79" s="21">
        <f t="shared" si="12"/>
        <v>58</v>
      </c>
      <c r="B79" s="1">
        <f t="shared" si="13"/>
        <v>100</v>
      </c>
      <c r="C79" s="1">
        <f t="shared" si="6"/>
        <v>100.00089202980797</v>
      </c>
      <c r="D79" s="1">
        <f t="shared" ca="1" si="7"/>
        <v>99.997822192851686</v>
      </c>
      <c r="E79" s="1">
        <f t="shared" ca="1" si="8"/>
        <v>400.00871122859331</v>
      </c>
      <c r="F79" s="1">
        <f t="shared" si="9"/>
        <v>4</v>
      </c>
      <c r="G79" s="1">
        <f t="shared" si="1"/>
        <v>400.00356811923189</v>
      </c>
      <c r="H79" s="1">
        <f t="shared" si="2"/>
        <v>400.00356811923189</v>
      </c>
      <c r="I79" s="1"/>
      <c r="J79" s="1">
        <f t="shared" si="3"/>
        <v>99.999107970192028</v>
      </c>
      <c r="M79" s="1">
        <f t="shared" si="4"/>
        <v>99.999107970192028</v>
      </c>
      <c r="N79" s="1">
        <f t="shared" si="10"/>
        <v>0</v>
      </c>
      <c r="O79" s="1">
        <f t="shared" ca="1" si="5"/>
        <v>99.997822192851686</v>
      </c>
      <c r="P79" s="1">
        <f t="shared" si="11"/>
        <v>4</v>
      </c>
    </row>
    <row r="80" spans="1:16" x14ac:dyDescent="0.25">
      <c r="A80" s="21">
        <f t="shared" si="12"/>
        <v>59</v>
      </c>
      <c r="B80" s="1">
        <f t="shared" si="13"/>
        <v>100</v>
      </c>
      <c r="C80" s="1">
        <f t="shared" si="6"/>
        <v>100.00071362384638</v>
      </c>
      <c r="D80" s="1">
        <f t="shared" ca="1" si="7"/>
        <v>99.998257754281383</v>
      </c>
      <c r="E80" s="1">
        <f t="shared" ca="1" si="8"/>
        <v>400.0069689828747</v>
      </c>
      <c r="F80" s="1">
        <f t="shared" si="9"/>
        <v>4</v>
      </c>
      <c r="G80" s="1">
        <f t="shared" si="1"/>
        <v>400.00285449538552</v>
      </c>
      <c r="H80" s="1">
        <f t="shared" si="2"/>
        <v>400.00285449538552</v>
      </c>
      <c r="I80" s="1"/>
      <c r="J80" s="1">
        <f t="shared" si="3"/>
        <v>99.999286376153634</v>
      </c>
      <c r="M80" s="1">
        <f t="shared" si="4"/>
        <v>99.999286376153634</v>
      </c>
      <c r="N80" s="1">
        <f t="shared" si="10"/>
        <v>0</v>
      </c>
      <c r="O80" s="1">
        <f t="shared" ca="1" si="5"/>
        <v>99.998257754281383</v>
      </c>
      <c r="P80" s="1">
        <f t="shared" si="11"/>
        <v>4</v>
      </c>
    </row>
    <row r="81" spans="1:16" x14ac:dyDescent="0.25">
      <c r="A81" s="21">
        <f t="shared" si="12"/>
        <v>60</v>
      </c>
      <c r="B81" s="1">
        <f t="shared" si="13"/>
        <v>100</v>
      </c>
      <c r="C81" s="1">
        <f t="shared" si="6"/>
        <v>100.0005708990771</v>
      </c>
      <c r="D81" s="1">
        <f t="shared" ca="1" si="7"/>
        <v>99.998606203425084</v>
      </c>
      <c r="E81" s="1">
        <f t="shared" ca="1" si="8"/>
        <v>400.00557518629978</v>
      </c>
      <c r="F81" s="1">
        <f t="shared" si="9"/>
        <v>4</v>
      </c>
      <c r="G81" s="1">
        <f t="shared" si="1"/>
        <v>400.00228359630842</v>
      </c>
      <c r="H81" s="1">
        <f t="shared" si="2"/>
        <v>400.00228359630842</v>
      </c>
      <c r="I81" s="1"/>
      <c r="J81" s="1">
        <f t="shared" si="3"/>
        <v>99.999429100922896</v>
      </c>
      <c r="M81" s="1">
        <f t="shared" si="4"/>
        <v>99.999429100922896</v>
      </c>
      <c r="N81" s="1">
        <f t="shared" si="10"/>
        <v>0</v>
      </c>
      <c r="O81" s="1">
        <f t="shared" ca="1" si="5"/>
        <v>99.998606203425084</v>
      </c>
      <c r="P81" s="1">
        <f t="shared" si="11"/>
        <v>4</v>
      </c>
    </row>
    <row r="82" spans="1:16" x14ac:dyDescent="0.25">
      <c r="A82" s="21">
        <f t="shared" si="12"/>
        <v>61</v>
      </c>
      <c r="B82" s="1">
        <f t="shared" si="13"/>
        <v>100</v>
      </c>
      <c r="C82" s="1">
        <f t="shared" si="6"/>
        <v>100.00045671926169</v>
      </c>
      <c r="D82" s="1">
        <f t="shared" ca="1" si="7"/>
        <v>99.998884962740078</v>
      </c>
      <c r="E82" s="1">
        <f t="shared" ca="1" si="8"/>
        <v>400.00446014903986</v>
      </c>
      <c r="F82" s="1">
        <f t="shared" si="9"/>
        <v>4</v>
      </c>
      <c r="G82" s="1">
        <f t="shared" si="1"/>
        <v>400.00182687704677</v>
      </c>
      <c r="H82" s="1">
        <f t="shared" si="2"/>
        <v>400.00182687704677</v>
      </c>
      <c r="I82" s="1"/>
      <c r="J82" s="1">
        <f t="shared" si="3"/>
        <v>99.999543280738351</v>
      </c>
      <c r="M82" s="1">
        <f t="shared" si="4"/>
        <v>99.999543280738351</v>
      </c>
      <c r="N82" s="1">
        <f t="shared" si="10"/>
        <v>0</v>
      </c>
      <c r="O82" s="1">
        <f t="shared" ca="1" si="5"/>
        <v>99.998884962740078</v>
      </c>
      <c r="P82" s="1">
        <f t="shared" si="11"/>
        <v>4</v>
      </c>
    </row>
    <row r="83" spans="1:16" x14ac:dyDescent="0.25">
      <c r="A83" s="21">
        <f t="shared" si="12"/>
        <v>62</v>
      </c>
      <c r="B83" s="1">
        <f t="shared" si="13"/>
        <v>100</v>
      </c>
      <c r="C83" s="1">
        <f t="shared" si="6"/>
        <v>100.00036537540936</v>
      </c>
      <c r="D83" s="1">
        <f t="shared" ca="1" si="7"/>
        <v>99.999107970192028</v>
      </c>
      <c r="E83" s="1">
        <f t="shared" ca="1" si="8"/>
        <v>400.00356811923189</v>
      </c>
      <c r="F83" s="1">
        <f t="shared" si="9"/>
        <v>4</v>
      </c>
      <c r="G83" s="1">
        <f t="shared" si="1"/>
        <v>400.00146150163744</v>
      </c>
      <c r="H83" s="1">
        <f t="shared" si="2"/>
        <v>400.00146150163744</v>
      </c>
      <c r="I83" s="1"/>
      <c r="J83" s="1">
        <f t="shared" si="3"/>
        <v>99.999634624590669</v>
      </c>
      <c r="M83" s="1">
        <f t="shared" si="4"/>
        <v>99.999634624590669</v>
      </c>
      <c r="N83" s="1">
        <f t="shared" si="10"/>
        <v>0</v>
      </c>
      <c r="O83" s="1">
        <f t="shared" ca="1" si="5"/>
        <v>99.999107970192028</v>
      </c>
      <c r="P83" s="1">
        <f t="shared" si="11"/>
        <v>4</v>
      </c>
    </row>
    <row r="84" spans="1:16" x14ac:dyDescent="0.25">
      <c r="A84" s="21">
        <f t="shared" si="12"/>
        <v>63</v>
      </c>
      <c r="B84" s="1">
        <f t="shared" si="13"/>
        <v>100</v>
      </c>
      <c r="C84" s="1">
        <f t="shared" si="6"/>
        <v>100.00029230032749</v>
      </c>
      <c r="D84" s="1">
        <f t="shared" ca="1" si="7"/>
        <v>99.999286376153634</v>
      </c>
      <c r="E84" s="1">
        <f t="shared" ca="1" si="8"/>
        <v>400.00285449538552</v>
      </c>
      <c r="F84" s="1">
        <f t="shared" si="9"/>
        <v>4</v>
      </c>
      <c r="G84" s="1">
        <f t="shared" si="1"/>
        <v>400.00116920130995</v>
      </c>
      <c r="H84" s="1">
        <f t="shared" si="2"/>
        <v>400.00116920130995</v>
      </c>
      <c r="I84" s="1"/>
      <c r="J84" s="1">
        <f t="shared" si="3"/>
        <v>99.999707699672513</v>
      </c>
      <c r="M84" s="1">
        <f t="shared" si="4"/>
        <v>99.999707699672513</v>
      </c>
      <c r="N84" s="1">
        <f t="shared" si="10"/>
        <v>0</v>
      </c>
      <c r="O84" s="1">
        <f t="shared" ca="1" si="5"/>
        <v>99.999286376153634</v>
      </c>
      <c r="P84" s="1">
        <f t="shared" si="11"/>
        <v>4</v>
      </c>
    </row>
    <row r="85" spans="1:16" x14ac:dyDescent="0.25">
      <c r="A85" s="21">
        <f t="shared" si="12"/>
        <v>64</v>
      </c>
      <c r="B85" s="1">
        <f t="shared" si="13"/>
        <v>100</v>
      </c>
      <c r="C85" s="1">
        <f t="shared" si="6"/>
        <v>100.000233840262</v>
      </c>
      <c r="D85" s="1">
        <f t="shared" ca="1" si="7"/>
        <v>99.999429100922896</v>
      </c>
      <c r="E85" s="1">
        <f t="shared" ca="1" si="8"/>
        <v>400.00228359630842</v>
      </c>
      <c r="F85" s="1">
        <f t="shared" si="9"/>
        <v>4</v>
      </c>
      <c r="G85" s="1">
        <f t="shared" si="1"/>
        <v>400.00093536104799</v>
      </c>
      <c r="H85" s="1">
        <f t="shared" si="2"/>
        <v>400.00093536104799</v>
      </c>
      <c r="I85" s="1"/>
      <c r="J85" s="1">
        <f t="shared" si="3"/>
        <v>99.999766159738044</v>
      </c>
      <c r="M85" s="1">
        <f t="shared" si="4"/>
        <v>99.999766159738044</v>
      </c>
      <c r="N85" s="1">
        <f t="shared" si="10"/>
        <v>0</v>
      </c>
      <c r="O85" s="1">
        <f t="shared" ca="1" si="5"/>
        <v>99.999429100922896</v>
      </c>
      <c r="P85" s="1">
        <f t="shared" si="11"/>
        <v>4</v>
      </c>
    </row>
    <row r="86" spans="1:16" x14ac:dyDescent="0.25">
      <c r="A86" s="21">
        <f t="shared" si="12"/>
        <v>65</v>
      </c>
      <c r="B86" s="1">
        <f t="shared" si="13"/>
        <v>100</v>
      </c>
      <c r="C86" s="1">
        <f t="shared" si="6"/>
        <v>100.0001870722096</v>
      </c>
      <c r="D86" s="1">
        <f t="shared" ca="1" si="7"/>
        <v>99.999543280738351</v>
      </c>
      <c r="E86" s="1">
        <f t="shared" ca="1" si="8"/>
        <v>400.00182687704677</v>
      </c>
      <c r="F86" s="1">
        <f t="shared" si="9"/>
        <v>4</v>
      </c>
      <c r="G86" s="1">
        <f t="shared" ref="G86:G149" si="14">F86*C86</f>
        <v>400.00074828883839</v>
      </c>
      <c r="H86" s="1">
        <f t="shared" ref="H86:H149" si="15">H85+J86-B86</f>
        <v>400.00074828883839</v>
      </c>
      <c r="I86" s="1"/>
      <c r="J86" s="1">
        <f t="shared" ref="J86:J149" si="16">MIN(M$11,MAX(0,B86+G86-H85))</f>
        <v>99.999812927790401</v>
      </c>
      <c r="M86" s="1">
        <f t="shared" ref="M86:M149" si="17">MAX(0,MIN(M$11,J86))</f>
        <v>99.999812927790401</v>
      </c>
      <c r="N86" s="1">
        <f t="shared" si="10"/>
        <v>0</v>
      </c>
      <c r="O86" s="1">
        <f t="shared" ref="O86:O149" ca="1" si="18">IF(A86&lt;=M$12,C$12,OFFSET(O86,-M$12,-2))</f>
        <v>99.999543280738351</v>
      </c>
      <c r="P86" s="1">
        <f t="shared" si="11"/>
        <v>4</v>
      </c>
    </row>
    <row r="87" spans="1:16" x14ac:dyDescent="0.25">
      <c r="A87" s="21">
        <f t="shared" si="12"/>
        <v>66</v>
      </c>
      <c r="B87" s="1">
        <f t="shared" si="13"/>
        <v>100</v>
      </c>
      <c r="C87" s="1">
        <f t="shared" ref="C87:C150" si="19">C$11*B87+(1-C$11)*C86</f>
        <v>100.00014965776768</v>
      </c>
      <c r="D87" s="1">
        <f t="shared" ref="D87:D150" ca="1" si="20">O87</f>
        <v>99.999634624590669</v>
      </c>
      <c r="E87" s="1">
        <f t="shared" ref="E87:E150" ca="1" si="21">E86+D87-B87</f>
        <v>400.00146150163744</v>
      </c>
      <c r="F87" s="1">
        <f t="shared" ref="F87:F150" si="22">P86</f>
        <v>4</v>
      </c>
      <c r="G87" s="1">
        <f t="shared" si="14"/>
        <v>400.00059863107072</v>
      </c>
      <c r="H87" s="1">
        <f t="shared" si="15"/>
        <v>400.00059863107072</v>
      </c>
      <c r="I87" s="1"/>
      <c r="J87" s="1">
        <f t="shared" si="16"/>
        <v>99.999850342232321</v>
      </c>
      <c r="M87" s="1">
        <f t="shared" si="17"/>
        <v>99.999850342232321</v>
      </c>
      <c r="N87" s="1">
        <f t="shared" ref="N87:N150" si="23">G87-H87</f>
        <v>0</v>
      </c>
      <c r="O87" s="1">
        <f t="shared" ca="1" si="18"/>
        <v>99.999634624590669</v>
      </c>
      <c r="P87" s="1">
        <f t="shared" ref="P87:P150" si="24">M$12+N87/M$11</f>
        <v>4</v>
      </c>
    </row>
    <row r="88" spans="1:16" x14ac:dyDescent="0.25">
      <c r="A88" s="21">
        <f t="shared" ref="A88:A151" si="25">1+A87</f>
        <v>67</v>
      </c>
      <c r="B88" s="1">
        <f t="shared" si="13"/>
        <v>100</v>
      </c>
      <c r="C88" s="1">
        <f t="shared" si="19"/>
        <v>100.00011972621415</v>
      </c>
      <c r="D88" s="1">
        <f t="shared" ca="1" si="20"/>
        <v>99.999707699672513</v>
      </c>
      <c r="E88" s="1">
        <f t="shared" ca="1" si="21"/>
        <v>400.00116920130995</v>
      </c>
      <c r="F88" s="1">
        <f t="shared" si="22"/>
        <v>4</v>
      </c>
      <c r="G88" s="1">
        <f t="shared" si="14"/>
        <v>400.00047890485661</v>
      </c>
      <c r="H88" s="1">
        <f t="shared" si="15"/>
        <v>400.00047890485661</v>
      </c>
      <c r="I88" s="1"/>
      <c r="J88" s="1">
        <f t="shared" si="16"/>
        <v>99.999880273785891</v>
      </c>
      <c r="M88" s="1">
        <f t="shared" si="17"/>
        <v>99.999880273785891</v>
      </c>
      <c r="N88" s="1">
        <f t="shared" si="23"/>
        <v>0</v>
      </c>
      <c r="O88" s="1">
        <f t="shared" ca="1" si="18"/>
        <v>99.999707699672513</v>
      </c>
      <c r="P88" s="1">
        <f t="shared" si="24"/>
        <v>4</v>
      </c>
    </row>
    <row r="89" spans="1:16" x14ac:dyDescent="0.25">
      <c r="A89" s="21">
        <f t="shared" si="25"/>
        <v>68</v>
      </c>
      <c r="B89" s="1">
        <f t="shared" si="13"/>
        <v>100</v>
      </c>
      <c r="C89" s="1">
        <f t="shared" si="19"/>
        <v>100.00009578097132</v>
      </c>
      <c r="D89" s="1">
        <f t="shared" ca="1" si="20"/>
        <v>99.999766159738044</v>
      </c>
      <c r="E89" s="1">
        <f t="shared" ca="1" si="21"/>
        <v>400.00093536104799</v>
      </c>
      <c r="F89" s="1">
        <f t="shared" si="22"/>
        <v>4</v>
      </c>
      <c r="G89" s="1">
        <f t="shared" si="14"/>
        <v>400.00038312388529</v>
      </c>
      <c r="H89" s="1">
        <f t="shared" si="15"/>
        <v>400.00038312388529</v>
      </c>
      <c r="I89" s="1"/>
      <c r="J89" s="1">
        <f t="shared" si="16"/>
        <v>99.999904219028679</v>
      </c>
      <c r="M89" s="1">
        <f t="shared" si="17"/>
        <v>99.999904219028679</v>
      </c>
      <c r="N89" s="1">
        <f t="shared" si="23"/>
        <v>0</v>
      </c>
      <c r="O89" s="1">
        <f t="shared" ca="1" si="18"/>
        <v>99.999766159738044</v>
      </c>
      <c r="P89" s="1">
        <f t="shared" si="24"/>
        <v>4</v>
      </c>
    </row>
    <row r="90" spans="1:16" x14ac:dyDescent="0.25">
      <c r="A90" s="21">
        <f t="shared" si="25"/>
        <v>69</v>
      </c>
      <c r="B90" s="1">
        <f t="shared" si="13"/>
        <v>100</v>
      </c>
      <c r="C90" s="1">
        <f t="shared" si="19"/>
        <v>100.00007662477707</v>
      </c>
      <c r="D90" s="1">
        <f t="shared" ca="1" si="20"/>
        <v>99.999812927790401</v>
      </c>
      <c r="E90" s="1">
        <f t="shared" ca="1" si="21"/>
        <v>400.00074828883839</v>
      </c>
      <c r="F90" s="1">
        <f t="shared" si="22"/>
        <v>4</v>
      </c>
      <c r="G90" s="1">
        <f t="shared" si="14"/>
        <v>400.00030649910826</v>
      </c>
      <c r="H90" s="1">
        <f t="shared" si="15"/>
        <v>400.00030649910826</v>
      </c>
      <c r="I90" s="1"/>
      <c r="J90" s="1">
        <f t="shared" si="16"/>
        <v>99.999923375222977</v>
      </c>
      <c r="M90" s="1">
        <f t="shared" si="17"/>
        <v>99.999923375222977</v>
      </c>
      <c r="N90" s="1">
        <f t="shared" si="23"/>
        <v>0</v>
      </c>
      <c r="O90" s="1">
        <f t="shared" ca="1" si="18"/>
        <v>99.999812927790401</v>
      </c>
      <c r="P90" s="1">
        <f t="shared" si="24"/>
        <v>4</v>
      </c>
    </row>
    <row r="91" spans="1:16" x14ac:dyDescent="0.25">
      <c r="A91" s="21">
        <f t="shared" si="25"/>
        <v>70</v>
      </c>
      <c r="B91" s="1">
        <f t="shared" si="13"/>
        <v>100</v>
      </c>
      <c r="C91" s="1">
        <f t="shared" si="19"/>
        <v>100.00006129982165</v>
      </c>
      <c r="D91" s="1">
        <f t="shared" ca="1" si="20"/>
        <v>99.999850342232321</v>
      </c>
      <c r="E91" s="1">
        <f t="shared" ca="1" si="21"/>
        <v>400.00059863107072</v>
      </c>
      <c r="F91" s="1">
        <f t="shared" si="22"/>
        <v>4</v>
      </c>
      <c r="G91" s="1">
        <f t="shared" si="14"/>
        <v>400.00024519928661</v>
      </c>
      <c r="H91" s="1">
        <f t="shared" si="15"/>
        <v>400.00024519928661</v>
      </c>
      <c r="I91" s="1"/>
      <c r="J91" s="1">
        <f t="shared" si="16"/>
        <v>99.999938700178348</v>
      </c>
      <c r="M91" s="1">
        <f t="shared" si="17"/>
        <v>99.999938700178348</v>
      </c>
      <c r="N91" s="1">
        <f t="shared" si="23"/>
        <v>0</v>
      </c>
      <c r="O91" s="1">
        <f t="shared" ca="1" si="18"/>
        <v>99.999850342232321</v>
      </c>
      <c r="P91" s="1">
        <f t="shared" si="24"/>
        <v>4</v>
      </c>
    </row>
    <row r="92" spans="1:16" x14ac:dyDescent="0.25">
      <c r="A92" s="21">
        <f t="shared" si="25"/>
        <v>71</v>
      </c>
      <c r="B92" s="1">
        <f t="shared" si="13"/>
        <v>100</v>
      </c>
      <c r="C92" s="1">
        <f t="shared" si="19"/>
        <v>100.00004903985733</v>
      </c>
      <c r="D92" s="1">
        <f t="shared" ca="1" si="20"/>
        <v>99.999880273785891</v>
      </c>
      <c r="E92" s="1">
        <f t="shared" ca="1" si="21"/>
        <v>400.00047890485661</v>
      </c>
      <c r="F92" s="1">
        <f t="shared" si="22"/>
        <v>4</v>
      </c>
      <c r="G92" s="1">
        <f t="shared" si="14"/>
        <v>400.00019615942932</v>
      </c>
      <c r="H92" s="1">
        <f t="shared" si="15"/>
        <v>400.00019615942932</v>
      </c>
      <c r="I92" s="1"/>
      <c r="J92" s="1">
        <f t="shared" si="16"/>
        <v>99.999950960142712</v>
      </c>
      <c r="M92" s="1">
        <f t="shared" si="17"/>
        <v>99.999950960142712</v>
      </c>
      <c r="N92" s="1">
        <f t="shared" si="23"/>
        <v>0</v>
      </c>
      <c r="O92" s="1">
        <f t="shared" ca="1" si="18"/>
        <v>99.999880273785891</v>
      </c>
      <c r="P92" s="1">
        <f t="shared" si="24"/>
        <v>4</v>
      </c>
    </row>
    <row r="93" spans="1:16" x14ac:dyDescent="0.25">
      <c r="A93" s="21">
        <f t="shared" si="25"/>
        <v>72</v>
      </c>
      <c r="B93" s="1">
        <f t="shared" si="13"/>
        <v>100</v>
      </c>
      <c r="C93" s="1">
        <f t="shared" si="19"/>
        <v>100.00003923188586</v>
      </c>
      <c r="D93" s="1">
        <f t="shared" ca="1" si="20"/>
        <v>99.999904219028679</v>
      </c>
      <c r="E93" s="1">
        <f t="shared" ca="1" si="21"/>
        <v>400.00038312388529</v>
      </c>
      <c r="F93" s="1">
        <f t="shared" si="22"/>
        <v>4</v>
      </c>
      <c r="G93" s="1">
        <f t="shared" si="14"/>
        <v>400.00015692754346</v>
      </c>
      <c r="H93" s="1">
        <f t="shared" si="15"/>
        <v>400.00015692754346</v>
      </c>
      <c r="I93" s="1"/>
      <c r="J93" s="1">
        <f t="shared" si="16"/>
        <v>99.999960768114136</v>
      </c>
      <c r="M93" s="1">
        <f t="shared" si="17"/>
        <v>99.999960768114136</v>
      </c>
      <c r="N93" s="1">
        <f t="shared" si="23"/>
        <v>0</v>
      </c>
      <c r="O93" s="1">
        <f t="shared" ca="1" si="18"/>
        <v>99.999904219028679</v>
      </c>
      <c r="P93" s="1">
        <f t="shared" si="24"/>
        <v>4</v>
      </c>
    </row>
    <row r="94" spans="1:16" x14ac:dyDescent="0.25">
      <c r="A94" s="21">
        <f t="shared" si="25"/>
        <v>73</v>
      </c>
      <c r="B94" s="1">
        <f t="shared" si="13"/>
        <v>100</v>
      </c>
      <c r="C94" s="1">
        <f t="shared" si="19"/>
        <v>100.00003138550869</v>
      </c>
      <c r="D94" s="1">
        <f t="shared" ca="1" si="20"/>
        <v>99.999923375222977</v>
      </c>
      <c r="E94" s="1">
        <f t="shared" ca="1" si="21"/>
        <v>400.00030649910826</v>
      </c>
      <c r="F94" s="1">
        <f t="shared" si="22"/>
        <v>4</v>
      </c>
      <c r="G94" s="1">
        <f t="shared" si="14"/>
        <v>400.00012554203477</v>
      </c>
      <c r="H94" s="1">
        <f t="shared" si="15"/>
        <v>400.00012554203477</v>
      </c>
      <c r="I94" s="1"/>
      <c r="J94" s="1">
        <f t="shared" si="16"/>
        <v>99.999968614491308</v>
      </c>
      <c r="M94" s="1">
        <f t="shared" si="17"/>
        <v>99.999968614491308</v>
      </c>
      <c r="N94" s="1">
        <f t="shared" si="23"/>
        <v>0</v>
      </c>
      <c r="O94" s="1">
        <f t="shared" ca="1" si="18"/>
        <v>99.999923375222977</v>
      </c>
      <c r="P94" s="1">
        <f t="shared" si="24"/>
        <v>4</v>
      </c>
    </row>
    <row r="95" spans="1:16" x14ac:dyDescent="0.25">
      <c r="A95" s="21">
        <f t="shared" si="25"/>
        <v>74</v>
      </c>
      <c r="B95" s="1">
        <f t="shared" si="13"/>
        <v>100</v>
      </c>
      <c r="C95" s="1">
        <f t="shared" si="19"/>
        <v>100.00002510840696</v>
      </c>
      <c r="D95" s="1">
        <f t="shared" ca="1" si="20"/>
        <v>99.999938700178348</v>
      </c>
      <c r="E95" s="1">
        <f t="shared" ca="1" si="21"/>
        <v>400.00024519928661</v>
      </c>
      <c r="F95" s="1">
        <f t="shared" si="22"/>
        <v>4</v>
      </c>
      <c r="G95" s="1">
        <f t="shared" si="14"/>
        <v>400.00010043362784</v>
      </c>
      <c r="H95" s="1">
        <f t="shared" si="15"/>
        <v>400.00010043362784</v>
      </c>
      <c r="I95" s="1"/>
      <c r="J95" s="1">
        <f t="shared" si="16"/>
        <v>99.99997489159307</v>
      </c>
      <c r="M95" s="1">
        <f t="shared" si="17"/>
        <v>99.99997489159307</v>
      </c>
      <c r="N95" s="1">
        <f t="shared" si="23"/>
        <v>0</v>
      </c>
      <c r="O95" s="1">
        <f t="shared" ca="1" si="18"/>
        <v>99.999938700178348</v>
      </c>
      <c r="P95" s="1">
        <f t="shared" si="24"/>
        <v>4</v>
      </c>
    </row>
    <row r="96" spans="1:16" x14ac:dyDescent="0.25">
      <c r="A96" s="21">
        <f t="shared" si="25"/>
        <v>75</v>
      </c>
      <c r="B96" s="1">
        <f t="shared" ref="B96:B159" si="26">C$12</f>
        <v>100</v>
      </c>
      <c r="C96" s="1">
        <f t="shared" si="19"/>
        <v>100.00002008672557</v>
      </c>
      <c r="D96" s="1">
        <f t="shared" ca="1" si="20"/>
        <v>99.999950960142712</v>
      </c>
      <c r="E96" s="1">
        <f t="shared" ca="1" si="21"/>
        <v>400.00019615942932</v>
      </c>
      <c r="F96" s="1">
        <f t="shared" si="22"/>
        <v>4</v>
      </c>
      <c r="G96" s="1">
        <f t="shared" si="14"/>
        <v>400.00008034690228</v>
      </c>
      <c r="H96" s="1">
        <f t="shared" si="15"/>
        <v>400.00008034690228</v>
      </c>
      <c r="I96" s="1"/>
      <c r="J96" s="1">
        <f t="shared" si="16"/>
        <v>99.999979913274444</v>
      </c>
      <c r="M96" s="1">
        <f t="shared" si="17"/>
        <v>99.999979913274444</v>
      </c>
      <c r="N96" s="1">
        <f t="shared" si="23"/>
        <v>0</v>
      </c>
      <c r="O96" s="1">
        <f t="shared" ca="1" si="18"/>
        <v>99.999950960142712</v>
      </c>
      <c r="P96" s="1">
        <f t="shared" si="24"/>
        <v>4</v>
      </c>
    </row>
    <row r="97" spans="1:16" x14ac:dyDescent="0.25">
      <c r="A97" s="21">
        <f t="shared" si="25"/>
        <v>76</v>
      </c>
      <c r="B97" s="1">
        <f t="shared" si="26"/>
        <v>100</v>
      </c>
      <c r="C97" s="1">
        <f t="shared" si="19"/>
        <v>100.00001606938046</v>
      </c>
      <c r="D97" s="1">
        <f t="shared" ca="1" si="20"/>
        <v>99.999960768114136</v>
      </c>
      <c r="E97" s="1">
        <f t="shared" ca="1" si="21"/>
        <v>400.00015692754346</v>
      </c>
      <c r="F97" s="1">
        <f t="shared" si="22"/>
        <v>4</v>
      </c>
      <c r="G97" s="1">
        <f t="shared" si="14"/>
        <v>400.00006427752186</v>
      </c>
      <c r="H97" s="1">
        <f t="shared" si="15"/>
        <v>400.00006427752186</v>
      </c>
      <c r="I97" s="1"/>
      <c r="J97" s="1">
        <f t="shared" si="16"/>
        <v>99.999983930619578</v>
      </c>
      <c r="M97" s="1">
        <f t="shared" si="17"/>
        <v>99.999983930619578</v>
      </c>
      <c r="N97" s="1">
        <f t="shared" si="23"/>
        <v>0</v>
      </c>
      <c r="O97" s="1">
        <f t="shared" ca="1" si="18"/>
        <v>99.999960768114136</v>
      </c>
      <c r="P97" s="1">
        <f t="shared" si="24"/>
        <v>4</v>
      </c>
    </row>
    <row r="98" spans="1:16" x14ac:dyDescent="0.25">
      <c r="A98" s="21">
        <f t="shared" si="25"/>
        <v>77</v>
      </c>
      <c r="B98" s="1">
        <f t="shared" si="26"/>
        <v>100</v>
      </c>
      <c r="C98" s="1">
        <f t="shared" si="19"/>
        <v>100.00001285550438</v>
      </c>
      <c r="D98" s="1">
        <f t="shared" ca="1" si="20"/>
        <v>99.999968614491308</v>
      </c>
      <c r="E98" s="1">
        <f t="shared" ca="1" si="21"/>
        <v>400.00012554203477</v>
      </c>
      <c r="F98" s="1">
        <f t="shared" si="22"/>
        <v>4</v>
      </c>
      <c r="G98" s="1">
        <f t="shared" si="14"/>
        <v>400.00005142201752</v>
      </c>
      <c r="H98" s="1">
        <f t="shared" si="15"/>
        <v>400.00005142201752</v>
      </c>
      <c r="I98" s="1"/>
      <c r="J98" s="1">
        <f t="shared" si="16"/>
        <v>99.999987144495663</v>
      </c>
      <c r="M98" s="1">
        <f t="shared" si="17"/>
        <v>99.999987144495663</v>
      </c>
      <c r="N98" s="1">
        <f t="shared" si="23"/>
        <v>0</v>
      </c>
      <c r="O98" s="1">
        <f t="shared" ca="1" si="18"/>
        <v>99.999968614491308</v>
      </c>
      <c r="P98" s="1">
        <f t="shared" si="24"/>
        <v>4</v>
      </c>
    </row>
    <row r="99" spans="1:16" x14ac:dyDescent="0.25">
      <c r="A99" s="21">
        <f t="shared" si="25"/>
        <v>78</v>
      </c>
      <c r="B99" s="1">
        <f t="shared" si="26"/>
        <v>100</v>
      </c>
      <c r="C99" s="1">
        <f t="shared" si="19"/>
        <v>100.00001028440352</v>
      </c>
      <c r="D99" s="1">
        <f t="shared" ca="1" si="20"/>
        <v>99.99997489159307</v>
      </c>
      <c r="E99" s="1">
        <f t="shared" ca="1" si="21"/>
        <v>400.00010043362784</v>
      </c>
      <c r="F99" s="1">
        <f t="shared" si="22"/>
        <v>4</v>
      </c>
      <c r="G99" s="1">
        <f t="shared" si="14"/>
        <v>400.00004113761406</v>
      </c>
      <c r="H99" s="1">
        <f t="shared" si="15"/>
        <v>400.00004113761406</v>
      </c>
      <c r="I99" s="1"/>
      <c r="J99" s="1">
        <f t="shared" si="16"/>
        <v>99.999989715596541</v>
      </c>
      <c r="M99" s="1">
        <f t="shared" si="17"/>
        <v>99.999989715596541</v>
      </c>
      <c r="N99" s="1">
        <f t="shared" si="23"/>
        <v>0</v>
      </c>
      <c r="O99" s="1">
        <f t="shared" ca="1" si="18"/>
        <v>99.99997489159307</v>
      </c>
      <c r="P99" s="1">
        <f t="shared" si="24"/>
        <v>4</v>
      </c>
    </row>
    <row r="100" spans="1:16" x14ac:dyDescent="0.25">
      <c r="A100" s="21">
        <f t="shared" si="25"/>
        <v>79</v>
      </c>
      <c r="B100" s="1">
        <f t="shared" si="26"/>
        <v>100</v>
      </c>
      <c r="C100" s="1">
        <f t="shared" si="19"/>
        <v>100.00000822752281</v>
      </c>
      <c r="D100" s="1">
        <f t="shared" ca="1" si="20"/>
        <v>99.999979913274444</v>
      </c>
      <c r="E100" s="1">
        <f t="shared" ca="1" si="21"/>
        <v>400.00008034690228</v>
      </c>
      <c r="F100" s="1">
        <f t="shared" si="22"/>
        <v>4</v>
      </c>
      <c r="G100" s="1">
        <f t="shared" si="14"/>
        <v>400.00003291009125</v>
      </c>
      <c r="H100" s="1">
        <f t="shared" si="15"/>
        <v>400.00003291009125</v>
      </c>
      <c r="I100" s="1"/>
      <c r="J100" s="1">
        <f t="shared" si="16"/>
        <v>99.999991772477188</v>
      </c>
      <c r="M100" s="1">
        <f t="shared" si="17"/>
        <v>99.999991772477188</v>
      </c>
      <c r="N100" s="1">
        <f t="shared" si="23"/>
        <v>0</v>
      </c>
      <c r="O100" s="1">
        <f t="shared" ca="1" si="18"/>
        <v>99.999979913274444</v>
      </c>
      <c r="P100" s="1">
        <f t="shared" si="24"/>
        <v>4</v>
      </c>
    </row>
    <row r="101" spans="1:16" x14ac:dyDescent="0.25">
      <c r="A101" s="21">
        <f t="shared" si="25"/>
        <v>80</v>
      </c>
      <c r="B101" s="1">
        <f t="shared" si="26"/>
        <v>100</v>
      </c>
      <c r="C101" s="1">
        <f t="shared" si="19"/>
        <v>100.00000658201826</v>
      </c>
      <c r="D101" s="1">
        <f t="shared" ca="1" si="20"/>
        <v>99.999983930619578</v>
      </c>
      <c r="E101" s="1">
        <f t="shared" ca="1" si="21"/>
        <v>400.00006427752186</v>
      </c>
      <c r="F101" s="1">
        <f t="shared" si="22"/>
        <v>4</v>
      </c>
      <c r="G101" s="1">
        <f t="shared" si="14"/>
        <v>400.00002632807303</v>
      </c>
      <c r="H101" s="1">
        <f t="shared" si="15"/>
        <v>400.00002632807303</v>
      </c>
      <c r="I101" s="1"/>
      <c r="J101" s="1">
        <f t="shared" si="16"/>
        <v>99.999993417981784</v>
      </c>
      <c r="M101" s="1">
        <f t="shared" si="17"/>
        <v>99.999993417981784</v>
      </c>
      <c r="N101" s="1">
        <f t="shared" si="23"/>
        <v>0</v>
      </c>
      <c r="O101" s="1">
        <f t="shared" ca="1" si="18"/>
        <v>99.999983930619578</v>
      </c>
      <c r="P101" s="1">
        <f t="shared" si="24"/>
        <v>4</v>
      </c>
    </row>
    <row r="102" spans="1:16" x14ac:dyDescent="0.25">
      <c r="A102" s="21">
        <f t="shared" si="25"/>
        <v>81</v>
      </c>
      <c r="B102" s="1">
        <f t="shared" si="26"/>
        <v>100</v>
      </c>
      <c r="C102" s="1">
        <f t="shared" si="19"/>
        <v>100.00000526561462</v>
      </c>
      <c r="D102" s="1">
        <f t="shared" ca="1" si="20"/>
        <v>99.999987144495663</v>
      </c>
      <c r="E102" s="1">
        <f t="shared" ca="1" si="21"/>
        <v>400.00005142201752</v>
      </c>
      <c r="F102" s="1">
        <f t="shared" si="22"/>
        <v>4</v>
      </c>
      <c r="G102" s="1">
        <f t="shared" si="14"/>
        <v>400.00002106245847</v>
      </c>
      <c r="H102" s="1">
        <f t="shared" si="15"/>
        <v>400.00002106245847</v>
      </c>
      <c r="I102" s="1"/>
      <c r="J102" s="1">
        <f t="shared" si="16"/>
        <v>99.999994734385439</v>
      </c>
      <c r="M102" s="1">
        <f t="shared" si="17"/>
        <v>99.999994734385439</v>
      </c>
      <c r="N102" s="1">
        <f t="shared" si="23"/>
        <v>0</v>
      </c>
      <c r="O102" s="1">
        <f t="shared" ca="1" si="18"/>
        <v>99.999987144495663</v>
      </c>
      <c r="P102" s="1">
        <f t="shared" si="24"/>
        <v>4</v>
      </c>
    </row>
    <row r="103" spans="1:16" x14ac:dyDescent="0.25">
      <c r="A103" s="21">
        <f t="shared" si="25"/>
        <v>82</v>
      </c>
      <c r="B103" s="1">
        <f t="shared" si="26"/>
        <v>100</v>
      </c>
      <c r="C103" s="1">
        <f t="shared" si="19"/>
        <v>100.0000042124917</v>
      </c>
      <c r="D103" s="1">
        <f t="shared" ca="1" si="20"/>
        <v>99.999989715596541</v>
      </c>
      <c r="E103" s="1">
        <f t="shared" ca="1" si="21"/>
        <v>400.00004113761406</v>
      </c>
      <c r="F103" s="1">
        <f t="shared" si="22"/>
        <v>4</v>
      </c>
      <c r="G103" s="1">
        <f t="shared" si="14"/>
        <v>400.00001684996681</v>
      </c>
      <c r="H103" s="1">
        <f t="shared" si="15"/>
        <v>400.00001684996681</v>
      </c>
      <c r="I103" s="1"/>
      <c r="J103" s="1">
        <f t="shared" si="16"/>
        <v>99.99999578750834</v>
      </c>
      <c r="M103" s="1">
        <f t="shared" si="17"/>
        <v>99.99999578750834</v>
      </c>
      <c r="N103" s="1">
        <f t="shared" si="23"/>
        <v>0</v>
      </c>
      <c r="O103" s="1">
        <f t="shared" ca="1" si="18"/>
        <v>99.999989715596541</v>
      </c>
      <c r="P103" s="1">
        <f t="shared" si="24"/>
        <v>4</v>
      </c>
    </row>
    <row r="104" spans="1:16" x14ac:dyDescent="0.25">
      <c r="A104" s="21">
        <f t="shared" si="25"/>
        <v>83</v>
      </c>
      <c r="B104" s="1">
        <f t="shared" si="26"/>
        <v>100</v>
      </c>
      <c r="C104" s="1">
        <f t="shared" si="19"/>
        <v>100.00000336999337</v>
      </c>
      <c r="D104" s="1">
        <f t="shared" ca="1" si="20"/>
        <v>99.999991772477188</v>
      </c>
      <c r="E104" s="1">
        <f t="shared" ca="1" si="21"/>
        <v>400.00003291009125</v>
      </c>
      <c r="F104" s="1">
        <f t="shared" si="22"/>
        <v>4</v>
      </c>
      <c r="G104" s="1">
        <f t="shared" si="14"/>
        <v>400.00001347997346</v>
      </c>
      <c r="H104" s="1">
        <f t="shared" si="15"/>
        <v>400.00001347997346</v>
      </c>
      <c r="I104" s="1"/>
      <c r="J104" s="1">
        <f t="shared" si="16"/>
        <v>99.999996630006649</v>
      </c>
      <c r="M104" s="1">
        <f t="shared" si="17"/>
        <v>99.999996630006649</v>
      </c>
      <c r="N104" s="1">
        <f t="shared" si="23"/>
        <v>0</v>
      </c>
      <c r="O104" s="1">
        <f t="shared" ca="1" si="18"/>
        <v>99.999991772477188</v>
      </c>
      <c r="P104" s="1">
        <f t="shared" si="24"/>
        <v>4</v>
      </c>
    </row>
    <row r="105" spans="1:16" x14ac:dyDescent="0.25">
      <c r="A105" s="21">
        <f t="shared" si="25"/>
        <v>84</v>
      </c>
      <c r="B105" s="1">
        <f t="shared" si="26"/>
        <v>100</v>
      </c>
      <c r="C105" s="1">
        <f t="shared" si="19"/>
        <v>100.0000026959947</v>
      </c>
      <c r="D105" s="1">
        <f t="shared" ca="1" si="20"/>
        <v>99.999993417981784</v>
      </c>
      <c r="E105" s="1">
        <f t="shared" ca="1" si="21"/>
        <v>400.00002632807303</v>
      </c>
      <c r="F105" s="1">
        <f t="shared" si="22"/>
        <v>4</v>
      </c>
      <c r="G105" s="1">
        <f t="shared" si="14"/>
        <v>400.00001078397878</v>
      </c>
      <c r="H105" s="1">
        <f t="shared" si="15"/>
        <v>400.00001078397878</v>
      </c>
      <c r="I105" s="1"/>
      <c r="J105" s="1">
        <f t="shared" si="16"/>
        <v>99.999997304005319</v>
      </c>
      <c r="M105" s="1">
        <f t="shared" si="17"/>
        <v>99.999997304005319</v>
      </c>
      <c r="N105" s="1">
        <f t="shared" si="23"/>
        <v>0</v>
      </c>
      <c r="O105" s="1">
        <f t="shared" ca="1" si="18"/>
        <v>99.999993417981784</v>
      </c>
      <c r="P105" s="1">
        <f t="shared" si="24"/>
        <v>4</v>
      </c>
    </row>
    <row r="106" spans="1:16" x14ac:dyDescent="0.25">
      <c r="A106" s="21">
        <f t="shared" si="25"/>
        <v>85</v>
      </c>
      <c r="B106" s="1">
        <f t="shared" si="26"/>
        <v>100</v>
      </c>
      <c r="C106" s="1">
        <f t="shared" si="19"/>
        <v>100.00000215679576</v>
      </c>
      <c r="D106" s="1">
        <f t="shared" ca="1" si="20"/>
        <v>99.999994734385439</v>
      </c>
      <c r="E106" s="1">
        <f t="shared" ca="1" si="21"/>
        <v>400.00002106245847</v>
      </c>
      <c r="F106" s="1">
        <f t="shared" si="22"/>
        <v>4</v>
      </c>
      <c r="G106" s="1">
        <f t="shared" si="14"/>
        <v>400.00000862718304</v>
      </c>
      <c r="H106" s="1">
        <f t="shared" si="15"/>
        <v>400.00000862718304</v>
      </c>
      <c r="I106" s="1"/>
      <c r="J106" s="1">
        <f t="shared" si="16"/>
        <v>99.999997843204255</v>
      </c>
      <c r="M106" s="1">
        <f t="shared" si="17"/>
        <v>99.999997843204255</v>
      </c>
      <c r="N106" s="1">
        <f t="shared" si="23"/>
        <v>0</v>
      </c>
      <c r="O106" s="1">
        <f t="shared" ca="1" si="18"/>
        <v>99.999994734385439</v>
      </c>
      <c r="P106" s="1">
        <f t="shared" si="24"/>
        <v>4</v>
      </c>
    </row>
    <row r="107" spans="1:16" x14ac:dyDescent="0.25">
      <c r="A107" s="21">
        <f t="shared" si="25"/>
        <v>86</v>
      </c>
      <c r="B107" s="1">
        <f t="shared" si="26"/>
        <v>100</v>
      </c>
      <c r="C107" s="1">
        <f t="shared" si="19"/>
        <v>100.00000172543662</v>
      </c>
      <c r="D107" s="1">
        <f t="shared" ca="1" si="20"/>
        <v>99.99999578750834</v>
      </c>
      <c r="E107" s="1">
        <f t="shared" ca="1" si="21"/>
        <v>400.00001684996681</v>
      </c>
      <c r="F107" s="1">
        <f t="shared" si="22"/>
        <v>4</v>
      </c>
      <c r="G107" s="1">
        <f t="shared" si="14"/>
        <v>400.00000690174647</v>
      </c>
      <c r="H107" s="1">
        <f t="shared" si="15"/>
        <v>400.00000690174647</v>
      </c>
      <c r="I107" s="1"/>
      <c r="J107" s="1">
        <f t="shared" si="16"/>
        <v>99.999998274563438</v>
      </c>
      <c r="M107" s="1">
        <f t="shared" si="17"/>
        <v>99.999998274563438</v>
      </c>
      <c r="N107" s="1">
        <f t="shared" si="23"/>
        <v>0</v>
      </c>
      <c r="O107" s="1">
        <f t="shared" ca="1" si="18"/>
        <v>99.99999578750834</v>
      </c>
      <c r="P107" s="1">
        <f t="shared" si="24"/>
        <v>4</v>
      </c>
    </row>
    <row r="108" spans="1:16" x14ac:dyDescent="0.25">
      <c r="A108" s="21">
        <f t="shared" si="25"/>
        <v>87</v>
      </c>
      <c r="B108" s="1">
        <f t="shared" si="26"/>
        <v>100</v>
      </c>
      <c r="C108" s="1">
        <f t="shared" si="19"/>
        <v>100.0000013803493</v>
      </c>
      <c r="D108" s="1">
        <f t="shared" ca="1" si="20"/>
        <v>99.999996630006649</v>
      </c>
      <c r="E108" s="1">
        <f t="shared" ca="1" si="21"/>
        <v>400.00001347997346</v>
      </c>
      <c r="F108" s="1">
        <f t="shared" si="22"/>
        <v>4</v>
      </c>
      <c r="G108" s="1">
        <f t="shared" si="14"/>
        <v>400.00000552139721</v>
      </c>
      <c r="H108" s="1">
        <f t="shared" si="15"/>
        <v>400.00000552139721</v>
      </c>
      <c r="I108" s="1"/>
      <c r="J108" s="1">
        <f t="shared" si="16"/>
        <v>99.999998619650739</v>
      </c>
      <c r="M108" s="1">
        <f t="shared" si="17"/>
        <v>99.999998619650739</v>
      </c>
      <c r="N108" s="1">
        <f t="shared" si="23"/>
        <v>0</v>
      </c>
      <c r="O108" s="1">
        <f t="shared" ca="1" si="18"/>
        <v>99.999996630006649</v>
      </c>
      <c r="P108" s="1">
        <f t="shared" si="24"/>
        <v>4</v>
      </c>
    </row>
    <row r="109" spans="1:16" x14ac:dyDescent="0.25">
      <c r="A109" s="21">
        <f t="shared" si="25"/>
        <v>88</v>
      </c>
      <c r="B109" s="1">
        <f t="shared" si="26"/>
        <v>100</v>
      </c>
      <c r="C109" s="1">
        <f t="shared" si="19"/>
        <v>100.00000110427945</v>
      </c>
      <c r="D109" s="1">
        <f t="shared" ca="1" si="20"/>
        <v>99.999997304005319</v>
      </c>
      <c r="E109" s="1">
        <f t="shared" ca="1" si="21"/>
        <v>400.00001078397878</v>
      </c>
      <c r="F109" s="1">
        <f t="shared" si="22"/>
        <v>4</v>
      </c>
      <c r="G109" s="1">
        <f t="shared" si="14"/>
        <v>400.00000441711779</v>
      </c>
      <c r="H109" s="1">
        <f t="shared" si="15"/>
        <v>400.00000441711779</v>
      </c>
      <c r="I109" s="1"/>
      <c r="J109" s="1">
        <f t="shared" si="16"/>
        <v>99.99999889572058</v>
      </c>
      <c r="M109" s="1">
        <f t="shared" si="17"/>
        <v>99.99999889572058</v>
      </c>
      <c r="N109" s="1">
        <f t="shared" si="23"/>
        <v>0</v>
      </c>
      <c r="O109" s="1">
        <f t="shared" ca="1" si="18"/>
        <v>99.999997304005319</v>
      </c>
      <c r="P109" s="1">
        <f t="shared" si="24"/>
        <v>4</v>
      </c>
    </row>
    <row r="110" spans="1:16" x14ac:dyDescent="0.25">
      <c r="A110" s="21">
        <f t="shared" si="25"/>
        <v>89</v>
      </c>
      <c r="B110" s="1">
        <f t="shared" si="26"/>
        <v>100</v>
      </c>
      <c r="C110" s="1">
        <f t="shared" si="19"/>
        <v>100.00000088342357</v>
      </c>
      <c r="D110" s="1">
        <f t="shared" ca="1" si="20"/>
        <v>99.999997843204255</v>
      </c>
      <c r="E110" s="1">
        <f t="shared" ca="1" si="21"/>
        <v>400.00000862718304</v>
      </c>
      <c r="F110" s="1">
        <f t="shared" si="22"/>
        <v>4</v>
      </c>
      <c r="G110" s="1">
        <f t="shared" si="14"/>
        <v>400.00000353369427</v>
      </c>
      <c r="H110" s="1">
        <f t="shared" si="15"/>
        <v>400.00000353369427</v>
      </c>
      <c r="I110" s="1"/>
      <c r="J110" s="1">
        <f t="shared" si="16"/>
        <v>99.999999116576475</v>
      </c>
      <c r="M110" s="1">
        <f t="shared" si="17"/>
        <v>99.999999116576475</v>
      </c>
      <c r="N110" s="1">
        <f t="shared" si="23"/>
        <v>0</v>
      </c>
      <c r="O110" s="1">
        <f t="shared" ca="1" si="18"/>
        <v>99.999997843204255</v>
      </c>
      <c r="P110" s="1">
        <f t="shared" si="24"/>
        <v>4</v>
      </c>
    </row>
    <row r="111" spans="1:16" x14ac:dyDescent="0.25">
      <c r="A111" s="21">
        <f t="shared" si="25"/>
        <v>90</v>
      </c>
      <c r="B111" s="1">
        <f t="shared" si="26"/>
        <v>100</v>
      </c>
      <c r="C111" s="1">
        <f t="shared" si="19"/>
        <v>100.00000070673886</v>
      </c>
      <c r="D111" s="1">
        <f t="shared" ca="1" si="20"/>
        <v>99.999998274563438</v>
      </c>
      <c r="E111" s="1">
        <f t="shared" ca="1" si="21"/>
        <v>400.00000690174647</v>
      </c>
      <c r="F111" s="1">
        <f t="shared" si="22"/>
        <v>4</v>
      </c>
      <c r="G111" s="1">
        <f t="shared" si="14"/>
        <v>400.00000282695544</v>
      </c>
      <c r="H111" s="1">
        <f t="shared" si="15"/>
        <v>400.00000282695544</v>
      </c>
      <c r="I111" s="1"/>
      <c r="J111" s="1">
        <f t="shared" si="16"/>
        <v>99.999999293261169</v>
      </c>
      <c r="M111" s="1">
        <f t="shared" si="17"/>
        <v>99.999999293261169</v>
      </c>
      <c r="N111" s="1">
        <f t="shared" si="23"/>
        <v>0</v>
      </c>
      <c r="O111" s="1">
        <f t="shared" ca="1" si="18"/>
        <v>99.999998274563438</v>
      </c>
      <c r="P111" s="1">
        <f t="shared" si="24"/>
        <v>4</v>
      </c>
    </row>
    <row r="112" spans="1:16" x14ac:dyDescent="0.25">
      <c r="A112" s="21">
        <f t="shared" si="25"/>
        <v>91</v>
      </c>
      <c r="B112" s="1">
        <f t="shared" si="26"/>
        <v>100</v>
      </c>
      <c r="C112" s="1">
        <f t="shared" si="19"/>
        <v>100.00000056539109</v>
      </c>
      <c r="D112" s="1">
        <f t="shared" ca="1" si="20"/>
        <v>99.999998619650739</v>
      </c>
      <c r="E112" s="1">
        <f t="shared" ca="1" si="21"/>
        <v>400.00000552139721</v>
      </c>
      <c r="F112" s="1">
        <f t="shared" si="22"/>
        <v>4</v>
      </c>
      <c r="G112" s="1">
        <f t="shared" si="14"/>
        <v>400.00000226156436</v>
      </c>
      <c r="H112" s="1">
        <f t="shared" si="15"/>
        <v>400.00000226156436</v>
      </c>
      <c r="I112" s="1"/>
      <c r="J112" s="1">
        <f t="shared" si="16"/>
        <v>99.999999434608924</v>
      </c>
      <c r="M112" s="1">
        <f t="shared" si="17"/>
        <v>99.999999434608924</v>
      </c>
      <c r="N112" s="1">
        <f t="shared" si="23"/>
        <v>0</v>
      </c>
      <c r="O112" s="1">
        <f t="shared" ca="1" si="18"/>
        <v>99.999998619650739</v>
      </c>
      <c r="P112" s="1">
        <f t="shared" si="24"/>
        <v>4</v>
      </c>
    </row>
    <row r="113" spans="1:16" x14ac:dyDescent="0.25">
      <c r="A113" s="21">
        <f t="shared" si="25"/>
        <v>92</v>
      </c>
      <c r="B113" s="1">
        <f t="shared" si="26"/>
        <v>100</v>
      </c>
      <c r="C113" s="1">
        <f t="shared" si="19"/>
        <v>100.00000045231288</v>
      </c>
      <c r="D113" s="1">
        <f t="shared" ca="1" si="20"/>
        <v>99.99999889572058</v>
      </c>
      <c r="E113" s="1">
        <f t="shared" ca="1" si="21"/>
        <v>400.00000441711779</v>
      </c>
      <c r="F113" s="1">
        <f t="shared" si="22"/>
        <v>4</v>
      </c>
      <c r="G113" s="1">
        <f t="shared" si="14"/>
        <v>400.0000018092515</v>
      </c>
      <c r="H113" s="1">
        <f t="shared" si="15"/>
        <v>400.0000018092515</v>
      </c>
      <c r="I113" s="1"/>
      <c r="J113" s="1">
        <f t="shared" si="16"/>
        <v>99.999999547687139</v>
      </c>
      <c r="M113" s="1">
        <f t="shared" si="17"/>
        <v>99.999999547687139</v>
      </c>
      <c r="N113" s="1">
        <f t="shared" si="23"/>
        <v>0</v>
      </c>
      <c r="O113" s="1">
        <f t="shared" ca="1" si="18"/>
        <v>99.99999889572058</v>
      </c>
      <c r="P113" s="1">
        <f t="shared" si="24"/>
        <v>4</v>
      </c>
    </row>
    <row r="114" spans="1:16" x14ac:dyDescent="0.25">
      <c r="A114" s="21">
        <f t="shared" si="25"/>
        <v>93</v>
      </c>
      <c r="B114" s="1">
        <f t="shared" si="26"/>
        <v>100</v>
      </c>
      <c r="C114" s="1">
        <f t="shared" si="19"/>
        <v>100.00000036185031</v>
      </c>
      <c r="D114" s="1">
        <f t="shared" ca="1" si="20"/>
        <v>99.999999116576475</v>
      </c>
      <c r="E114" s="1">
        <f t="shared" ca="1" si="21"/>
        <v>400.00000353369427</v>
      </c>
      <c r="F114" s="1">
        <f t="shared" si="22"/>
        <v>4</v>
      </c>
      <c r="G114" s="1">
        <f t="shared" si="14"/>
        <v>400.00000144740125</v>
      </c>
      <c r="H114" s="1">
        <f t="shared" si="15"/>
        <v>400.00000144740125</v>
      </c>
      <c r="I114" s="1"/>
      <c r="J114" s="1">
        <f t="shared" si="16"/>
        <v>99.999999638149745</v>
      </c>
      <c r="M114" s="1">
        <f t="shared" si="17"/>
        <v>99.999999638149745</v>
      </c>
      <c r="N114" s="1">
        <f t="shared" si="23"/>
        <v>0</v>
      </c>
      <c r="O114" s="1">
        <f t="shared" ca="1" si="18"/>
        <v>99.999999116576475</v>
      </c>
      <c r="P114" s="1">
        <f t="shared" si="24"/>
        <v>4</v>
      </c>
    </row>
    <row r="115" spans="1:16" x14ac:dyDescent="0.25">
      <c r="A115" s="21">
        <f t="shared" si="25"/>
        <v>94</v>
      </c>
      <c r="B115" s="1">
        <f t="shared" si="26"/>
        <v>100</v>
      </c>
      <c r="C115" s="1">
        <f t="shared" si="19"/>
        <v>100.00000028948025</v>
      </c>
      <c r="D115" s="1">
        <f t="shared" ca="1" si="20"/>
        <v>99.999999293261169</v>
      </c>
      <c r="E115" s="1">
        <f t="shared" ca="1" si="21"/>
        <v>400.00000282695544</v>
      </c>
      <c r="F115" s="1">
        <f t="shared" si="22"/>
        <v>4</v>
      </c>
      <c r="G115" s="1">
        <f t="shared" si="14"/>
        <v>400.00000115792102</v>
      </c>
      <c r="H115" s="1">
        <f t="shared" si="15"/>
        <v>400.00000115792102</v>
      </c>
      <c r="I115" s="1"/>
      <c r="J115" s="1">
        <f t="shared" si="16"/>
        <v>99.999999710519774</v>
      </c>
      <c r="M115" s="1">
        <f t="shared" si="17"/>
        <v>99.999999710519774</v>
      </c>
      <c r="N115" s="1">
        <f t="shared" si="23"/>
        <v>0</v>
      </c>
      <c r="O115" s="1">
        <f t="shared" ca="1" si="18"/>
        <v>99.999999293261169</v>
      </c>
      <c r="P115" s="1">
        <f t="shared" si="24"/>
        <v>4</v>
      </c>
    </row>
    <row r="116" spans="1:16" x14ac:dyDescent="0.25">
      <c r="A116" s="21">
        <f t="shared" si="25"/>
        <v>95</v>
      </c>
      <c r="B116" s="1">
        <f t="shared" si="26"/>
        <v>100</v>
      </c>
      <c r="C116" s="1">
        <f t="shared" si="19"/>
        <v>100.00000023158421</v>
      </c>
      <c r="D116" s="1">
        <f t="shared" ca="1" si="20"/>
        <v>99.999999434608924</v>
      </c>
      <c r="E116" s="1">
        <f t="shared" ca="1" si="21"/>
        <v>400.00000226156436</v>
      </c>
      <c r="F116" s="1">
        <f t="shared" si="22"/>
        <v>4</v>
      </c>
      <c r="G116" s="1">
        <f t="shared" si="14"/>
        <v>400.00000092633684</v>
      </c>
      <c r="H116" s="1">
        <f t="shared" si="15"/>
        <v>400.00000092633684</v>
      </c>
      <c r="I116" s="1"/>
      <c r="J116" s="1">
        <f t="shared" si="16"/>
        <v>99.999999768415819</v>
      </c>
      <c r="M116" s="1">
        <f t="shared" si="17"/>
        <v>99.999999768415819</v>
      </c>
      <c r="N116" s="1">
        <f t="shared" si="23"/>
        <v>0</v>
      </c>
      <c r="O116" s="1">
        <f t="shared" ca="1" si="18"/>
        <v>99.999999434608924</v>
      </c>
      <c r="P116" s="1">
        <f t="shared" si="24"/>
        <v>4</v>
      </c>
    </row>
    <row r="117" spans="1:16" x14ac:dyDescent="0.25">
      <c r="A117" s="21">
        <f t="shared" si="25"/>
        <v>96</v>
      </c>
      <c r="B117" s="1">
        <f t="shared" si="26"/>
        <v>100</v>
      </c>
      <c r="C117" s="1">
        <f t="shared" si="19"/>
        <v>100.00000018526737</v>
      </c>
      <c r="D117" s="1">
        <f t="shared" ca="1" si="20"/>
        <v>99.999999547687139</v>
      </c>
      <c r="E117" s="1">
        <f t="shared" ca="1" si="21"/>
        <v>400.0000018092515</v>
      </c>
      <c r="F117" s="1">
        <f t="shared" si="22"/>
        <v>4</v>
      </c>
      <c r="G117" s="1">
        <f t="shared" si="14"/>
        <v>400.00000074106947</v>
      </c>
      <c r="H117" s="1">
        <f t="shared" si="15"/>
        <v>400.00000074106947</v>
      </c>
      <c r="I117" s="1"/>
      <c r="J117" s="1">
        <f t="shared" si="16"/>
        <v>99.999999814732632</v>
      </c>
      <c r="M117" s="1">
        <f t="shared" si="17"/>
        <v>99.999999814732632</v>
      </c>
      <c r="N117" s="1">
        <f t="shared" si="23"/>
        <v>0</v>
      </c>
      <c r="O117" s="1">
        <f t="shared" ca="1" si="18"/>
        <v>99.999999547687139</v>
      </c>
      <c r="P117" s="1">
        <f t="shared" si="24"/>
        <v>4</v>
      </c>
    </row>
    <row r="118" spans="1:16" x14ac:dyDescent="0.25">
      <c r="A118" s="21">
        <f t="shared" si="25"/>
        <v>97</v>
      </c>
      <c r="B118" s="1">
        <f t="shared" si="26"/>
        <v>100</v>
      </c>
      <c r="C118" s="1">
        <f t="shared" si="19"/>
        <v>100.0000001482139</v>
      </c>
      <c r="D118" s="1">
        <f t="shared" ca="1" si="20"/>
        <v>99.999999638149745</v>
      </c>
      <c r="E118" s="1">
        <f t="shared" ca="1" si="21"/>
        <v>400.00000144740125</v>
      </c>
      <c r="F118" s="1">
        <f t="shared" si="22"/>
        <v>4</v>
      </c>
      <c r="G118" s="1">
        <f t="shared" si="14"/>
        <v>400.0000005928556</v>
      </c>
      <c r="H118" s="1">
        <f t="shared" si="15"/>
        <v>400.0000005928556</v>
      </c>
      <c r="I118" s="1"/>
      <c r="J118" s="1">
        <f t="shared" si="16"/>
        <v>99.999999851786129</v>
      </c>
      <c r="M118" s="1">
        <f t="shared" si="17"/>
        <v>99.999999851786129</v>
      </c>
      <c r="N118" s="1">
        <f t="shared" si="23"/>
        <v>0</v>
      </c>
      <c r="O118" s="1">
        <f t="shared" ca="1" si="18"/>
        <v>99.999999638149745</v>
      </c>
      <c r="P118" s="1">
        <f t="shared" si="24"/>
        <v>4</v>
      </c>
    </row>
    <row r="119" spans="1:16" x14ac:dyDescent="0.25">
      <c r="A119" s="21">
        <f t="shared" si="25"/>
        <v>98</v>
      </c>
      <c r="B119" s="1">
        <f t="shared" si="26"/>
        <v>100</v>
      </c>
      <c r="C119" s="1">
        <f t="shared" si="19"/>
        <v>100.00000011857112</v>
      </c>
      <c r="D119" s="1">
        <f t="shared" ca="1" si="20"/>
        <v>99.999999710519774</v>
      </c>
      <c r="E119" s="1">
        <f t="shared" ca="1" si="21"/>
        <v>400.00000115792102</v>
      </c>
      <c r="F119" s="1">
        <f t="shared" si="22"/>
        <v>4</v>
      </c>
      <c r="G119" s="1">
        <f t="shared" si="14"/>
        <v>400.00000047428449</v>
      </c>
      <c r="H119" s="1">
        <f t="shared" si="15"/>
        <v>400.00000047428449</v>
      </c>
      <c r="I119" s="1"/>
      <c r="J119" s="1">
        <f t="shared" si="16"/>
        <v>99.999999881428892</v>
      </c>
      <c r="M119" s="1">
        <f t="shared" si="17"/>
        <v>99.999999881428892</v>
      </c>
      <c r="N119" s="1">
        <f t="shared" si="23"/>
        <v>0</v>
      </c>
      <c r="O119" s="1">
        <f t="shared" ca="1" si="18"/>
        <v>99.999999710519774</v>
      </c>
      <c r="P119" s="1">
        <f t="shared" si="24"/>
        <v>4</v>
      </c>
    </row>
    <row r="120" spans="1:16" x14ac:dyDescent="0.25">
      <c r="A120" s="21">
        <f t="shared" si="25"/>
        <v>99</v>
      </c>
      <c r="B120" s="1">
        <f t="shared" si="26"/>
        <v>100</v>
      </c>
      <c r="C120" s="1">
        <f t="shared" si="19"/>
        <v>100.0000000948569</v>
      </c>
      <c r="D120" s="1">
        <f t="shared" ca="1" si="20"/>
        <v>99.999999768415819</v>
      </c>
      <c r="E120" s="1">
        <f t="shared" ca="1" si="21"/>
        <v>400.00000092633684</v>
      </c>
      <c r="F120" s="1">
        <f t="shared" si="22"/>
        <v>4</v>
      </c>
      <c r="G120" s="1">
        <f t="shared" si="14"/>
        <v>400.0000003794276</v>
      </c>
      <c r="H120" s="1">
        <f t="shared" si="15"/>
        <v>400.0000003794276</v>
      </c>
      <c r="I120" s="1"/>
      <c r="J120" s="1">
        <f t="shared" si="16"/>
        <v>99.999999905143113</v>
      </c>
      <c r="M120" s="1">
        <f t="shared" si="17"/>
        <v>99.999999905143113</v>
      </c>
      <c r="N120" s="1">
        <f t="shared" si="23"/>
        <v>0</v>
      </c>
      <c r="O120" s="1">
        <f t="shared" ca="1" si="18"/>
        <v>99.999999768415819</v>
      </c>
      <c r="P120" s="1">
        <f t="shared" si="24"/>
        <v>4</v>
      </c>
    </row>
    <row r="121" spans="1:16" x14ac:dyDescent="0.25">
      <c r="A121" s="21">
        <f t="shared" si="25"/>
        <v>100</v>
      </c>
      <c r="B121" s="1">
        <f t="shared" si="26"/>
        <v>100</v>
      </c>
      <c r="C121" s="1">
        <f t="shared" si="19"/>
        <v>100.00000007588552</v>
      </c>
      <c r="D121" s="1">
        <f t="shared" ca="1" si="20"/>
        <v>99.999999814732632</v>
      </c>
      <c r="E121" s="1">
        <f t="shared" ca="1" si="21"/>
        <v>400.00000074106947</v>
      </c>
      <c r="F121" s="1">
        <f t="shared" si="22"/>
        <v>4</v>
      </c>
      <c r="G121" s="1">
        <f t="shared" si="14"/>
        <v>400.00000030354209</v>
      </c>
      <c r="H121" s="1">
        <f t="shared" si="15"/>
        <v>400.00000030354209</v>
      </c>
      <c r="I121" s="1"/>
      <c r="J121" s="1">
        <f t="shared" si="16"/>
        <v>99.999999924114491</v>
      </c>
      <c r="M121" s="1">
        <f t="shared" si="17"/>
        <v>99.999999924114491</v>
      </c>
      <c r="N121" s="1">
        <f t="shared" si="23"/>
        <v>0</v>
      </c>
      <c r="O121" s="1">
        <f t="shared" ca="1" si="18"/>
        <v>99.999999814732632</v>
      </c>
      <c r="P121" s="1">
        <f t="shared" si="24"/>
        <v>4</v>
      </c>
    </row>
    <row r="122" spans="1:16" x14ac:dyDescent="0.25">
      <c r="A122" s="21">
        <f t="shared" si="25"/>
        <v>101</v>
      </c>
      <c r="B122" s="1">
        <f t="shared" si="26"/>
        <v>100</v>
      </c>
      <c r="C122" s="1">
        <f t="shared" si="19"/>
        <v>100.00000006070843</v>
      </c>
      <c r="D122" s="1">
        <f t="shared" ca="1" si="20"/>
        <v>99.999999851786129</v>
      </c>
      <c r="E122" s="1">
        <f t="shared" ca="1" si="21"/>
        <v>400.0000005928556</v>
      </c>
      <c r="F122" s="1">
        <f t="shared" si="22"/>
        <v>4</v>
      </c>
      <c r="G122" s="1">
        <f t="shared" si="14"/>
        <v>400.00000024283372</v>
      </c>
      <c r="H122" s="1">
        <f t="shared" si="15"/>
        <v>400.00000024283372</v>
      </c>
      <c r="I122" s="1"/>
      <c r="J122" s="1">
        <f t="shared" si="16"/>
        <v>99.999999939291627</v>
      </c>
      <c r="M122" s="1">
        <f t="shared" si="17"/>
        <v>99.999999939291627</v>
      </c>
      <c r="N122" s="1">
        <f t="shared" si="23"/>
        <v>0</v>
      </c>
      <c r="O122" s="1">
        <f t="shared" ca="1" si="18"/>
        <v>99.999999851786129</v>
      </c>
      <c r="P122" s="1">
        <f t="shared" si="24"/>
        <v>4</v>
      </c>
    </row>
    <row r="123" spans="1:16" x14ac:dyDescent="0.25">
      <c r="A123" s="21">
        <f t="shared" si="25"/>
        <v>102</v>
      </c>
      <c r="B123" s="1">
        <f t="shared" si="26"/>
        <v>100</v>
      </c>
      <c r="C123" s="1">
        <f t="shared" si="19"/>
        <v>100.00000004856675</v>
      </c>
      <c r="D123" s="1">
        <f t="shared" ca="1" si="20"/>
        <v>99.999999881428892</v>
      </c>
      <c r="E123" s="1">
        <f t="shared" ca="1" si="21"/>
        <v>400.00000047428449</v>
      </c>
      <c r="F123" s="1">
        <f t="shared" si="22"/>
        <v>4</v>
      </c>
      <c r="G123" s="1">
        <f t="shared" si="14"/>
        <v>400.00000019426699</v>
      </c>
      <c r="H123" s="1">
        <f t="shared" si="15"/>
        <v>400.00000019426699</v>
      </c>
      <c r="I123" s="1"/>
      <c r="J123" s="1">
        <f t="shared" si="16"/>
        <v>99.999999951433267</v>
      </c>
      <c r="M123" s="1">
        <f t="shared" si="17"/>
        <v>99.999999951433267</v>
      </c>
      <c r="N123" s="1">
        <f t="shared" si="23"/>
        <v>0</v>
      </c>
      <c r="O123" s="1">
        <f t="shared" ca="1" si="18"/>
        <v>99.999999881428892</v>
      </c>
      <c r="P123" s="1">
        <f t="shared" si="24"/>
        <v>4</v>
      </c>
    </row>
    <row r="124" spans="1:16" x14ac:dyDescent="0.25">
      <c r="A124" s="21">
        <f t="shared" si="25"/>
        <v>103</v>
      </c>
      <c r="B124" s="1">
        <f t="shared" si="26"/>
        <v>100</v>
      </c>
      <c r="C124" s="1">
        <f t="shared" si="19"/>
        <v>100.0000000388534</v>
      </c>
      <c r="D124" s="1">
        <f t="shared" ca="1" si="20"/>
        <v>99.999999905143113</v>
      </c>
      <c r="E124" s="1">
        <f t="shared" ca="1" si="21"/>
        <v>400.0000003794276</v>
      </c>
      <c r="F124" s="1">
        <f t="shared" si="22"/>
        <v>4</v>
      </c>
      <c r="G124" s="1">
        <f t="shared" si="14"/>
        <v>400.0000001554136</v>
      </c>
      <c r="H124" s="1">
        <f t="shared" si="15"/>
        <v>400.0000001554136</v>
      </c>
      <c r="I124" s="1"/>
      <c r="J124" s="1">
        <f t="shared" si="16"/>
        <v>99.999999961146614</v>
      </c>
      <c r="M124" s="1">
        <f t="shared" si="17"/>
        <v>99.999999961146614</v>
      </c>
      <c r="N124" s="1">
        <f t="shared" si="23"/>
        <v>0</v>
      </c>
      <c r="O124" s="1">
        <f t="shared" ca="1" si="18"/>
        <v>99.999999905143113</v>
      </c>
      <c r="P124" s="1">
        <f t="shared" si="24"/>
        <v>4</v>
      </c>
    </row>
    <row r="125" spans="1:16" x14ac:dyDescent="0.25">
      <c r="A125" s="21">
        <f t="shared" si="25"/>
        <v>104</v>
      </c>
      <c r="B125" s="1">
        <f t="shared" si="26"/>
        <v>100</v>
      </c>
      <c r="C125" s="1">
        <f t="shared" si="19"/>
        <v>100.00000003108272</v>
      </c>
      <c r="D125" s="1">
        <f t="shared" ca="1" si="20"/>
        <v>99.999999924114491</v>
      </c>
      <c r="E125" s="1">
        <f t="shared" ca="1" si="21"/>
        <v>400.00000030354209</v>
      </c>
      <c r="F125" s="1">
        <f t="shared" si="22"/>
        <v>4</v>
      </c>
      <c r="G125" s="1">
        <f t="shared" si="14"/>
        <v>400.00000012433088</v>
      </c>
      <c r="H125" s="1">
        <f t="shared" si="15"/>
        <v>400.00000012433088</v>
      </c>
      <c r="I125" s="1"/>
      <c r="J125" s="1">
        <f t="shared" si="16"/>
        <v>99.99999996891728</v>
      </c>
      <c r="M125" s="1">
        <f t="shared" si="17"/>
        <v>99.99999996891728</v>
      </c>
      <c r="N125" s="1">
        <f t="shared" si="23"/>
        <v>0</v>
      </c>
      <c r="O125" s="1">
        <f t="shared" ca="1" si="18"/>
        <v>99.999999924114491</v>
      </c>
      <c r="P125" s="1">
        <f t="shared" si="24"/>
        <v>4</v>
      </c>
    </row>
    <row r="126" spans="1:16" x14ac:dyDescent="0.25">
      <c r="A126" s="21">
        <f t="shared" si="25"/>
        <v>105</v>
      </c>
      <c r="B126" s="1">
        <f t="shared" si="26"/>
        <v>100</v>
      </c>
      <c r="C126" s="1">
        <f t="shared" si="19"/>
        <v>100.00000002486618</v>
      </c>
      <c r="D126" s="1">
        <f t="shared" ca="1" si="20"/>
        <v>99.999999939291627</v>
      </c>
      <c r="E126" s="1">
        <f t="shared" ca="1" si="21"/>
        <v>400.00000024283372</v>
      </c>
      <c r="F126" s="1">
        <f t="shared" si="22"/>
        <v>4</v>
      </c>
      <c r="G126" s="1">
        <f t="shared" si="14"/>
        <v>400.00000009946473</v>
      </c>
      <c r="H126" s="1">
        <f t="shared" si="15"/>
        <v>400.00000009946473</v>
      </c>
      <c r="I126" s="1"/>
      <c r="J126" s="1">
        <f t="shared" si="16"/>
        <v>99.999999975133846</v>
      </c>
      <c r="M126" s="1">
        <f t="shared" si="17"/>
        <v>99.999999975133846</v>
      </c>
      <c r="N126" s="1">
        <f t="shared" si="23"/>
        <v>0</v>
      </c>
      <c r="O126" s="1">
        <f t="shared" ca="1" si="18"/>
        <v>99.999999939291627</v>
      </c>
      <c r="P126" s="1">
        <f t="shared" si="24"/>
        <v>4</v>
      </c>
    </row>
    <row r="127" spans="1:16" x14ac:dyDescent="0.25">
      <c r="A127" s="21">
        <f t="shared" si="25"/>
        <v>106</v>
      </c>
      <c r="B127" s="1">
        <f t="shared" si="26"/>
        <v>100</v>
      </c>
      <c r="C127" s="1">
        <f t="shared" si="19"/>
        <v>100.00000001989295</v>
      </c>
      <c r="D127" s="1">
        <f t="shared" ca="1" si="20"/>
        <v>99.999999951433267</v>
      </c>
      <c r="E127" s="1">
        <f t="shared" ca="1" si="21"/>
        <v>400.00000019426699</v>
      </c>
      <c r="F127" s="1">
        <f t="shared" si="22"/>
        <v>4</v>
      </c>
      <c r="G127" s="1">
        <f t="shared" si="14"/>
        <v>400.00000007957181</v>
      </c>
      <c r="H127" s="1">
        <f t="shared" si="15"/>
        <v>400.00000007957181</v>
      </c>
      <c r="I127" s="1"/>
      <c r="J127" s="1">
        <f t="shared" si="16"/>
        <v>99.999999980107077</v>
      </c>
      <c r="M127" s="1">
        <f t="shared" si="17"/>
        <v>99.999999980107077</v>
      </c>
      <c r="N127" s="1">
        <f t="shared" si="23"/>
        <v>0</v>
      </c>
      <c r="O127" s="1">
        <f t="shared" ca="1" si="18"/>
        <v>99.999999951433267</v>
      </c>
      <c r="P127" s="1">
        <f t="shared" si="24"/>
        <v>4</v>
      </c>
    </row>
    <row r="128" spans="1:16" x14ac:dyDescent="0.25">
      <c r="A128" s="21">
        <f t="shared" si="25"/>
        <v>107</v>
      </c>
      <c r="B128" s="1">
        <f t="shared" si="26"/>
        <v>100</v>
      </c>
      <c r="C128" s="1">
        <f t="shared" si="19"/>
        <v>100.00000001591437</v>
      </c>
      <c r="D128" s="1">
        <f t="shared" ca="1" si="20"/>
        <v>99.999999961146614</v>
      </c>
      <c r="E128" s="1">
        <f t="shared" ca="1" si="21"/>
        <v>400.0000001554136</v>
      </c>
      <c r="F128" s="1">
        <f t="shared" si="22"/>
        <v>4</v>
      </c>
      <c r="G128" s="1">
        <f t="shared" si="14"/>
        <v>400.00000006365747</v>
      </c>
      <c r="H128" s="1">
        <f t="shared" si="15"/>
        <v>400.00000006365747</v>
      </c>
      <c r="I128" s="1"/>
      <c r="J128" s="1">
        <f t="shared" si="16"/>
        <v>99.999999984085662</v>
      </c>
      <c r="M128" s="1">
        <f t="shared" si="17"/>
        <v>99.999999984085662</v>
      </c>
      <c r="N128" s="1">
        <f t="shared" si="23"/>
        <v>0</v>
      </c>
      <c r="O128" s="1">
        <f t="shared" ca="1" si="18"/>
        <v>99.999999961146614</v>
      </c>
      <c r="P128" s="1">
        <f t="shared" si="24"/>
        <v>4</v>
      </c>
    </row>
    <row r="129" spans="1:16" x14ac:dyDescent="0.25">
      <c r="A129" s="21">
        <f t="shared" si="25"/>
        <v>108</v>
      </c>
      <c r="B129" s="1">
        <f t="shared" si="26"/>
        <v>100</v>
      </c>
      <c r="C129" s="1">
        <f t="shared" si="19"/>
        <v>100.0000000127315</v>
      </c>
      <c r="D129" s="1">
        <f t="shared" ca="1" si="20"/>
        <v>99.99999996891728</v>
      </c>
      <c r="E129" s="1">
        <f t="shared" ca="1" si="21"/>
        <v>400.00000012433088</v>
      </c>
      <c r="F129" s="1">
        <f t="shared" si="22"/>
        <v>4</v>
      </c>
      <c r="G129" s="1">
        <f t="shared" si="14"/>
        <v>400.00000005092602</v>
      </c>
      <c r="H129" s="1">
        <f t="shared" si="15"/>
        <v>400.00000005092602</v>
      </c>
      <c r="I129" s="1"/>
      <c r="J129" s="1">
        <f t="shared" si="16"/>
        <v>99.999999987268552</v>
      </c>
      <c r="M129" s="1">
        <f t="shared" si="17"/>
        <v>99.999999987268552</v>
      </c>
      <c r="N129" s="1">
        <f t="shared" si="23"/>
        <v>0</v>
      </c>
      <c r="O129" s="1">
        <f t="shared" ca="1" si="18"/>
        <v>99.99999996891728</v>
      </c>
      <c r="P129" s="1">
        <f t="shared" si="24"/>
        <v>4</v>
      </c>
    </row>
    <row r="130" spans="1:16" x14ac:dyDescent="0.25">
      <c r="A130" s="21">
        <f t="shared" si="25"/>
        <v>109</v>
      </c>
      <c r="B130" s="1">
        <f t="shared" si="26"/>
        <v>100</v>
      </c>
      <c r="C130" s="1">
        <f t="shared" si="19"/>
        <v>100.0000000101852</v>
      </c>
      <c r="D130" s="1">
        <f t="shared" ca="1" si="20"/>
        <v>99.999999975133846</v>
      </c>
      <c r="E130" s="1">
        <f t="shared" ca="1" si="21"/>
        <v>400.00000009946473</v>
      </c>
      <c r="F130" s="1">
        <f t="shared" si="22"/>
        <v>4</v>
      </c>
      <c r="G130" s="1">
        <f t="shared" si="14"/>
        <v>400.00000004074082</v>
      </c>
      <c r="H130" s="1">
        <f t="shared" si="15"/>
        <v>400.00000004074082</v>
      </c>
      <c r="I130" s="1"/>
      <c r="J130" s="1">
        <f t="shared" si="16"/>
        <v>99.999999989814796</v>
      </c>
      <c r="M130" s="1">
        <f t="shared" si="17"/>
        <v>99.999999989814796</v>
      </c>
      <c r="N130" s="1">
        <f t="shared" si="23"/>
        <v>0</v>
      </c>
      <c r="O130" s="1">
        <f t="shared" ca="1" si="18"/>
        <v>99.999999975133846</v>
      </c>
      <c r="P130" s="1">
        <f t="shared" si="24"/>
        <v>4</v>
      </c>
    </row>
    <row r="131" spans="1:16" x14ac:dyDescent="0.25">
      <c r="A131" s="21">
        <f t="shared" si="25"/>
        <v>110</v>
      </c>
      <c r="B131" s="1">
        <f t="shared" si="26"/>
        <v>100</v>
      </c>
      <c r="C131" s="1">
        <f t="shared" si="19"/>
        <v>100.00000000814816</v>
      </c>
      <c r="D131" s="1">
        <f t="shared" ca="1" si="20"/>
        <v>99.999999980107077</v>
      </c>
      <c r="E131" s="1">
        <f t="shared" ca="1" si="21"/>
        <v>400.00000007957181</v>
      </c>
      <c r="F131" s="1">
        <f t="shared" si="22"/>
        <v>4</v>
      </c>
      <c r="G131" s="1">
        <f t="shared" si="14"/>
        <v>400.00000003259265</v>
      </c>
      <c r="H131" s="1">
        <f t="shared" si="15"/>
        <v>400.00000003259265</v>
      </c>
      <c r="I131" s="1"/>
      <c r="J131" s="1">
        <f t="shared" si="16"/>
        <v>99.999999991851837</v>
      </c>
      <c r="M131" s="1">
        <f t="shared" si="17"/>
        <v>99.999999991851837</v>
      </c>
      <c r="N131" s="1">
        <f t="shared" si="23"/>
        <v>0</v>
      </c>
      <c r="O131" s="1">
        <f t="shared" ca="1" si="18"/>
        <v>99.999999980107077</v>
      </c>
      <c r="P131" s="1">
        <f t="shared" si="24"/>
        <v>4</v>
      </c>
    </row>
    <row r="132" spans="1:16" x14ac:dyDescent="0.25">
      <c r="A132" s="21">
        <f t="shared" si="25"/>
        <v>111</v>
      </c>
      <c r="B132" s="1">
        <f t="shared" si="26"/>
        <v>100</v>
      </c>
      <c r="C132" s="1">
        <f t="shared" si="19"/>
        <v>100.00000000651853</v>
      </c>
      <c r="D132" s="1">
        <f t="shared" ca="1" si="20"/>
        <v>99.999999984085662</v>
      </c>
      <c r="E132" s="1">
        <f t="shared" ca="1" si="21"/>
        <v>400.00000006365747</v>
      </c>
      <c r="F132" s="1">
        <f t="shared" si="22"/>
        <v>4</v>
      </c>
      <c r="G132" s="1">
        <f t="shared" si="14"/>
        <v>400.00000002607413</v>
      </c>
      <c r="H132" s="1">
        <f t="shared" si="15"/>
        <v>400.00000002607413</v>
      </c>
      <c r="I132" s="1"/>
      <c r="J132" s="1">
        <f t="shared" si="16"/>
        <v>99.999999993481481</v>
      </c>
      <c r="M132" s="1">
        <f t="shared" si="17"/>
        <v>99.999999993481481</v>
      </c>
      <c r="N132" s="1">
        <f t="shared" si="23"/>
        <v>0</v>
      </c>
      <c r="O132" s="1">
        <f t="shared" ca="1" si="18"/>
        <v>99.999999984085662</v>
      </c>
      <c r="P132" s="1">
        <f t="shared" si="24"/>
        <v>4</v>
      </c>
    </row>
    <row r="133" spans="1:16" x14ac:dyDescent="0.25">
      <c r="A133" s="21">
        <f t="shared" si="25"/>
        <v>112</v>
      </c>
      <c r="B133" s="1">
        <f t="shared" si="26"/>
        <v>100</v>
      </c>
      <c r="C133" s="1">
        <f t="shared" si="19"/>
        <v>100.00000000521483</v>
      </c>
      <c r="D133" s="1">
        <f t="shared" ca="1" si="20"/>
        <v>99.999999987268552</v>
      </c>
      <c r="E133" s="1">
        <f t="shared" ca="1" si="21"/>
        <v>400.00000005092602</v>
      </c>
      <c r="F133" s="1">
        <f t="shared" si="22"/>
        <v>4</v>
      </c>
      <c r="G133" s="1">
        <f t="shared" si="14"/>
        <v>400.00000002085932</v>
      </c>
      <c r="H133" s="1">
        <f t="shared" si="15"/>
        <v>400.00000002085932</v>
      </c>
      <c r="I133" s="1"/>
      <c r="J133" s="1">
        <f t="shared" si="16"/>
        <v>99.999999994785185</v>
      </c>
      <c r="M133" s="1">
        <f t="shared" si="17"/>
        <v>99.999999994785185</v>
      </c>
      <c r="N133" s="1">
        <f t="shared" si="23"/>
        <v>0</v>
      </c>
      <c r="O133" s="1">
        <f t="shared" ca="1" si="18"/>
        <v>99.999999987268552</v>
      </c>
      <c r="P133" s="1">
        <f t="shared" si="24"/>
        <v>4</v>
      </c>
    </row>
    <row r="134" spans="1:16" x14ac:dyDescent="0.25">
      <c r="A134" s="21">
        <f t="shared" si="25"/>
        <v>113</v>
      </c>
      <c r="B134" s="1">
        <f t="shared" si="26"/>
        <v>100</v>
      </c>
      <c r="C134" s="1">
        <f t="shared" si="19"/>
        <v>100.00000000417187</v>
      </c>
      <c r="D134" s="1">
        <f t="shared" ca="1" si="20"/>
        <v>99.999999989814796</v>
      </c>
      <c r="E134" s="1">
        <f t="shared" ca="1" si="21"/>
        <v>400.00000004074082</v>
      </c>
      <c r="F134" s="1">
        <f t="shared" si="22"/>
        <v>4</v>
      </c>
      <c r="G134" s="1">
        <f t="shared" si="14"/>
        <v>400.00000001668747</v>
      </c>
      <c r="H134" s="1">
        <f t="shared" si="15"/>
        <v>400.00000001668747</v>
      </c>
      <c r="I134" s="1"/>
      <c r="J134" s="1">
        <f t="shared" si="16"/>
        <v>99.999999995828148</v>
      </c>
      <c r="M134" s="1">
        <f t="shared" si="17"/>
        <v>99.999999995828148</v>
      </c>
      <c r="N134" s="1">
        <f t="shared" si="23"/>
        <v>0</v>
      </c>
      <c r="O134" s="1">
        <f t="shared" ca="1" si="18"/>
        <v>99.999999989814796</v>
      </c>
      <c r="P134" s="1">
        <f t="shared" si="24"/>
        <v>4</v>
      </c>
    </row>
    <row r="135" spans="1:16" x14ac:dyDescent="0.25">
      <c r="A135" s="21">
        <f t="shared" si="25"/>
        <v>114</v>
      </c>
      <c r="B135" s="1">
        <f t="shared" si="26"/>
        <v>100</v>
      </c>
      <c r="C135" s="1">
        <f t="shared" si="19"/>
        <v>100.0000000033375</v>
      </c>
      <c r="D135" s="1">
        <f t="shared" ca="1" si="20"/>
        <v>99.999999991851837</v>
      </c>
      <c r="E135" s="1">
        <f t="shared" ca="1" si="21"/>
        <v>400.00000003259265</v>
      </c>
      <c r="F135" s="1">
        <f t="shared" si="22"/>
        <v>4</v>
      </c>
      <c r="G135" s="1">
        <f t="shared" si="14"/>
        <v>400.00000001335002</v>
      </c>
      <c r="H135" s="1">
        <f t="shared" si="15"/>
        <v>400.00000001335002</v>
      </c>
      <c r="I135" s="1"/>
      <c r="J135" s="1">
        <f t="shared" si="16"/>
        <v>99.999999996662552</v>
      </c>
      <c r="M135" s="1">
        <f t="shared" si="17"/>
        <v>99.999999996662552</v>
      </c>
      <c r="N135" s="1">
        <f t="shared" si="23"/>
        <v>0</v>
      </c>
      <c r="O135" s="1">
        <f t="shared" ca="1" si="18"/>
        <v>99.999999991851837</v>
      </c>
      <c r="P135" s="1">
        <f t="shared" si="24"/>
        <v>4</v>
      </c>
    </row>
    <row r="136" spans="1:16" x14ac:dyDescent="0.25">
      <c r="A136" s="21">
        <f t="shared" si="25"/>
        <v>115</v>
      </c>
      <c r="B136" s="1">
        <f t="shared" si="26"/>
        <v>100</v>
      </c>
      <c r="C136" s="1">
        <f t="shared" si="19"/>
        <v>100.00000000267001</v>
      </c>
      <c r="D136" s="1">
        <f t="shared" ca="1" si="20"/>
        <v>99.999999993481481</v>
      </c>
      <c r="E136" s="1">
        <f t="shared" ca="1" si="21"/>
        <v>400.00000002607413</v>
      </c>
      <c r="F136" s="1">
        <f t="shared" si="22"/>
        <v>4</v>
      </c>
      <c r="G136" s="1">
        <f t="shared" si="14"/>
        <v>400.00000001068003</v>
      </c>
      <c r="H136" s="1">
        <f t="shared" si="15"/>
        <v>400.00000001068003</v>
      </c>
      <c r="I136" s="1"/>
      <c r="J136" s="1">
        <f t="shared" si="16"/>
        <v>99.999999997330008</v>
      </c>
      <c r="M136" s="1">
        <f t="shared" si="17"/>
        <v>99.999999997330008</v>
      </c>
      <c r="N136" s="1">
        <f t="shared" si="23"/>
        <v>0</v>
      </c>
      <c r="O136" s="1">
        <f t="shared" ca="1" si="18"/>
        <v>99.999999993481481</v>
      </c>
      <c r="P136" s="1">
        <f t="shared" si="24"/>
        <v>4</v>
      </c>
    </row>
    <row r="137" spans="1:16" x14ac:dyDescent="0.25">
      <c r="A137" s="21">
        <f t="shared" si="25"/>
        <v>116</v>
      </c>
      <c r="B137" s="1">
        <f t="shared" si="26"/>
        <v>100</v>
      </c>
      <c r="C137" s="1">
        <f t="shared" si="19"/>
        <v>100.00000000213601</v>
      </c>
      <c r="D137" s="1">
        <f t="shared" ca="1" si="20"/>
        <v>99.999999994785185</v>
      </c>
      <c r="E137" s="1">
        <f t="shared" ca="1" si="21"/>
        <v>400.00000002085932</v>
      </c>
      <c r="F137" s="1">
        <f t="shared" si="22"/>
        <v>4</v>
      </c>
      <c r="G137" s="1">
        <f t="shared" si="14"/>
        <v>400.00000000854402</v>
      </c>
      <c r="H137" s="1">
        <f t="shared" si="15"/>
        <v>400.00000000854402</v>
      </c>
      <c r="I137" s="1"/>
      <c r="J137" s="1">
        <f t="shared" si="16"/>
        <v>99.999999997863995</v>
      </c>
      <c r="M137" s="1">
        <f t="shared" si="17"/>
        <v>99.999999997863995</v>
      </c>
      <c r="N137" s="1">
        <f t="shared" si="23"/>
        <v>0</v>
      </c>
      <c r="O137" s="1">
        <f t="shared" ca="1" si="18"/>
        <v>99.999999994785185</v>
      </c>
      <c r="P137" s="1">
        <f t="shared" si="24"/>
        <v>4</v>
      </c>
    </row>
    <row r="138" spans="1:16" x14ac:dyDescent="0.25">
      <c r="A138" s="21">
        <f t="shared" si="25"/>
        <v>117</v>
      </c>
      <c r="B138" s="1">
        <f t="shared" si="26"/>
        <v>100</v>
      </c>
      <c r="C138" s="1">
        <f t="shared" si="19"/>
        <v>100.00000000170881</v>
      </c>
      <c r="D138" s="1">
        <f t="shared" ca="1" si="20"/>
        <v>99.999999995828148</v>
      </c>
      <c r="E138" s="1">
        <f t="shared" ca="1" si="21"/>
        <v>400.00000001668747</v>
      </c>
      <c r="F138" s="1">
        <f t="shared" si="22"/>
        <v>4</v>
      </c>
      <c r="G138" s="1">
        <f t="shared" si="14"/>
        <v>400.00000000683525</v>
      </c>
      <c r="H138" s="1">
        <f t="shared" si="15"/>
        <v>400.00000000683525</v>
      </c>
      <c r="I138" s="1"/>
      <c r="J138" s="1">
        <f t="shared" si="16"/>
        <v>99.99999999829123</v>
      </c>
      <c r="M138" s="1">
        <f t="shared" si="17"/>
        <v>99.99999999829123</v>
      </c>
      <c r="N138" s="1">
        <f t="shared" si="23"/>
        <v>0</v>
      </c>
      <c r="O138" s="1">
        <f t="shared" ca="1" si="18"/>
        <v>99.999999995828148</v>
      </c>
      <c r="P138" s="1">
        <f t="shared" si="24"/>
        <v>4</v>
      </c>
    </row>
    <row r="139" spans="1:16" x14ac:dyDescent="0.25">
      <c r="A139" s="21">
        <f t="shared" si="25"/>
        <v>118</v>
      </c>
      <c r="B139" s="1">
        <f t="shared" si="26"/>
        <v>100</v>
      </c>
      <c r="C139" s="1">
        <f t="shared" si="19"/>
        <v>100.00000000136706</v>
      </c>
      <c r="D139" s="1">
        <f t="shared" ca="1" si="20"/>
        <v>99.999999996662552</v>
      </c>
      <c r="E139" s="1">
        <f t="shared" ca="1" si="21"/>
        <v>400.00000001335002</v>
      </c>
      <c r="F139" s="1">
        <f t="shared" si="22"/>
        <v>4</v>
      </c>
      <c r="G139" s="1">
        <f t="shared" si="14"/>
        <v>400.00000000546822</v>
      </c>
      <c r="H139" s="1">
        <f t="shared" si="15"/>
        <v>400.00000000546822</v>
      </c>
      <c r="I139" s="1"/>
      <c r="J139" s="1">
        <f t="shared" si="16"/>
        <v>99.999999998632973</v>
      </c>
      <c r="M139" s="1">
        <f t="shared" si="17"/>
        <v>99.999999998632973</v>
      </c>
      <c r="N139" s="1">
        <f t="shared" si="23"/>
        <v>0</v>
      </c>
      <c r="O139" s="1">
        <f t="shared" ca="1" si="18"/>
        <v>99.999999996662552</v>
      </c>
      <c r="P139" s="1">
        <f t="shared" si="24"/>
        <v>4</v>
      </c>
    </row>
    <row r="140" spans="1:16" x14ac:dyDescent="0.25">
      <c r="A140" s="21">
        <f t="shared" si="25"/>
        <v>119</v>
      </c>
      <c r="B140" s="1">
        <f t="shared" si="26"/>
        <v>100</v>
      </c>
      <c r="C140" s="1">
        <f t="shared" si="19"/>
        <v>100.00000000109365</v>
      </c>
      <c r="D140" s="1">
        <f t="shared" ca="1" si="20"/>
        <v>99.999999997330008</v>
      </c>
      <c r="E140" s="1">
        <f t="shared" ca="1" si="21"/>
        <v>400.00000001068003</v>
      </c>
      <c r="F140" s="1">
        <f t="shared" si="22"/>
        <v>4</v>
      </c>
      <c r="G140" s="1">
        <f t="shared" si="14"/>
        <v>400.00000000437461</v>
      </c>
      <c r="H140" s="1">
        <f t="shared" si="15"/>
        <v>400.00000000437461</v>
      </c>
      <c r="I140" s="1"/>
      <c r="J140" s="1">
        <f t="shared" si="16"/>
        <v>99.999999998906389</v>
      </c>
      <c r="M140" s="1">
        <f t="shared" si="17"/>
        <v>99.999999998906389</v>
      </c>
      <c r="N140" s="1">
        <f t="shared" si="23"/>
        <v>0</v>
      </c>
      <c r="O140" s="1">
        <f t="shared" ca="1" si="18"/>
        <v>99.999999997330008</v>
      </c>
      <c r="P140" s="1">
        <f t="shared" si="24"/>
        <v>4</v>
      </c>
    </row>
    <row r="141" spans="1:16" x14ac:dyDescent="0.25">
      <c r="A141" s="21">
        <f t="shared" si="25"/>
        <v>120</v>
      </c>
      <c r="B141" s="1">
        <f t="shared" si="26"/>
        <v>100</v>
      </c>
      <c r="C141" s="1">
        <f t="shared" si="19"/>
        <v>100.00000000087493</v>
      </c>
      <c r="D141" s="1">
        <f t="shared" ca="1" si="20"/>
        <v>99.999999997863995</v>
      </c>
      <c r="E141" s="1">
        <f t="shared" ca="1" si="21"/>
        <v>400.00000000854402</v>
      </c>
      <c r="F141" s="1">
        <f t="shared" si="22"/>
        <v>4</v>
      </c>
      <c r="G141" s="1">
        <f t="shared" si="14"/>
        <v>400.00000000349974</v>
      </c>
      <c r="H141" s="1">
        <f t="shared" si="15"/>
        <v>400.00000000349974</v>
      </c>
      <c r="I141" s="1"/>
      <c r="J141" s="1">
        <f t="shared" si="16"/>
        <v>99.999999999125123</v>
      </c>
      <c r="M141" s="1">
        <f t="shared" si="17"/>
        <v>99.999999999125123</v>
      </c>
      <c r="N141" s="1">
        <f t="shared" si="23"/>
        <v>0</v>
      </c>
      <c r="O141" s="1">
        <f t="shared" ca="1" si="18"/>
        <v>99.999999997863995</v>
      </c>
      <c r="P141" s="1">
        <f t="shared" si="24"/>
        <v>4</v>
      </c>
    </row>
    <row r="142" spans="1:16" x14ac:dyDescent="0.25">
      <c r="A142" s="21">
        <f t="shared" si="25"/>
        <v>121</v>
      </c>
      <c r="B142" s="1">
        <f t="shared" si="26"/>
        <v>100</v>
      </c>
      <c r="C142" s="1">
        <f t="shared" si="19"/>
        <v>100.00000000069996</v>
      </c>
      <c r="D142" s="1">
        <f t="shared" ca="1" si="20"/>
        <v>99.99999999829123</v>
      </c>
      <c r="E142" s="1">
        <f t="shared" ca="1" si="21"/>
        <v>400.00000000683525</v>
      </c>
      <c r="F142" s="1">
        <f t="shared" si="22"/>
        <v>4</v>
      </c>
      <c r="G142" s="1">
        <f t="shared" si="14"/>
        <v>400.00000000279982</v>
      </c>
      <c r="H142" s="1">
        <f t="shared" si="15"/>
        <v>400.00000000279982</v>
      </c>
      <c r="I142" s="1"/>
      <c r="J142" s="1">
        <f t="shared" si="16"/>
        <v>99.999999999300087</v>
      </c>
      <c r="M142" s="1">
        <f t="shared" si="17"/>
        <v>99.999999999300087</v>
      </c>
      <c r="N142" s="1">
        <f t="shared" si="23"/>
        <v>0</v>
      </c>
      <c r="O142" s="1">
        <f t="shared" ca="1" si="18"/>
        <v>99.99999999829123</v>
      </c>
      <c r="P142" s="1">
        <f t="shared" si="24"/>
        <v>4</v>
      </c>
    </row>
    <row r="143" spans="1:16" x14ac:dyDescent="0.25">
      <c r="A143" s="21">
        <f t="shared" si="25"/>
        <v>122</v>
      </c>
      <c r="B143" s="1">
        <f t="shared" si="26"/>
        <v>100</v>
      </c>
      <c r="C143" s="1">
        <f t="shared" si="19"/>
        <v>100.00000000055996</v>
      </c>
      <c r="D143" s="1">
        <f t="shared" ca="1" si="20"/>
        <v>99.999999998632973</v>
      </c>
      <c r="E143" s="1">
        <f t="shared" ca="1" si="21"/>
        <v>400.00000000546822</v>
      </c>
      <c r="F143" s="1">
        <f t="shared" si="22"/>
        <v>4</v>
      </c>
      <c r="G143" s="1">
        <f t="shared" si="14"/>
        <v>400.00000000223986</v>
      </c>
      <c r="H143" s="1">
        <f t="shared" si="15"/>
        <v>400.00000000223986</v>
      </c>
      <c r="I143" s="1"/>
      <c r="J143" s="1">
        <f t="shared" si="16"/>
        <v>99.999999999440035</v>
      </c>
      <c r="M143" s="1">
        <f t="shared" si="17"/>
        <v>99.999999999440035</v>
      </c>
      <c r="N143" s="1">
        <f t="shared" si="23"/>
        <v>0</v>
      </c>
      <c r="O143" s="1">
        <f t="shared" ca="1" si="18"/>
        <v>99.999999998632973</v>
      </c>
      <c r="P143" s="1">
        <f t="shared" si="24"/>
        <v>4</v>
      </c>
    </row>
    <row r="144" spans="1:16" x14ac:dyDescent="0.25">
      <c r="A144" s="21">
        <f t="shared" si="25"/>
        <v>123</v>
      </c>
      <c r="B144" s="1">
        <f t="shared" si="26"/>
        <v>100</v>
      </c>
      <c r="C144" s="1">
        <f t="shared" si="19"/>
        <v>100.00000000044798</v>
      </c>
      <c r="D144" s="1">
        <f t="shared" ca="1" si="20"/>
        <v>99.999999998906389</v>
      </c>
      <c r="E144" s="1">
        <f t="shared" ca="1" si="21"/>
        <v>400.00000000437461</v>
      </c>
      <c r="F144" s="1">
        <f t="shared" si="22"/>
        <v>4</v>
      </c>
      <c r="G144" s="1">
        <f t="shared" si="14"/>
        <v>400.00000000179193</v>
      </c>
      <c r="H144" s="1">
        <f t="shared" si="15"/>
        <v>400.00000000179193</v>
      </c>
      <c r="I144" s="1"/>
      <c r="J144" s="1">
        <f t="shared" si="16"/>
        <v>99.999999999552074</v>
      </c>
      <c r="M144" s="1">
        <f t="shared" si="17"/>
        <v>99.999999999552074</v>
      </c>
      <c r="N144" s="1">
        <f t="shared" si="23"/>
        <v>0</v>
      </c>
      <c r="O144" s="1">
        <f t="shared" ca="1" si="18"/>
        <v>99.999999998906389</v>
      </c>
      <c r="P144" s="1">
        <f t="shared" si="24"/>
        <v>4</v>
      </c>
    </row>
    <row r="145" spans="1:16" x14ac:dyDescent="0.25">
      <c r="A145" s="21">
        <f t="shared" si="25"/>
        <v>124</v>
      </c>
      <c r="B145" s="1">
        <f t="shared" si="26"/>
        <v>100</v>
      </c>
      <c r="C145" s="1">
        <f t="shared" si="19"/>
        <v>100.0000000003584</v>
      </c>
      <c r="D145" s="1">
        <f t="shared" ca="1" si="20"/>
        <v>99.999999999125123</v>
      </c>
      <c r="E145" s="1">
        <f t="shared" ca="1" si="21"/>
        <v>400.00000000349974</v>
      </c>
      <c r="F145" s="1">
        <f t="shared" si="22"/>
        <v>4</v>
      </c>
      <c r="G145" s="1">
        <f t="shared" si="14"/>
        <v>400.00000000143359</v>
      </c>
      <c r="H145" s="1">
        <f t="shared" si="15"/>
        <v>400.00000000143359</v>
      </c>
      <c r="I145" s="1"/>
      <c r="J145" s="1">
        <f t="shared" si="16"/>
        <v>99.999999999641659</v>
      </c>
      <c r="M145" s="1">
        <f t="shared" si="17"/>
        <v>99.999999999641659</v>
      </c>
      <c r="N145" s="1">
        <f t="shared" si="23"/>
        <v>0</v>
      </c>
      <c r="O145" s="1">
        <f t="shared" ca="1" si="18"/>
        <v>99.999999999125123</v>
      </c>
      <c r="P145" s="1">
        <f t="shared" si="24"/>
        <v>4</v>
      </c>
    </row>
    <row r="146" spans="1:16" x14ac:dyDescent="0.25">
      <c r="A146" s="21">
        <f t="shared" si="25"/>
        <v>125</v>
      </c>
      <c r="B146" s="1">
        <f t="shared" si="26"/>
        <v>100</v>
      </c>
      <c r="C146" s="1">
        <f t="shared" si="19"/>
        <v>100.00000000028672</v>
      </c>
      <c r="D146" s="1">
        <f t="shared" ca="1" si="20"/>
        <v>99.999999999300087</v>
      </c>
      <c r="E146" s="1">
        <f t="shared" ca="1" si="21"/>
        <v>400.00000000279982</v>
      </c>
      <c r="F146" s="1">
        <f t="shared" si="22"/>
        <v>4</v>
      </c>
      <c r="G146" s="1">
        <f t="shared" si="14"/>
        <v>400.00000000114687</v>
      </c>
      <c r="H146" s="1">
        <f t="shared" si="15"/>
        <v>400.00000000114687</v>
      </c>
      <c r="I146" s="1"/>
      <c r="J146" s="1">
        <f t="shared" si="16"/>
        <v>99.999999999713282</v>
      </c>
      <c r="M146" s="1">
        <f t="shared" si="17"/>
        <v>99.999999999713282</v>
      </c>
      <c r="N146" s="1">
        <f t="shared" si="23"/>
        <v>0</v>
      </c>
      <c r="O146" s="1">
        <f t="shared" ca="1" si="18"/>
        <v>99.999999999300087</v>
      </c>
      <c r="P146" s="1">
        <f t="shared" si="24"/>
        <v>4</v>
      </c>
    </row>
    <row r="147" spans="1:16" x14ac:dyDescent="0.25">
      <c r="A147" s="21">
        <f t="shared" si="25"/>
        <v>126</v>
      </c>
      <c r="B147" s="1">
        <f t="shared" si="26"/>
        <v>100</v>
      </c>
      <c r="C147" s="1">
        <f t="shared" si="19"/>
        <v>100.00000000022938</v>
      </c>
      <c r="D147" s="1">
        <f t="shared" ca="1" si="20"/>
        <v>99.999999999440035</v>
      </c>
      <c r="E147" s="1">
        <f t="shared" ca="1" si="21"/>
        <v>400.00000000223986</v>
      </c>
      <c r="F147" s="1">
        <f t="shared" si="22"/>
        <v>4</v>
      </c>
      <c r="G147" s="1">
        <f t="shared" si="14"/>
        <v>400.00000000091751</v>
      </c>
      <c r="H147" s="1">
        <f t="shared" si="15"/>
        <v>400.00000000091751</v>
      </c>
      <c r="I147" s="1"/>
      <c r="J147" s="1">
        <f t="shared" si="16"/>
        <v>99.999999999770637</v>
      </c>
      <c r="M147" s="1">
        <f t="shared" si="17"/>
        <v>99.999999999770637</v>
      </c>
      <c r="N147" s="1">
        <f t="shared" si="23"/>
        <v>0</v>
      </c>
      <c r="O147" s="1">
        <f t="shared" ca="1" si="18"/>
        <v>99.999999999440035</v>
      </c>
      <c r="P147" s="1">
        <f t="shared" si="24"/>
        <v>4</v>
      </c>
    </row>
    <row r="148" spans="1:16" x14ac:dyDescent="0.25">
      <c r="A148" s="21">
        <f t="shared" si="25"/>
        <v>127</v>
      </c>
      <c r="B148" s="1">
        <f t="shared" si="26"/>
        <v>100</v>
      </c>
      <c r="C148" s="1">
        <f t="shared" si="19"/>
        <v>100.0000000001835</v>
      </c>
      <c r="D148" s="1">
        <f t="shared" ca="1" si="20"/>
        <v>99.999999999552074</v>
      </c>
      <c r="E148" s="1">
        <f t="shared" ca="1" si="21"/>
        <v>400.00000000179193</v>
      </c>
      <c r="F148" s="1">
        <f t="shared" si="22"/>
        <v>4</v>
      </c>
      <c r="G148" s="1">
        <f t="shared" si="14"/>
        <v>400.00000000073402</v>
      </c>
      <c r="H148" s="1">
        <f t="shared" si="15"/>
        <v>400.00000000073402</v>
      </c>
      <c r="I148" s="1"/>
      <c r="J148" s="1">
        <f t="shared" si="16"/>
        <v>99.999999999816509</v>
      </c>
      <c r="M148" s="1">
        <f t="shared" si="17"/>
        <v>99.999999999816509</v>
      </c>
      <c r="N148" s="1">
        <f t="shared" si="23"/>
        <v>0</v>
      </c>
      <c r="O148" s="1">
        <f t="shared" ca="1" si="18"/>
        <v>99.999999999552074</v>
      </c>
      <c r="P148" s="1">
        <f t="shared" si="24"/>
        <v>4</v>
      </c>
    </row>
    <row r="149" spans="1:16" x14ac:dyDescent="0.25">
      <c r="A149" s="21">
        <f t="shared" si="25"/>
        <v>128</v>
      </c>
      <c r="B149" s="1">
        <f t="shared" si="26"/>
        <v>100</v>
      </c>
      <c r="C149" s="1">
        <f t="shared" si="19"/>
        <v>100.00000000014681</v>
      </c>
      <c r="D149" s="1">
        <f t="shared" ca="1" si="20"/>
        <v>99.999999999641659</v>
      </c>
      <c r="E149" s="1">
        <f t="shared" ca="1" si="21"/>
        <v>400.00000000143359</v>
      </c>
      <c r="F149" s="1">
        <f t="shared" si="22"/>
        <v>4</v>
      </c>
      <c r="G149" s="1">
        <f t="shared" si="14"/>
        <v>400.00000000058725</v>
      </c>
      <c r="H149" s="1">
        <f t="shared" si="15"/>
        <v>400.00000000058725</v>
      </c>
      <c r="I149" s="1"/>
      <c r="J149" s="1">
        <f t="shared" si="16"/>
        <v>99.99999999985323</v>
      </c>
      <c r="M149" s="1">
        <f t="shared" si="17"/>
        <v>99.99999999985323</v>
      </c>
      <c r="N149" s="1">
        <f t="shared" si="23"/>
        <v>0</v>
      </c>
      <c r="O149" s="1">
        <f t="shared" ca="1" si="18"/>
        <v>99.999999999641659</v>
      </c>
      <c r="P149" s="1">
        <f t="shared" si="24"/>
        <v>4</v>
      </c>
    </row>
    <row r="150" spans="1:16" x14ac:dyDescent="0.25">
      <c r="A150" s="21">
        <f t="shared" si="25"/>
        <v>129</v>
      </c>
      <c r="B150" s="1">
        <f t="shared" si="26"/>
        <v>100</v>
      </c>
      <c r="C150" s="1">
        <f t="shared" si="19"/>
        <v>100.00000000011745</v>
      </c>
      <c r="D150" s="1">
        <f t="shared" ca="1" si="20"/>
        <v>99.999999999713282</v>
      </c>
      <c r="E150" s="1">
        <f t="shared" ca="1" si="21"/>
        <v>400.00000000114687</v>
      </c>
      <c r="F150" s="1">
        <f t="shared" si="22"/>
        <v>4</v>
      </c>
      <c r="G150" s="1">
        <f t="shared" ref="G150:G211" si="27">F150*C150</f>
        <v>400.00000000046981</v>
      </c>
      <c r="H150" s="1">
        <f t="shared" ref="H150:H211" si="28">H149+J150-B150</f>
        <v>400.00000000046981</v>
      </c>
      <c r="I150" s="1"/>
      <c r="J150" s="1">
        <f t="shared" ref="J150:J211" si="29">MIN(M$11,MAX(0,B150+G150-H149))</f>
        <v>99.999999999882561</v>
      </c>
      <c r="M150" s="1">
        <f t="shared" ref="M150:M211" si="30">MAX(0,MIN(M$11,J150))</f>
        <v>99.999999999882561</v>
      </c>
      <c r="N150" s="1">
        <f t="shared" si="23"/>
        <v>0</v>
      </c>
      <c r="O150" s="1">
        <f t="shared" ref="O150:O211" ca="1" si="31">IF(A150&lt;=M$12,C$12,OFFSET(O150,-M$12,-2))</f>
        <v>99.999999999713282</v>
      </c>
      <c r="P150" s="1">
        <f t="shared" si="24"/>
        <v>4</v>
      </c>
    </row>
    <row r="151" spans="1:16" x14ac:dyDescent="0.25">
      <c r="A151" s="21">
        <f t="shared" si="25"/>
        <v>130</v>
      </c>
      <c r="B151" s="1">
        <f t="shared" si="26"/>
        <v>100</v>
      </c>
      <c r="C151" s="1">
        <f t="shared" ref="C151:C211" si="32">C$11*B151+(1-C$11)*C150</f>
        <v>100.00000000009396</v>
      </c>
      <c r="D151" s="1">
        <f t="shared" ref="D151:D211" ca="1" si="33">O151</f>
        <v>99.999999999770637</v>
      </c>
      <c r="E151" s="1">
        <f t="shared" ref="E151:E211" ca="1" si="34">E150+D151-B151</f>
        <v>400.00000000091751</v>
      </c>
      <c r="F151" s="1">
        <f t="shared" ref="F151:F211" si="35">P150</f>
        <v>4</v>
      </c>
      <c r="G151" s="1">
        <f t="shared" si="27"/>
        <v>400.00000000037585</v>
      </c>
      <c r="H151" s="1">
        <f t="shared" si="28"/>
        <v>400.00000000037585</v>
      </c>
      <c r="I151" s="1"/>
      <c r="J151" s="1">
        <f t="shared" si="29"/>
        <v>99.999999999906038</v>
      </c>
      <c r="M151" s="1">
        <f t="shared" si="30"/>
        <v>99.999999999906038</v>
      </c>
      <c r="N151" s="1">
        <f t="shared" ref="N151:N211" si="36">G151-H151</f>
        <v>0</v>
      </c>
      <c r="O151" s="1">
        <f t="shared" ca="1" si="31"/>
        <v>99.999999999770637</v>
      </c>
      <c r="P151" s="1">
        <f t="shared" ref="P151:P211" si="37">M$12+N151/M$11</f>
        <v>4</v>
      </c>
    </row>
    <row r="152" spans="1:16" x14ac:dyDescent="0.25">
      <c r="A152" s="21">
        <f t="shared" ref="A152:A211" si="38">1+A151</f>
        <v>131</v>
      </c>
      <c r="B152" s="1">
        <f t="shared" si="26"/>
        <v>100</v>
      </c>
      <c r="C152" s="1">
        <f t="shared" si="32"/>
        <v>100.00000000007518</v>
      </c>
      <c r="D152" s="1">
        <f t="shared" ca="1" si="33"/>
        <v>99.999999999816509</v>
      </c>
      <c r="E152" s="1">
        <f t="shared" ca="1" si="34"/>
        <v>400.00000000073402</v>
      </c>
      <c r="F152" s="1">
        <f t="shared" si="35"/>
        <v>4</v>
      </c>
      <c r="G152" s="1">
        <f t="shared" si="27"/>
        <v>400.0000000003007</v>
      </c>
      <c r="H152" s="1">
        <f t="shared" si="28"/>
        <v>400.0000000003007</v>
      </c>
      <c r="I152" s="1"/>
      <c r="J152" s="1">
        <f t="shared" si="29"/>
        <v>99.999999999924853</v>
      </c>
      <c r="M152" s="1">
        <f t="shared" si="30"/>
        <v>99.999999999924853</v>
      </c>
      <c r="N152" s="1">
        <f t="shared" si="36"/>
        <v>0</v>
      </c>
      <c r="O152" s="1">
        <f t="shared" ca="1" si="31"/>
        <v>99.999999999816509</v>
      </c>
      <c r="P152" s="1">
        <f t="shared" si="37"/>
        <v>4</v>
      </c>
    </row>
    <row r="153" spans="1:16" x14ac:dyDescent="0.25">
      <c r="A153" s="21">
        <f t="shared" si="38"/>
        <v>132</v>
      </c>
      <c r="B153" s="1">
        <f t="shared" si="26"/>
        <v>100</v>
      </c>
      <c r="C153" s="1">
        <f t="shared" si="32"/>
        <v>100.00000000006014</v>
      </c>
      <c r="D153" s="1">
        <f t="shared" ca="1" si="33"/>
        <v>99.99999999985323</v>
      </c>
      <c r="E153" s="1">
        <f t="shared" ca="1" si="34"/>
        <v>400.00000000058725</v>
      </c>
      <c r="F153" s="1">
        <f t="shared" si="35"/>
        <v>4</v>
      </c>
      <c r="G153" s="1">
        <f t="shared" si="27"/>
        <v>400.00000000024056</v>
      </c>
      <c r="H153" s="1">
        <f t="shared" si="28"/>
        <v>400.00000000024056</v>
      </c>
      <c r="I153" s="1"/>
      <c r="J153" s="1">
        <f t="shared" si="29"/>
        <v>99.99999999993986</v>
      </c>
      <c r="M153" s="1">
        <f t="shared" si="30"/>
        <v>99.99999999993986</v>
      </c>
      <c r="N153" s="1">
        <f t="shared" si="36"/>
        <v>0</v>
      </c>
      <c r="O153" s="1">
        <f t="shared" ca="1" si="31"/>
        <v>99.99999999985323</v>
      </c>
      <c r="P153" s="1">
        <f t="shared" si="37"/>
        <v>4</v>
      </c>
    </row>
    <row r="154" spans="1:16" x14ac:dyDescent="0.25">
      <c r="A154" s="21">
        <f t="shared" si="38"/>
        <v>133</v>
      </c>
      <c r="B154" s="1">
        <f t="shared" si="26"/>
        <v>100</v>
      </c>
      <c r="C154" s="1">
        <f t="shared" si="32"/>
        <v>100.00000000004812</v>
      </c>
      <c r="D154" s="1">
        <f t="shared" ca="1" si="33"/>
        <v>99.999999999882561</v>
      </c>
      <c r="E154" s="1">
        <f t="shared" ca="1" si="34"/>
        <v>400.00000000046981</v>
      </c>
      <c r="F154" s="1">
        <f t="shared" si="35"/>
        <v>4</v>
      </c>
      <c r="G154" s="1">
        <f t="shared" si="27"/>
        <v>400.00000000019247</v>
      </c>
      <c r="H154" s="1">
        <f t="shared" si="28"/>
        <v>400.00000000019247</v>
      </c>
      <c r="I154" s="1"/>
      <c r="J154" s="1">
        <f t="shared" si="29"/>
        <v>99.99999999995191</v>
      </c>
      <c r="M154" s="1">
        <f t="shared" si="30"/>
        <v>99.99999999995191</v>
      </c>
      <c r="N154" s="1">
        <f t="shared" si="36"/>
        <v>0</v>
      </c>
      <c r="O154" s="1">
        <f t="shared" ca="1" si="31"/>
        <v>99.999999999882561</v>
      </c>
      <c r="P154" s="1">
        <f t="shared" si="37"/>
        <v>4</v>
      </c>
    </row>
    <row r="155" spans="1:16" x14ac:dyDescent="0.25">
      <c r="A155" s="21">
        <f t="shared" si="38"/>
        <v>134</v>
      </c>
      <c r="B155" s="1">
        <f t="shared" si="26"/>
        <v>100</v>
      </c>
      <c r="C155" s="1">
        <f t="shared" si="32"/>
        <v>100.0000000000385</v>
      </c>
      <c r="D155" s="1">
        <f t="shared" ca="1" si="33"/>
        <v>99.999999999906038</v>
      </c>
      <c r="E155" s="1">
        <f t="shared" ca="1" si="34"/>
        <v>400.00000000037585</v>
      </c>
      <c r="F155" s="1">
        <f t="shared" si="35"/>
        <v>4</v>
      </c>
      <c r="G155" s="1">
        <f t="shared" si="27"/>
        <v>400.00000000015399</v>
      </c>
      <c r="H155" s="1">
        <f t="shared" si="28"/>
        <v>400.00000000015399</v>
      </c>
      <c r="I155" s="1"/>
      <c r="J155" s="1">
        <f t="shared" si="29"/>
        <v>99.999999999961517</v>
      </c>
      <c r="M155" s="1">
        <f t="shared" si="30"/>
        <v>99.999999999961517</v>
      </c>
      <c r="N155" s="1">
        <f t="shared" si="36"/>
        <v>0</v>
      </c>
      <c r="O155" s="1">
        <f t="shared" ca="1" si="31"/>
        <v>99.999999999906038</v>
      </c>
      <c r="P155" s="1">
        <f t="shared" si="37"/>
        <v>4</v>
      </c>
    </row>
    <row r="156" spans="1:16" x14ac:dyDescent="0.25">
      <c r="A156" s="21">
        <f t="shared" si="38"/>
        <v>135</v>
      </c>
      <c r="B156" s="1">
        <f t="shared" si="26"/>
        <v>100</v>
      </c>
      <c r="C156" s="1">
        <f t="shared" si="32"/>
        <v>100.00000000003081</v>
      </c>
      <c r="D156" s="1">
        <f t="shared" ca="1" si="33"/>
        <v>99.999999999924853</v>
      </c>
      <c r="E156" s="1">
        <f t="shared" ca="1" si="34"/>
        <v>400.0000000003007</v>
      </c>
      <c r="F156" s="1">
        <f t="shared" si="35"/>
        <v>4</v>
      </c>
      <c r="G156" s="1">
        <f t="shared" si="27"/>
        <v>400.00000000012324</v>
      </c>
      <c r="H156" s="1">
        <f t="shared" si="28"/>
        <v>400.00000000012324</v>
      </c>
      <c r="I156" s="1"/>
      <c r="J156" s="1">
        <f t="shared" si="29"/>
        <v>99.999999999969248</v>
      </c>
      <c r="M156" s="1">
        <f t="shared" si="30"/>
        <v>99.999999999969248</v>
      </c>
      <c r="N156" s="1">
        <f t="shared" si="36"/>
        <v>0</v>
      </c>
      <c r="O156" s="1">
        <f t="shared" ca="1" si="31"/>
        <v>99.999999999924853</v>
      </c>
      <c r="P156" s="1">
        <f t="shared" si="37"/>
        <v>4</v>
      </c>
    </row>
    <row r="157" spans="1:16" x14ac:dyDescent="0.25">
      <c r="A157" s="21">
        <f t="shared" si="38"/>
        <v>136</v>
      </c>
      <c r="B157" s="1">
        <f t="shared" si="26"/>
        <v>100</v>
      </c>
      <c r="C157" s="1">
        <f t="shared" si="32"/>
        <v>100.00000000002466</v>
      </c>
      <c r="D157" s="1">
        <f t="shared" ca="1" si="33"/>
        <v>99.99999999993986</v>
      </c>
      <c r="E157" s="1">
        <f t="shared" ca="1" si="34"/>
        <v>400.00000000024056</v>
      </c>
      <c r="F157" s="1">
        <f t="shared" si="35"/>
        <v>4</v>
      </c>
      <c r="G157" s="1">
        <f t="shared" si="27"/>
        <v>400.00000000009862</v>
      </c>
      <c r="H157" s="1">
        <f t="shared" si="28"/>
        <v>400.00000000009862</v>
      </c>
      <c r="I157" s="1"/>
      <c r="J157" s="1">
        <f t="shared" si="29"/>
        <v>99.999999999975387</v>
      </c>
      <c r="M157" s="1">
        <f t="shared" si="30"/>
        <v>99.999999999975387</v>
      </c>
      <c r="N157" s="1">
        <f t="shared" si="36"/>
        <v>0</v>
      </c>
      <c r="O157" s="1">
        <f t="shared" ca="1" si="31"/>
        <v>99.99999999993986</v>
      </c>
      <c r="P157" s="1">
        <f t="shared" si="37"/>
        <v>4</v>
      </c>
    </row>
    <row r="158" spans="1:16" x14ac:dyDescent="0.25">
      <c r="A158" s="21">
        <f t="shared" si="38"/>
        <v>137</v>
      </c>
      <c r="B158" s="1">
        <f t="shared" si="26"/>
        <v>100</v>
      </c>
      <c r="C158" s="1">
        <f t="shared" si="32"/>
        <v>100.00000000001972</v>
      </c>
      <c r="D158" s="1">
        <f t="shared" ca="1" si="33"/>
        <v>99.99999999995191</v>
      </c>
      <c r="E158" s="1">
        <f t="shared" ca="1" si="34"/>
        <v>400.00000000019247</v>
      </c>
      <c r="F158" s="1">
        <f t="shared" si="35"/>
        <v>4</v>
      </c>
      <c r="G158" s="1">
        <f t="shared" si="27"/>
        <v>400.0000000000789</v>
      </c>
      <c r="H158" s="1">
        <f t="shared" si="28"/>
        <v>400.0000000000789</v>
      </c>
      <c r="I158" s="1"/>
      <c r="J158" s="1">
        <f t="shared" si="29"/>
        <v>99.999999999980275</v>
      </c>
      <c r="M158" s="1">
        <f t="shared" si="30"/>
        <v>99.999999999980275</v>
      </c>
      <c r="N158" s="1">
        <f t="shared" si="36"/>
        <v>0</v>
      </c>
      <c r="O158" s="1">
        <f t="shared" ca="1" si="31"/>
        <v>99.99999999995191</v>
      </c>
      <c r="P158" s="1">
        <f t="shared" si="37"/>
        <v>4</v>
      </c>
    </row>
    <row r="159" spans="1:16" x14ac:dyDescent="0.25">
      <c r="A159" s="21">
        <f t="shared" si="38"/>
        <v>138</v>
      </c>
      <c r="B159" s="1">
        <f t="shared" si="26"/>
        <v>100</v>
      </c>
      <c r="C159" s="1">
        <f t="shared" si="32"/>
        <v>100.00000000001579</v>
      </c>
      <c r="D159" s="1">
        <f t="shared" ca="1" si="33"/>
        <v>99.999999999961517</v>
      </c>
      <c r="E159" s="1">
        <f t="shared" ca="1" si="34"/>
        <v>400.00000000015399</v>
      </c>
      <c r="F159" s="1">
        <f t="shared" si="35"/>
        <v>4</v>
      </c>
      <c r="G159" s="1">
        <f t="shared" si="27"/>
        <v>400.00000000006315</v>
      </c>
      <c r="H159" s="1">
        <f t="shared" si="28"/>
        <v>400.00000000006315</v>
      </c>
      <c r="I159" s="1"/>
      <c r="J159" s="1">
        <f t="shared" si="29"/>
        <v>99.999999999984254</v>
      </c>
      <c r="M159" s="1">
        <f t="shared" si="30"/>
        <v>99.999999999984254</v>
      </c>
      <c r="N159" s="1">
        <f t="shared" si="36"/>
        <v>0</v>
      </c>
      <c r="O159" s="1">
        <f t="shared" ca="1" si="31"/>
        <v>99.999999999961517</v>
      </c>
      <c r="P159" s="1">
        <f t="shared" si="37"/>
        <v>4</v>
      </c>
    </row>
    <row r="160" spans="1:16" x14ac:dyDescent="0.25">
      <c r="A160" s="21">
        <f t="shared" si="38"/>
        <v>139</v>
      </c>
      <c r="B160" s="1">
        <f t="shared" ref="B160:B211" si="39">C$12</f>
        <v>100</v>
      </c>
      <c r="C160" s="1">
        <f t="shared" si="32"/>
        <v>100.00000000001263</v>
      </c>
      <c r="D160" s="1">
        <f t="shared" ca="1" si="33"/>
        <v>99.999999999969248</v>
      </c>
      <c r="E160" s="1">
        <f t="shared" ca="1" si="34"/>
        <v>400.00000000012324</v>
      </c>
      <c r="F160" s="1">
        <f t="shared" si="35"/>
        <v>4</v>
      </c>
      <c r="G160" s="1">
        <f t="shared" si="27"/>
        <v>400.00000000005053</v>
      </c>
      <c r="H160" s="1">
        <f t="shared" si="28"/>
        <v>400.00000000005053</v>
      </c>
      <c r="I160" s="1"/>
      <c r="J160" s="1">
        <f t="shared" si="29"/>
        <v>99.999999999987381</v>
      </c>
      <c r="M160" s="1">
        <f t="shared" si="30"/>
        <v>99.999999999987381</v>
      </c>
      <c r="N160" s="1">
        <f t="shared" si="36"/>
        <v>0</v>
      </c>
      <c r="O160" s="1">
        <f t="shared" ca="1" si="31"/>
        <v>99.999999999969248</v>
      </c>
      <c r="P160" s="1">
        <f t="shared" si="37"/>
        <v>4</v>
      </c>
    </row>
    <row r="161" spans="1:16" x14ac:dyDescent="0.25">
      <c r="A161" s="21">
        <f t="shared" si="38"/>
        <v>140</v>
      </c>
      <c r="B161" s="1">
        <f t="shared" si="39"/>
        <v>100</v>
      </c>
      <c r="C161" s="1">
        <f t="shared" si="32"/>
        <v>100.00000000001012</v>
      </c>
      <c r="D161" s="1">
        <f t="shared" ca="1" si="33"/>
        <v>99.999999999975387</v>
      </c>
      <c r="E161" s="1">
        <f t="shared" ca="1" si="34"/>
        <v>400.00000000009862</v>
      </c>
      <c r="F161" s="1">
        <f t="shared" si="35"/>
        <v>4</v>
      </c>
      <c r="G161" s="1">
        <f t="shared" si="27"/>
        <v>400.00000000004047</v>
      </c>
      <c r="H161" s="1">
        <f t="shared" si="28"/>
        <v>400.00000000004047</v>
      </c>
      <c r="I161" s="1"/>
      <c r="J161" s="1">
        <f t="shared" si="29"/>
        <v>99.999999999989939</v>
      </c>
      <c r="M161" s="1">
        <f t="shared" si="30"/>
        <v>99.999999999989939</v>
      </c>
      <c r="N161" s="1">
        <f t="shared" si="36"/>
        <v>0</v>
      </c>
      <c r="O161" s="1">
        <f t="shared" ca="1" si="31"/>
        <v>99.999999999975387</v>
      </c>
      <c r="P161" s="1">
        <f t="shared" si="37"/>
        <v>4</v>
      </c>
    </row>
    <row r="162" spans="1:16" x14ac:dyDescent="0.25">
      <c r="A162" s="21">
        <f t="shared" si="38"/>
        <v>141</v>
      </c>
      <c r="B162" s="1">
        <f t="shared" si="39"/>
        <v>100</v>
      </c>
      <c r="C162" s="1">
        <f t="shared" si="32"/>
        <v>100.0000000000081</v>
      </c>
      <c r="D162" s="1">
        <f t="shared" ca="1" si="33"/>
        <v>99.999999999980275</v>
      </c>
      <c r="E162" s="1">
        <f t="shared" ca="1" si="34"/>
        <v>400.0000000000789</v>
      </c>
      <c r="F162" s="1">
        <f t="shared" si="35"/>
        <v>4</v>
      </c>
      <c r="G162" s="1">
        <f t="shared" si="27"/>
        <v>400.0000000000324</v>
      </c>
      <c r="H162" s="1">
        <f t="shared" si="28"/>
        <v>400.0000000000324</v>
      </c>
      <c r="I162" s="1"/>
      <c r="J162" s="1">
        <f t="shared" si="29"/>
        <v>99.999999999991928</v>
      </c>
      <c r="M162" s="1">
        <f t="shared" si="30"/>
        <v>99.999999999991928</v>
      </c>
      <c r="N162" s="1">
        <f t="shared" si="36"/>
        <v>0</v>
      </c>
      <c r="O162" s="1">
        <f t="shared" ca="1" si="31"/>
        <v>99.999999999980275</v>
      </c>
      <c r="P162" s="1">
        <f t="shared" si="37"/>
        <v>4</v>
      </c>
    </row>
    <row r="163" spans="1:16" x14ac:dyDescent="0.25">
      <c r="A163" s="21">
        <f t="shared" si="38"/>
        <v>142</v>
      </c>
      <c r="B163" s="1">
        <f t="shared" si="39"/>
        <v>100</v>
      </c>
      <c r="C163" s="1">
        <f t="shared" si="32"/>
        <v>100.00000000000648</v>
      </c>
      <c r="D163" s="1">
        <f t="shared" ca="1" si="33"/>
        <v>99.999999999984254</v>
      </c>
      <c r="E163" s="1">
        <f t="shared" ca="1" si="34"/>
        <v>400.00000000006315</v>
      </c>
      <c r="F163" s="1">
        <f t="shared" si="35"/>
        <v>4</v>
      </c>
      <c r="G163" s="1">
        <f t="shared" si="27"/>
        <v>400.00000000002592</v>
      </c>
      <c r="H163" s="1">
        <f t="shared" si="28"/>
        <v>400.00000000002592</v>
      </c>
      <c r="I163" s="1"/>
      <c r="J163" s="1">
        <f t="shared" si="29"/>
        <v>99.99999999999352</v>
      </c>
      <c r="M163" s="1">
        <f t="shared" si="30"/>
        <v>99.99999999999352</v>
      </c>
      <c r="N163" s="1">
        <f t="shared" si="36"/>
        <v>0</v>
      </c>
      <c r="O163" s="1">
        <f t="shared" ca="1" si="31"/>
        <v>99.999999999984254</v>
      </c>
      <c r="P163" s="1">
        <f t="shared" si="37"/>
        <v>4</v>
      </c>
    </row>
    <row r="164" spans="1:16" x14ac:dyDescent="0.25">
      <c r="A164" s="21">
        <f t="shared" si="38"/>
        <v>143</v>
      </c>
      <c r="B164" s="1">
        <f t="shared" si="39"/>
        <v>100</v>
      </c>
      <c r="C164" s="1">
        <f t="shared" si="32"/>
        <v>100.00000000000519</v>
      </c>
      <c r="D164" s="1">
        <f t="shared" ca="1" si="33"/>
        <v>99.999999999987381</v>
      </c>
      <c r="E164" s="1">
        <f t="shared" ca="1" si="34"/>
        <v>400.00000000005053</v>
      </c>
      <c r="F164" s="1">
        <f t="shared" si="35"/>
        <v>4</v>
      </c>
      <c r="G164" s="1">
        <f t="shared" si="27"/>
        <v>400.00000000002075</v>
      </c>
      <c r="H164" s="1">
        <f t="shared" si="28"/>
        <v>400.00000000002075</v>
      </c>
      <c r="I164" s="1"/>
      <c r="J164" s="1">
        <f t="shared" si="29"/>
        <v>99.999999999994827</v>
      </c>
      <c r="M164" s="1">
        <f t="shared" si="30"/>
        <v>99.999999999994827</v>
      </c>
      <c r="N164" s="1">
        <f t="shared" si="36"/>
        <v>0</v>
      </c>
      <c r="O164" s="1">
        <f t="shared" ca="1" si="31"/>
        <v>99.999999999987381</v>
      </c>
      <c r="P164" s="1">
        <f t="shared" si="37"/>
        <v>4</v>
      </c>
    </row>
    <row r="165" spans="1:16" x14ac:dyDescent="0.25">
      <c r="A165" s="21">
        <f t="shared" si="38"/>
        <v>144</v>
      </c>
      <c r="B165" s="1">
        <f t="shared" si="39"/>
        <v>100</v>
      </c>
      <c r="C165" s="1">
        <f t="shared" si="32"/>
        <v>100.00000000000415</v>
      </c>
      <c r="D165" s="1">
        <f t="shared" ca="1" si="33"/>
        <v>99.999999999989939</v>
      </c>
      <c r="E165" s="1">
        <f t="shared" ca="1" si="34"/>
        <v>400.00000000004047</v>
      </c>
      <c r="F165" s="1">
        <f t="shared" si="35"/>
        <v>4</v>
      </c>
      <c r="G165" s="1">
        <f t="shared" si="27"/>
        <v>400.0000000000166</v>
      </c>
      <c r="H165" s="1">
        <f t="shared" si="28"/>
        <v>400.0000000000166</v>
      </c>
      <c r="I165" s="1"/>
      <c r="J165" s="1">
        <f t="shared" si="29"/>
        <v>99.99999999999585</v>
      </c>
      <c r="M165" s="1">
        <f t="shared" si="30"/>
        <v>99.99999999999585</v>
      </c>
      <c r="N165" s="1">
        <f t="shared" si="36"/>
        <v>0</v>
      </c>
      <c r="O165" s="1">
        <f t="shared" ca="1" si="31"/>
        <v>99.999999999989939</v>
      </c>
      <c r="P165" s="1">
        <f t="shared" si="37"/>
        <v>4</v>
      </c>
    </row>
    <row r="166" spans="1:16" x14ac:dyDescent="0.25">
      <c r="A166" s="21">
        <f t="shared" si="38"/>
        <v>145</v>
      </c>
      <c r="B166" s="1">
        <f t="shared" si="39"/>
        <v>100</v>
      </c>
      <c r="C166" s="1">
        <f t="shared" si="32"/>
        <v>100.00000000000333</v>
      </c>
      <c r="D166" s="1">
        <f t="shared" ca="1" si="33"/>
        <v>99.999999999991928</v>
      </c>
      <c r="E166" s="1">
        <f t="shared" ca="1" si="34"/>
        <v>400.0000000000324</v>
      </c>
      <c r="F166" s="1">
        <f t="shared" si="35"/>
        <v>4</v>
      </c>
      <c r="G166" s="1">
        <f t="shared" si="27"/>
        <v>400.0000000000133</v>
      </c>
      <c r="H166" s="1">
        <f t="shared" si="28"/>
        <v>400.0000000000133</v>
      </c>
      <c r="I166" s="1"/>
      <c r="J166" s="1">
        <f t="shared" si="29"/>
        <v>99.999999999996703</v>
      </c>
      <c r="M166" s="1">
        <f t="shared" si="30"/>
        <v>99.999999999996703</v>
      </c>
      <c r="N166" s="1">
        <f t="shared" si="36"/>
        <v>0</v>
      </c>
      <c r="O166" s="1">
        <f t="shared" ca="1" si="31"/>
        <v>99.999999999991928</v>
      </c>
      <c r="P166" s="1">
        <f t="shared" si="37"/>
        <v>4</v>
      </c>
    </row>
    <row r="167" spans="1:16" x14ac:dyDescent="0.25">
      <c r="A167" s="21">
        <f t="shared" si="38"/>
        <v>146</v>
      </c>
      <c r="B167" s="1">
        <f t="shared" si="39"/>
        <v>100</v>
      </c>
      <c r="C167" s="1">
        <f t="shared" si="32"/>
        <v>100.00000000000267</v>
      </c>
      <c r="D167" s="1">
        <f t="shared" ca="1" si="33"/>
        <v>99.99999999999352</v>
      </c>
      <c r="E167" s="1">
        <f t="shared" ca="1" si="34"/>
        <v>400.00000000002592</v>
      </c>
      <c r="F167" s="1">
        <f t="shared" si="35"/>
        <v>4</v>
      </c>
      <c r="G167" s="1">
        <f t="shared" si="27"/>
        <v>400.00000000001069</v>
      </c>
      <c r="H167" s="1">
        <f t="shared" si="28"/>
        <v>400.00000000001069</v>
      </c>
      <c r="I167" s="1"/>
      <c r="J167" s="1">
        <f t="shared" si="29"/>
        <v>99.999999999997385</v>
      </c>
      <c r="M167" s="1">
        <f t="shared" si="30"/>
        <v>99.999999999997385</v>
      </c>
      <c r="N167" s="1">
        <f t="shared" si="36"/>
        <v>0</v>
      </c>
      <c r="O167" s="1">
        <f t="shared" ca="1" si="31"/>
        <v>99.99999999999352</v>
      </c>
      <c r="P167" s="1">
        <f t="shared" si="37"/>
        <v>4</v>
      </c>
    </row>
    <row r="168" spans="1:16" x14ac:dyDescent="0.25">
      <c r="A168" s="21">
        <f t="shared" si="38"/>
        <v>147</v>
      </c>
      <c r="B168" s="1">
        <f t="shared" si="39"/>
        <v>100</v>
      </c>
      <c r="C168" s="1">
        <f t="shared" si="32"/>
        <v>100.00000000000215</v>
      </c>
      <c r="D168" s="1">
        <f t="shared" ca="1" si="33"/>
        <v>99.999999999994827</v>
      </c>
      <c r="E168" s="1">
        <f t="shared" ca="1" si="34"/>
        <v>400.00000000002075</v>
      </c>
      <c r="F168" s="1">
        <f t="shared" si="35"/>
        <v>4</v>
      </c>
      <c r="G168" s="1">
        <f t="shared" si="27"/>
        <v>400.00000000000858</v>
      </c>
      <c r="H168" s="1">
        <f t="shared" si="28"/>
        <v>400.00000000000858</v>
      </c>
      <c r="I168" s="1"/>
      <c r="J168" s="1">
        <f t="shared" si="29"/>
        <v>99.999999999997897</v>
      </c>
      <c r="M168" s="1">
        <f t="shared" si="30"/>
        <v>99.999999999997897</v>
      </c>
      <c r="N168" s="1">
        <f t="shared" si="36"/>
        <v>0</v>
      </c>
      <c r="O168" s="1">
        <f t="shared" ca="1" si="31"/>
        <v>99.999999999994827</v>
      </c>
      <c r="P168" s="1">
        <f t="shared" si="37"/>
        <v>4</v>
      </c>
    </row>
    <row r="169" spans="1:16" x14ac:dyDescent="0.25">
      <c r="A169" s="21">
        <f t="shared" si="38"/>
        <v>148</v>
      </c>
      <c r="B169" s="1">
        <f t="shared" si="39"/>
        <v>100</v>
      </c>
      <c r="C169" s="1">
        <f t="shared" si="32"/>
        <v>100.00000000000172</v>
      </c>
      <c r="D169" s="1">
        <f t="shared" ca="1" si="33"/>
        <v>99.99999999999585</v>
      </c>
      <c r="E169" s="1">
        <f t="shared" ca="1" si="34"/>
        <v>400.0000000000166</v>
      </c>
      <c r="F169" s="1">
        <f t="shared" si="35"/>
        <v>4</v>
      </c>
      <c r="G169" s="1">
        <f t="shared" si="27"/>
        <v>400.00000000000688</v>
      </c>
      <c r="H169" s="1">
        <f t="shared" si="28"/>
        <v>400.00000000000688</v>
      </c>
      <c r="I169" s="1"/>
      <c r="J169" s="1">
        <f t="shared" si="29"/>
        <v>99.999999999998295</v>
      </c>
      <c r="M169" s="1">
        <f t="shared" si="30"/>
        <v>99.999999999998295</v>
      </c>
      <c r="N169" s="1">
        <f t="shared" si="36"/>
        <v>0</v>
      </c>
      <c r="O169" s="1">
        <f t="shared" ca="1" si="31"/>
        <v>99.99999999999585</v>
      </c>
      <c r="P169" s="1">
        <f t="shared" si="37"/>
        <v>4</v>
      </c>
    </row>
    <row r="170" spans="1:16" x14ac:dyDescent="0.25">
      <c r="A170" s="21">
        <f t="shared" si="38"/>
        <v>149</v>
      </c>
      <c r="B170" s="1">
        <f t="shared" si="39"/>
        <v>100</v>
      </c>
      <c r="C170" s="1">
        <f t="shared" si="32"/>
        <v>100.00000000000138</v>
      </c>
      <c r="D170" s="1">
        <f t="shared" ca="1" si="33"/>
        <v>99.999999999996703</v>
      </c>
      <c r="E170" s="1">
        <f t="shared" ca="1" si="34"/>
        <v>400.0000000000133</v>
      </c>
      <c r="F170" s="1">
        <f t="shared" si="35"/>
        <v>4</v>
      </c>
      <c r="G170" s="1">
        <f t="shared" si="27"/>
        <v>400.00000000000551</v>
      </c>
      <c r="H170" s="1">
        <f t="shared" si="28"/>
        <v>400.00000000000551</v>
      </c>
      <c r="I170" s="1"/>
      <c r="J170" s="1">
        <f t="shared" si="29"/>
        <v>99.999999999998636</v>
      </c>
      <c r="M170" s="1">
        <f t="shared" si="30"/>
        <v>99.999999999998636</v>
      </c>
      <c r="N170" s="1">
        <f t="shared" si="36"/>
        <v>0</v>
      </c>
      <c r="O170" s="1">
        <f t="shared" ca="1" si="31"/>
        <v>99.999999999996703</v>
      </c>
      <c r="P170" s="1">
        <f t="shared" si="37"/>
        <v>4</v>
      </c>
    </row>
    <row r="171" spans="1:16" x14ac:dyDescent="0.25">
      <c r="A171" s="21">
        <f t="shared" si="38"/>
        <v>150</v>
      </c>
      <c r="B171" s="1">
        <f t="shared" si="39"/>
        <v>100</v>
      </c>
      <c r="C171" s="1">
        <f t="shared" si="32"/>
        <v>100.00000000000111</v>
      </c>
      <c r="D171" s="1">
        <f t="shared" ca="1" si="33"/>
        <v>99.999999999997385</v>
      </c>
      <c r="E171" s="1">
        <f t="shared" ca="1" si="34"/>
        <v>400.00000000001069</v>
      </c>
      <c r="F171" s="1">
        <f t="shared" si="35"/>
        <v>4</v>
      </c>
      <c r="G171" s="1">
        <f t="shared" si="27"/>
        <v>400.00000000000443</v>
      </c>
      <c r="H171" s="1">
        <f t="shared" si="28"/>
        <v>400.00000000000443</v>
      </c>
      <c r="I171" s="1"/>
      <c r="J171" s="1">
        <f t="shared" si="29"/>
        <v>99.99999999999892</v>
      </c>
      <c r="M171" s="1">
        <f t="shared" si="30"/>
        <v>99.99999999999892</v>
      </c>
      <c r="N171" s="1">
        <f t="shared" si="36"/>
        <v>0</v>
      </c>
      <c r="O171" s="1">
        <f t="shared" ca="1" si="31"/>
        <v>99.999999999997385</v>
      </c>
      <c r="P171" s="1">
        <f t="shared" si="37"/>
        <v>4</v>
      </c>
    </row>
    <row r="172" spans="1:16" x14ac:dyDescent="0.25">
      <c r="A172" s="21">
        <f t="shared" si="38"/>
        <v>151</v>
      </c>
      <c r="B172" s="1">
        <f t="shared" si="39"/>
        <v>100</v>
      </c>
      <c r="C172" s="1">
        <f t="shared" si="32"/>
        <v>100.0000000000009</v>
      </c>
      <c r="D172" s="1">
        <f t="shared" ca="1" si="33"/>
        <v>99.999999999997897</v>
      </c>
      <c r="E172" s="1">
        <f t="shared" ca="1" si="34"/>
        <v>400.00000000000858</v>
      </c>
      <c r="F172" s="1">
        <f t="shared" si="35"/>
        <v>4</v>
      </c>
      <c r="G172" s="1">
        <f t="shared" si="27"/>
        <v>400.00000000000358</v>
      </c>
      <c r="H172" s="1">
        <f t="shared" si="28"/>
        <v>400.00000000000358</v>
      </c>
      <c r="I172" s="1"/>
      <c r="J172" s="1">
        <f t="shared" si="29"/>
        <v>99.999999999999147</v>
      </c>
      <c r="M172" s="1">
        <f t="shared" si="30"/>
        <v>99.999999999999147</v>
      </c>
      <c r="N172" s="1">
        <f t="shared" si="36"/>
        <v>0</v>
      </c>
      <c r="O172" s="1">
        <f t="shared" ca="1" si="31"/>
        <v>99.999999999997897</v>
      </c>
      <c r="P172" s="1">
        <f t="shared" si="37"/>
        <v>4</v>
      </c>
    </row>
    <row r="173" spans="1:16" x14ac:dyDescent="0.25">
      <c r="A173" s="21">
        <f t="shared" si="38"/>
        <v>152</v>
      </c>
      <c r="B173" s="1">
        <f t="shared" si="39"/>
        <v>100</v>
      </c>
      <c r="C173" s="1">
        <f t="shared" si="32"/>
        <v>100.00000000000072</v>
      </c>
      <c r="D173" s="1">
        <f t="shared" ca="1" si="33"/>
        <v>99.999999999998295</v>
      </c>
      <c r="E173" s="1">
        <f t="shared" ca="1" si="34"/>
        <v>400.00000000000688</v>
      </c>
      <c r="F173" s="1">
        <f t="shared" si="35"/>
        <v>4</v>
      </c>
      <c r="G173" s="1">
        <f t="shared" si="27"/>
        <v>400.0000000000029</v>
      </c>
      <c r="H173" s="1">
        <f t="shared" si="28"/>
        <v>400.0000000000029</v>
      </c>
      <c r="I173" s="1"/>
      <c r="J173" s="1">
        <f t="shared" si="29"/>
        <v>99.999999999999318</v>
      </c>
      <c r="M173" s="1">
        <f t="shared" si="30"/>
        <v>99.999999999999318</v>
      </c>
      <c r="N173" s="1">
        <f t="shared" si="36"/>
        <v>0</v>
      </c>
      <c r="O173" s="1">
        <f t="shared" ca="1" si="31"/>
        <v>99.999999999998295</v>
      </c>
      <c r="P173" s="1">
        <f t="shared" si="37"/>
        <v>4</v>
      </c>
    </row>
    <row r="174" spans="1:16" x14ac:dyDescent="0.25">
      <c r="A174" s="21">
        <f t="shared" si="38"/>
        <v>153</v>
      </c>
      <c r="B174" s="1">
        <f t="shared" si="39"/>
        <v>100</v>
      </c>
      <c r="C174" s="1">
        <f t="shared" si="32"/>
        <v>100.00000000000058</v>
      </c>
      <c r="D174" s="1">
        <f t="shared" ca="1" si="33"/>
        <v>99.999999999998636</v>
      </c>
      <c r="E174" s="1">
        <f t="shared" ca="1" si="34"/>
        <v>400.00000000000551</v>
      </c>
      <c r="F174" s="1">
        <f t="shared" si="35"/>
        <v>4</v>
      </c>
      <c r="G174" s="1">
        <f t="shared" si="27"/>
        <v>400.00000000000233</v>
      </c>
      <c r="H174" s="1">
        <f t="shared" si="28"/>
        <v>400.00000000000233</v>
      </c>
      <c r="I174" s="1"/>
      <c r="J174" s="1">
        <f t="shared" si="29"/>
        <v>99.999999999999432</v>
      </c>
      <c r="M174" s="1">
        <f t="shared" si="30"/>
        <v>99.999999999999432</v>
      </c>
      <c r="N174" s="1">
        <f t="shared" si="36"/>
        <v>0</v>
      </c>
      <c r="O174" s="1">
        <f t="shared" ca="1" si="31"/>
        <v>99.999999999998636</v>
      </c>
      <c r="P174" s="1">
        <f t="shared" si="37"/>
        <v>4</v>
      </c>
    </row>
    <row r="175" spans="1:16" x14ac:dyDescent="0.25">
      <c r="A175" s="21">
        <f t="shared" si="38"/>
        <v>154</v>
      </c>
      <c r="B175" s="1">
        <f t="shared" si="39"/>
        <v>100</v>
      </c>
      <c r="C175" s="1">
        <f t="shared" si="32"/>
        <v>100.00000000000047</v>
      </c>
      <c r="D175" s="1">
        <f t="shared" ca="1" si="33"/>
        <v>99.99999999999892</v>
      </c>
      <c r="E175" s="1">
        <f t="shared" ca="1" si="34"/>
        <v>400.00000000000443</v>
      </c>
      <c r="F175" s="1">
        <f t="shared" si="35"/>
        <v>4</v>
      </c>
      <c r="G175" s="1">
        <f t="shared" si="27"/>
        <v>400.00000000000188</v>
      </c>
      <c r="H175" s="1">
        <f t="shared" si="28"/>
        <v>400.00000000000188</v>
      </c>
      <c r="I175" s="1"/>
      <c r="J175" s="1">
        <f t="shared" si="29"/>
        <v>99.999999999999545</v>
      </c>
      <c r="M175" s="1">
        <f t="shared" si="30"/>
        <v>99.999999999999545</v>
      </c>
      <c r="N175" s="1">
        <f t="shared" si="36"/>
        <v>0</v>
      </c>
      <c r="O175" s="1">
        <f t="shared" ca="1" si="31"/>
        <v>99.99999999999892</v>
      </c>
      <c r="P175" s="1">
        <f t="shared" si="37"/>
        <v>4</v>
      </c>
    </row>
    <row r="176" spans="1:16" x14ac:dyDescent="0.25">
      <c r="A176" s="21">
        <f t="shared" si="38"/>
        <v>155</v>
      </c>
      <c r="B176" s="1">
        <f t="shared" si="39"/>
        <v>100</v>
      </c>
      <c r="C176" s="1">
        <f t="shared" si="32"/>
        <v>100.00000000000038</v>
      </c>
      <c r="D176" s="1">
        <f t="shared" ca="1" si="33"/>
        <v>99.999999999999147</v>
      </c>
      <c r="E176" s="1">
        <f t="shared" ca="1" si="34"/>
        <v>400.00000000000358</v>
      </c>
      <c r="F176" s="1">
        <f t="shared" si="35"/>
        <v>4</v>
      </c>
      <c r="G176" s="1">
        <f t="shared" si="27"/>
        <v>400.00000000000153</v>
      </c>
      <c r="H176" s="1">
        <f t="shared" si="28"/>
        <v>400.00000000000153</v>
      </c>
      <c r="I176" s="1"/>
      <c r="J176" s="1">
        <f t="shared" si="29"/>
        <v>99.999999999999659</v>
      </c>
      <c r="M176" s="1">
        <f t="shared" si="30"/>
        <v>99.999999999999659</v>
      </c>
      <c r="N176" s="1">
        <f t="shared" si="36"/>
        <v>0</v>
      </c>
      <c r="O176" s="1">
        <f t="shared" ca="1" si="31"/>
        <v>99.999999999999147</v>
      </c>
      <c r="P176" s="1">
        <f t="shared" si="37"/>
        <v>4</v>
      </c>
    </row>
    <row r="177" spans="1:16" x14ac:dyDescent="0.25">
      <c r="A177" s="21">
        <f t="shared" si="38"/>
        <v>156</v>
      </c>
      <c r="B177" s="1">
        <f t="shared" si="39"/>
        <v>100</v>
      </c>
      <c r="C177" s="1">
        <f t="shared" si="32"/>
        <v>100.00000000000031</v>
      </c>
      <c r="D177" s="1">
        <f t="shared" ca="1" si="33"/>
        <v>99.999999999999318</v>
      </c>
      <c r="E177" s="1">
        <f t="shared" ca="1" si="34"/>
        <v>400.0000000000029</v>
      </c>
      <c r="F177" s="1">
        <f t="shared" si="35"/>
        <v>4</v>
      </c>
      <c r="G177" s="1">
        <f t="shared" si="27"/>
        <v>400.00000000000125</v>
      </c>
      <c r="H177" s="1">
        <f t="shared" si="28"/>
        <v>400.00000000000125</v>
      </c>
      <c r="I177" s="1"/>
      <c r="J177" s="1">
        <f t="shared" si="29"/>
        <v>99.999999999999716</v>
      </c>
      <c r="M177" s="1">
        <f t="shared" si="30"/>
        <v>99.999999999999716</v>
      </c>
      <c r="N177" s="1">
        <f t="shared" si="36"/>
        <v>0</v>
      </c>
      <c r="O177" s="1">
        <f t="shared" ca="1" si="31"/>
        <v>99.999999999999318</v>
      </c>
      <c r="P177" s="1">
        <f t="shared" si="37"/>
        <v>4</v>
      </c>
    </row>
    <row r="178" spans="1:16" x14ac:dyDescent="0.25">
      <c r="A178" s="21">
        <f t="shared" si="38"/>
        <v>157</v>
      </c>
      <c r="B178" s="1">
        <f t="shared" si="39"/>
        <v>100</v>
      </c>
      <c r="C178" s="1">
        <f t="shared" si="32"/>
        <v>100.00000000000026</v>
      </c>
      <c r="D178" s="1">
        <f t="shared" ca="1" si="33"/>
        <v>99.999999999999432</v>
      </c>
      <c r="E178" s="1">
        <f t="shared" ca="1" si="34"/>
        <v>400.00000000000233</v>
      </c>
      <c r="F178" s="1">
        <f t="shared" si="35"/>
        <v>4</v>
      </c>
      <c r="G178" s="1">
        <f t="shared" si="27"/>
        <v>400.00000000000102</v>
      </c>
      <c r="H178" s="1">
        <f t="shared" si="28"/>
        <v>400.00000000000102</v>
      </c>
      <c r="I178" s="1"/>
      <c r="J178" s="1">
        <f t="shared" si="29"/>
        <v>99.999999999999773</v>
      </c>
      <c r="M178" s="1">
        <f t="shared" si="30"/>
        <v>99.999999999999773</v>
      </c>
      <c r="N178" s="1">
        <f t="shared" si="36"/>
        <v>0</v>
      </c>
      <c r="O178" s="1">
        <f t="shared" ca="1" si="31"/>
        <v>99.999999999999432</v>
      </c>
      <c r="P178" s="1">
        <f t="shared" si="37"/>
        <v>4</v>
      </c>
    </row>
    <row r="179" spans="1:16" x14ac:dyDescent="0.25">
      <c r="A179" s="21">
        <f t="shared" si="38"/>
        <v>158</v>
      </c>
      <c r="B179" s="1">
        <f t="shared" si="39"/>
        <v>100</v>
      </c>
      <c r="C179" s="1">
        <f t="shared" si="32"/>
        <v>100.00000000000021</v>
      </c>
      <c r="D179" s="1">
        <f t="shared" ca="1" si="33"/>
        <v>99.999999999999545</v>
      </c>
      <c r="E179" s="1">
        <f t="shared" ca="1" si="34"/>
        <v>400.00000000000188</v>
      </c>
      <c r="F179" s="1">
        <f t="shared" si="35"/>
        <v>4</v>
      </c>
      <c r="G179" s="1">
        <f t="shared" si="27"/>
        <v>400.00000000000085</v>
      </c>
      <c r="H179" s="1">
        <f t="shared" si="28"/>
        <v>400.00000000000085</v>
      </c>
      <c r="I179" s="1"/>
      <c r="J179" s="1">
        <f t="shared" si="29"/>
        <v>99.999999999999829</v>
      </c>
      <c r="M179" s="1">
        <f t="shared" si="30"/>
        <v>99.999999999999829</v>
      </c>
      <c r="N179" s="1">
        <f t="shared" si="36"/>
        <v>0</v>
      </c>
      <c r="O179" s="1">
        <f t="shared" ca="1" si="31"/>
        <v>99.999999999999545</v>
      </c>
      <c r="P179" s="1">
        <f t="shared" si="37"/>
        <v>4</v>
      </c>
    </row>
    <row r="180" spans="1:16" x14ac:dyDescent="0.25">
      <c r="A180" s="21">
        <f t="shared" si="38"/>
        <v>159</v>
      </c>
      <c r="B180" s="1">
        <f t="shared" si="39"/>
        <v>100</v>
      </c>
      <c r="C180" s="1">
        <f t="shared" si="32"/>
        <v>100.00000000000017</v>
      </c>
      <c r="D180" s="1">
        <f t="shared" ca="1" si="33"/>
        <v>99.999999999999659</v>
      </c>
      <c r="E180" s="1">
        <f t="shared" ca="1" si="34"/>
        <v>400.00000000000153</v>
      </c>
      <c r="F180" s="1">
        <f t="shared" si="35"/>
        <v>4</v>
      </c>
      <c r="G180" s="1">
        <f t="shared" si="27"/>
        <v>400.00000000000068</v>
      </c>
      <c r="H180" s="1">
        <f t="shared" si="28"/>
        <v>400.00000000000068</v>
      </c>
      <c r="I180" s="1"/>
      <c r="J180" s="1">
        <f t="shared" si="29"/>
        <v>99.999999999999829</v>
      </c>
      <c r="M180" s="1">
        <f t="shared" si="30"/>
        <v>99.999999999999829</v>
      </c>
      <c r="N180" s="1">
        <f t="shared" si="36"/>
        <v>0</v>
      </c>
      <c r="O180" s="1">
        <f t="shared" ca="1" si="31"/>
        <v>99.999999999999659</v>
      </c>
      <c r="P180" s="1">
        <f t="shared" si="37"/>
        <v>4</v>
      </c>
    </row>
    <row r="181" spans="1:16" x14ac:dyDescent="0.25">
      <c r="A181" s="21">
        <f t="shared" si="38"/>
        <v>160</v>
      </c>
      <c r="B181" s="1">
        <f t="shared" si="39"/>
        <v>100</v>
      </c>
      <c r="C181" s="1">
        <f t="shared" si="32"/>
        <v>100.00000000000014</v>
      </c>
      <c r="D181" s="1">
        <f t="shared" ca="1" si="33"/>
        <v>99.999999999999716</v>
      </c>
      <c r="E181" s="1">
        <f t="shared" ca="1" si="34"/>
        <v>400.00000000000125</v>
      </c>
      <c r="F181" s="1">
        <f t="shared" si="35"/>
        <v>4</v>
      </c>
      <c r="G181" s="1">
        <f t="shared" si="27"/>
        <v>400.00000000000057</v>
      </c>
      <c r="H181" s="1">
        <f t="shared" si="28"/>
        <v>400.00000000000057</v>
      </c>
      <c r="I181" s="1"/>
      <c r="J181" s="1">
        <f t="shared" si="29"/>
        <v>99.999999999999886</v>
      </c>
      <c r="M181" s="1">
        <f t="shared" si="30"/>
        <v>99.999999999999886</v>
      </c>
      <c r="N181" s="1">
        <f t="shared" si="36"/>
        <v>0</v>
      </c>
      <c r="O181" s="1">
        <f t="shared" ca="1" si="31"/>
        <v>99.999999999999716</v>
      </c>
      <c r="P181" s="1">
        <f t="shared" si="37"/>
        <v>4</v>
      </c>
    </row>
    <row r="182" spans="1:16" x14ac:dyDescent="0.25">
      <c r="A182" s="21">
        <f t="shared" si="38"/>
        <v>161</v>
      </c>
      <c r="B182" s="1">
        <f t="shared" si="39"/>
        <v>100</v>
      </c>
      <c r="C182" s="1">
        <f t="shared" si="32"/>
        <v>100.00000000000011</v>
      </c>
      <c r="D182" s="1">
        <f t="shared" ca="1" si="33"/>
        <v>99.999999999999773</v>
      </c>
      <c r="E182" s="1">
        <f t="shared" ca="1" si="34"/>
        <v>400.00000000000102</v>
      </c>
      <c r="F182" s="1">
        <f t="shared" si="35"/>
        <v>4</v>
      </c>
      <c r="G182" s="1">
        <f t="shared" si="27"/>
        <v>400.00000000000045</v>
      </c>
      <c r="H182" s="1">
        <f t="shared" si="28"/>
        <v>400.00000000000045</v>
      </c>
      <c r="I182" s="1"/>
      <c r="J182" s="1">
        <f t="shared" si="29"/>
        <v>99.999999999999886</v>
      </c>
      <c r="M182" s="1">
        <f t="shared" si="30"/>
        <v>99.999999999999886</v>
      </c>
      <c r="N182" s="1">
        <f t="shared" si="36"/>
        <v>0</v>
      </c>
      <c r="O182" s="1">
        <f t="shared" ca="1" si="31"/>
        <v>99.999999999999773</v>
      </c>
      <c r="P182" s="1">
        <f t="shared" si="37"/>
        <v>4</v>
      </c>
    </row>
    <row r="183" spans="1:16" x14ac:dyDescent="0.25">
      <c r="A183" s="21">
        <f t="shared" si="38"/>
        <v>162</v>
      </c>
      <c r="B183" s="1">
        <f t="shared" si="39"/>
        <v>100</v>
      </c>
      <c r="C183" s="1">
        <f t="shared" si="32"/>
        <v>100.0000000000001</v>
      </c>
      <c r="D183" s="1">
        <f t="shared" ca="1" si="33"/>
        <v>99.999999999999829</v>
      </c>
      <c r="E183" s="1">
        <f t="shared" ca="1" si="34"/>
        <v>400.00000000000085</v>
      </c>
      <c r="F183" s="1">
        <f t="shared" si="35"/>
        <v>4</v>
      </c>
      <c r="G183" s="1">
        <f t="shared" si="27"/>
        <v>400.0000000000004</v>
      </c>
      <c r="H183" s="1">
        <f t="shared" si="28"/>
        <v>400.0000000000004</v>
      </c>
      <c r="I183" s="1"/>
      <c r="J183" s="1">
        <f t="shared" si="29"/>
        <v>99.999999999999943</v>
      </c>
      <c r="M183" s="1">
        <f t="shared" si="30"/>
        <v>99.999999999999943</v>
      </c>
      <c r="N183" s="1">
        <f t="shared" si="36"/>
        <v>0</v>
      </c>
      <c r="O183" s="1">
        <f t="shared" ca="1" si="31"/>
        <v>99.999999999999829</v>
      </c>
      <c r="P183" s="1">
        <f t="shared" si="37"/>
        <v>4</v>
      </c>
    </row>
    <row r="184" spans="1:16" x14ac:dyDescent="0.25">
      <c r="A184" s="21">
        <f t="shared" si="38"/>
        <v>163</v>
      </c>
      <c r="B184" s="1">
        <f t="shared" si="39"/>
        <v>100</v>
      </c>
      <c r="C184" s="1">
        <f t="shared" si="32"/>
        <v>100.00000000000009</v>
      </c>
      <c r="D184" s="1">
        <f t="shared" ca="1" si="33"/>
        <v>99.999999999999829</v>
      </c>
      <c r="E184" s="1">
        <f t="shared" ca="1" si="34"/>
        <v>400.00000000000068</v>
      </c>
      <c r="F184" s="1">
        <f t="shared" si="35"/>
        <v>4</v>
      </c>
      <c r="G184" s="1">
        <f t="shared" si="27"/>
        <v>400.00000000000034</v>
      </c>
      <c r="H184" s="1">
        <f t="shared" si="28"/>
        <v>400.00000000000034</v>
      </c>
      <c r="I184" s="1"/>
      <c r="J184" s="1">
        <f t="shared" si="29"/>
        <v>99.999999999999943</v>
      </c>
      <c r="M184" s="1">
        <f t="shared" si="30"/>
        <v>99.999999999999943</v>
      </c>
      <c r="N184" s="1">
        <f t="shared" si="36"/>
        <v>0</v>
      </c>
      <c r="O184" s="1">
        <f t="shared" ca="1" si="31"/>
        <v>99.999999999999829</v>
      </c>
      <c r="P184" s="1">
        <f t="shared" si="37"/>
        <v>4</v>
      </c>
    </row>
    <row r="185" spans="1:16" x14ac:dyDescent="0.25">
      <c r="A185" s="21">
        <f t="shared" si="38"/>
        <v>164</v>
      </c>
      <c r="B185" s="1">
        <f t="shared" si="39"/>
        <v>100</v>
      </c>
      <c r="C185" s="1">
        <f t="shared" si="32"/>
        <v>100.00000000000007</v>
      </c>
      <c r="D185" s="1">
        <f t="shared" ca="1" si="33"/>
        <v>99.999999999999886</v>
      </c>
      <c r="E185" s="1">
        <f t="shared" ca="1" si="34"/>
        <v>400.00000000000057</v>
      </c>
      <c r="F185" s="1">
        <f t="shared" si="35"/>
        <v>4</v>
      </c>
      <c r="G185" s="1">
        <f t="shared" si="27"/>
        <v>400.00000000000028</v>
      </c>
      <c r="H185" s="1">
        <f t="shared" si="28"/>
        <v>400.00000000000028</v>
      </c>
      <c r="I185" s="1"/>
      <c r="J185" s="1">
        <f t="shared" si="29"/>
        <v>99.999999999999943</v>
      </c>
      <c r="M185" s="1">
        <f t="shared" si="30"/>
        <v>99.999999999999943</v>
      </c>
      <c r="N185" s="1">
        <f t="shared" si="36"/>
        <v>0</v>
      </c>
      <c r="O185" s="1">
        <f t="shared" ca="1" si="31"/>
        <v>99.999999999999886</v>
      </c>
      <c r="P185" s="1">
        <f t="shared" si="37"/>
        <v>4</v>
      </c>
    </row>
    <row r="186" spans="1:16" x14ac:dyDescent="0.25">
      <c r="A186" s="21">
        <f t="shared" si="38"/>
        <v>165</v>
      </c>
      <c r="B186" s="1">
        <f t="shared" si="39"/>
        <v>100</v>
      </c>
      <c r="C186" s="1">
        <f t="shared" si="32"/>
        <v>100.00000000000006</v>
      </c>
      <c r="D186" s="1">
        <f t="shared" ca="1" si="33"/>
        <v>99.999999999999886</v>
      </c>
      <c r="E186" s="1">
        <f t="shared" ca="1" si="34"/>
        <v>400.00000000000045</v>
      </c>
      <c r="F186" s="1">
        <f t="shared" si="35"/>
        <v>4</v>
      </c>
      <c r="G186" s="1">
        <f t="shared" si="27"/>
        <v>400.00000000000023</v>
      </c>
      <c r="H186" s="1">
        <f t="shared" si="28"/>
        <v>400.00000000000023</v>
      </c>
      <c r="I186" s="1"/>
      <c r="J186" s="1">
        <f t="shared" si="29"/>
        <v>99.999999999999943</v>
      </c>
      <c r="M186" s="1">
        <f t="shared" si="30"/>
        <v>99.999999999999943</v>
      </c>
      <c r="N186" s="1">
        <f t="shared" si="36"/>
        <v>0</v>
      </c>
      <c r="O186" s="1">
        <f t="shared" ca="1" si="31"/>
        <v>99.999999999999886</v>
      </c>
      <c r="P186" s="1">
        <f t="shared" si="37"/>
        <v>4</v>
      </c>
    </row>
    <row r="187" spans="1:16" x14ac:dyDescent="0.25">
      <c r="A187" s="21">
        <f t="shared" si="38"/>
        <v>166</v>
      </c>
      <c r="B187" s="1">
        <f t="shared" si="39"/>
        <v>100</v>
      </c>
      <c r="C187" s="1">
        <f t="shared" si="32"/>
        <v>100.00000000000006</v>
      </c>
      <c r="D187" s="1">
        <f t="shared" ca="1" si="33"/>
        <v>99.999999999999943</v>
      </c>
      <c r="E187" s="1">
        <f t="shared" ca="1" si="34"/>
        <v>400.0000000000004</v>
      </c>
      <c r="F187" s="1">
        <f t="shared" si="35"/>
        <v>4</v>
      </c>
      <c r="G187" s="1">
        <f t="shared" si="27"/>
        <v>400.00000000000023</v>
      </c>
      <c r="H187" s="1">
        <f t="shared" si="28"/>
        <v>400.00000000000023</v>
      </c>
      <c r="I187" s="1"/>
      <c r="J187" s="1">
        <f t="shared" si="29"/>
        <v>100</v>
      </c>
      <c r="M187" s="1">
        <f t="shared" si="30"/>
        <v>100</v>
      </c>
      <c r="N187" s="1">
        <f t="shared" si="36"/>
        <v>0</v>
      </c>
      <c r="O187" s="1">
        <f t="shared" ca="1" si="31"/>
        <v>99.999999999999943</v>
      </c>
      <c r="P187" s="1">
        <f t="shared" si="37"/>
        <v>4</v>
      </c>
    </row>
    <row r="188" spans="1:16" x14ac:dyDescent="0.25">
      <c r="A188" s="21">
        <f t="shared" si="38"/>
        <v>167</v>
      </c>
      <c r="B188" s="1">
        <f t="shared" si="39"/>
        <v>100</v>
      </c>
      <c r="C188" s="1">
        <f t="shared" si="32"/>
        <v>100.00000000000006</v>
      </c>
      <c r="D188" s="1">
        <f t="shared" ca="1" si="33"/>
        <v>99.999999999999943</v>
      </c>
      <c r="E188" s="1">
        <f t="shared" ca="1" si="34"/>
        <v>400.00000000000034</v>
      </c>
      <c r="F188" s="1">
        <f t="shared" si="35"/>
        <v>4</v>
      </c>
      <c r="G188" s="1">
        <f t="shared" si="27"/>
        <v>400.00000000000023</v>
      </c>
      <c r="H188" s="1">
        <f t="shared" si="28"/>
        <v>400.00000000000023</v>
      </c>
      <c r="I188" s="1"/>
      <c r="J188" s="1">
        <f t="shared" si="29"/>
        <v>100</v>
      </c>
      <c r="M188" s="1">
        <f t="shared" si="30"/>
        <v>100</v>
      </c>
      <c r="N188" s="1">
        <f t="shared" si="36"/>
        <v>0</v>
      </c>
      <c r="O188" s="1">
        <f t="shared" ca="1" si="31"/>
        <v>99.999999999999943</v>
      </c>
      <c r="P188" s="1">
        <f t="shared" si="37"/>
        <v>4</v>
      </c>
    </row>
    <row r="189" spans="1:16" x14ac:dyDescent="0.25">
      <c r="A189" s="21">
        <f t="shared" si="38"/>
        <v>168</v>
      </c>
      <c r="B189" s="1">
        <f t="shared" si="39"/>
        <v>100</v>
      </c>
      <c r="C189" s="1">
        <f t="shared" si="32"/>
        <v>100.00000000000006</v>
      </c>
      <c r="D189" s="1">
        <f t="shared" ca="1" si="33"/>
        <v>99.999999999999943</v>
      </c>
      <c r="E189" s="1">
        <f t="shared" ca="1" si="34"/>
        <v>400.00000000000028</v>
      </c>
      <c r="F189" s="1">
        <f t="shared" si="35"/>
        <v>4</v>
      </c>
      <c r="G189" s="1">
        <f t="shared" si="27"/>
        <v>400.00000000000023</v>
      </c>
      <c r="H189" s="1">
        <f t="shared" si="28"/>
        <v>400.00000000000023</v>
      </c>
      <c r="I189" s="1"/>
      <c r="J189" s="1">
        <f t="shared" si="29"/>
        <v>100</v>
      </c>
      <c r="M189" s="1">
        <f t="shared" si="30"/>
        <v>100</v>
      </c>
      <c r="N189" s="1">
        <f t="shared" si="36"/>
        <v>0</v>
      </c>
      <c r="O189" s="1">
        <f t="shared" ca="1" si="31"/>
        <v>99.999999999999943</v>
      </c>
      <c r="P189" s="1">
        <f t="shared" si="37"/>
        <v>4</v>
      </c>
    </row>
    <row r="190" spans="1:16" x14ac:dyDescent="0.25">
      <c r="A190" s="21">
        <f t="shared" si="38"/>
        <v>169</v>
      </c>
      <c r="B190" s="1">
        <f t="shared" si="39"/>
        <v>100</v>
      </c>
      <c r="C190" s="1">
        <f t="shared" si="32"/>
        <v>100.00000000000006</v>
      </c>
      <c r="D190" s="1">
        <f t="shared" ca="1" si="33"/>
        <v>99.999999999999943</v>
      </c>
      <c r="E190" s="1">
        <f t="shared" ca="1" si="34"/>
        <v>400.00000000000023</v>
      </c>
      <c r="F190" s="1">
        <f t="shared" si="35"/>
        <v>4</v>
      </c>
      <c r="G190" s="1">
        <f t="shared" si="27"/>
        <v>400.00000000000023</v>
      </c>
      <c r="H190" s="1">
        <f t="shared" si="28"/>
        <v>400.00000000000023</v>
      </c>
      <c r="I190" s="1"/>
      <c r="J190" s="1">
        <f t="shared" si="29"/>
        <v>100</v>
      </c>
      <c r="M190" s="1">
        <f t="shared" si="30"/>
        <v>100</v>
      </c>
      <c r="N190" s="1">
        <f t="shared" si="36"/>
        <v>0</v>
      </c>
      <c r="O190" s="1">
        <f t="shared" ca="1" si="31"/>
        <v>99.999999999999943</v>
      </c>
      <c r="P190" s="1">
        <f t="shared" si="37"/>
        <v>4</v>
      </c>
    </row>
    <row r="191" spans="1:16" x14ac:dyDescent="0.25">
      <c r="A191" s="21">
        <f t="shared" si="38"/>
        <v>170</v>
      </c>
      <c r="B191" s="1">
        <f t="shared" si="39"/>
        <v>100</v>
      </c>
      <c r="C191" s="1">
        <f t="shared" si="32"/>
        <v>100.00000000000006</v>
      </c>
      <c r="D191" s="1">
        <f t="shared" ca="1" si="33"/>
        <v>100</v>
      </c>
      <c r="E191" s="1">
        <f t="shared" ca="1" si="34"/>
        <v>400.00000000000023</v>
      </c>
      <c r="F191" s="1">
        <f t="shared" si="35"/>
        <v>4</v>
      </c>
      <c r="G191" s="1">
        <f t="shared" si="27"/>
        <v>400.00000000000023</v>
      </c>
      <c r="H191" s="1">
        <f t="shared" si="28"/>
        <v>400.00000000000023</v>
      </c>
      <c r="I191" s="1"/>
      <c r="J191" s="1">
        <f t="shared" si="29"/>
        <v>100</v>
      </c>
      <c r="M191" s="1">
        <f t="shared" si="30"/>
        <v>100</v>
      </c>
      <c r="N191" s="1">
        <f t="shared" si="36"/>
        <v>0</v>
      </c>
      <c r="O191" s="1">
        <f t="shared" ca="1" si="31"/>
        <v>100</v>
      </c>
      <c r="P191" s="1">
        <f t="shared" si="37"/>
        <v>4</v>
      </c>
    </row>
    <row r="192" spans="1:16" x14ac:dyDescent="0.25">
      <c r="A192" s="21">
        <f t="shared" si="38"/>
        <v>171</v>
      </c>
      <c r="B192" s="1">
        <f t="shared" si="39"/>
        <v>100</v>
      </c>
      <c r="C192" s="1">
        <f t="shared" si="32"/>
        <v>100.00000000000006</v>
      </c>
      <c r="D192" s="1">
        <f t="shared" ca="1" si="33"/>
        <v>100</v>
      </c>
      <c r="E192" s="1">
        <f t="shared" ca="1" si="34"/>
        <v>400.00000000000023</v>
      </c>
      <c r="F192" s="1">
        <f t="shared" si="35"/>
        <v>4</v>
      </c>
      <c r="G192" s="1">
        <f t="shared" si="27"/>
        <v>400.00000000000023</v>
      </c>
      <c r="H192" s="1">
        <f t="shared" si="28"/>
        <v>400.00000000000023</v>
      </c>
      <c r="I192" s="1"/>
      <c r="J192" s="1">
        <f t="shared" si="29"/>
        <v>100</v>
      </c>
      <c r="M192" s="1">
        <f t="shared" si="30"/>
        <v>100</v>
      </c>
      <c r="N192" s="1">
        <f t="shared" si="36"/>
        <v>0</v>
      </c>
      <c r="O192" s="1">
        <f t="shared" ca="1" si="31"/>
        <v>100</v>
      </c>
      <c r="P192" s="1">
        <f t="shared" si="37"/>
        <v>4</v>
      </c>
    </row>
    <row r="193" spans="1:16" x14ac:dyDescent="0.25">
      <c r="A193" s="21">
        <f t="shared" si="38"/>
        <v>172</v>
      </c>
      <c r="B193" s="1">
        <f t="shared" si="39"/>
        <v>100</v>
      </c>
      <c r="C193" s="1">
        <f t="shared" si="32"/>
        <v>100.00000000000006</v>
      </c>
      <c r="D193" s="1">
        <f t="shared" ca="1" si="33"/>
        <v>100</v>
      </c>
      <c r="E193" s="1">
        <f t="shared" ca="1" si="34"/>
        <v>400.00000000000023</v>
      </c>
      <c r="F193" s="1">
        <f t="shared" si="35"/>
        <v>4</v>
      </c>
      <c r="G193" s="1">
        <f t="shared" si="27"/>
        <v>400.00000000000023</v>
      </c>
      <c r="H193" s="1">
        <f t="shared" si="28"/>
        <v>400.00000000000023</v>
      </c>
      <c r="I193" s="1"/>
      <c r="J193" s="1">
        <f t="shared" si="29"/>
        <v>100</v>
      </c>
      <c r="M193" s="1">
        <f t="shared" si="30"/>
        <v>100</v>
      </c>
      <c r="N193" s="1">
        <f t="shared" si="36"/>
        <v>0</v>
      </c>
      <c r="O193" s="1">
        <f t="shared" ca="1" si="31"/>
        <v>100</v>
      </c>
      <c r="P193" s="1">
        <f t="shared" si="37"/>
        <v>4</v>
      </c>
    </row>
    <row r="194" spans="1:16" x14ac:dyDescent="0.25">
      <c r="A194" s="21">
        <f t="shared" si="38"/>
        <v>173</v>
      </c>
      <c r="B194" s="1">
        <f t="shared" si="39"/>
        <v>100</v>
      </c>
      <c r="C194" s="1">
        <f t="shared" si="32"/>
        <v>100.00000000000006</v>
      </c>
      <c r="D194" s="1">
        <f t="shared" ca="1" si="33"/>
        <v>100</v>
      </c>
      <c r="E194" s="1">
        <f t="shared" ca="1" si="34"/>
        <v>400.00000000000023</v>
      </c>
      <c r="F194" s="1">
        <f t="shared" si="35"/>
        <v>4</v>
      </c>
      <c r="G194" s="1">
        <f t="shared" si="27"/>
        <v>400.00000000000023</v>
      </c>
      <c r="H194" s="1">
        <f t="shared" si="28"/>
        <v>400.00000000000023</v>
      </c>
      <c r="I194" s="1"/>
      <c r="J194" s="1">
        <f t="shared" si="29"/>
        <v>100</v>
      </c>
      <c r="M194" s="1">
        <f t="shared" si="30"/>
        <v>100</v>
      </c>
      <c r="N194" s="1">
        <f t="shared" si="36"/>
        <v>0</v>
      </c>
      <c r="O194" s="1">
        <f t="shared" ca="1" si="31"/>
        <v>100</v>
      </c>
      <c r="P194" s="1">
        <f t="shared" si="37"/>
        <v>4</v>
      </c>
    </row>
    <row r="195" spans="1:16" x14ac:dyDescent="0.25">
      <c r="A195" s="21">
        <f t="shared" si="38"/>
        <v>174</v>
      </c>
      <c r="B195" s="1">
        <f t="shared" si="39"/>
        <v>100</v>
      </c>
      <c r="C195" s="1">
        <f t="shared" si="32"/>
        <v>100.00000000000006</v>
      </c>
      <c r="D195" s="1">
        <f t="shared" ca="1" si="33"/>
        <v>100</v>
      </c>
      <c r="E195" s="1">
        <f t="shared" ca="1" si="34"/>
        <v>400.00000000000023</v>
      </c>
      <c r="F195" s="1">
        <f t="shared" si="35"/>
        <v>4</v>
      </c>
      <c r="G195" s="1">
        <f t="shared" si="27"/>
        <v>400.00000000000023</v>
      </c>
      <c r="H195" s="1">
        <f t="shared" si="28"/>
        <v>400.00000000000023</v>
      </c>
      <c r="I195" s="1"/>
      <c r="J195" s="1">
        <f t="shared" si="29"/>
        <v>100</v>
      </c>
      <c r="M195" s="1">
        <f t="shared" si="30"/>
        <v>100</v>
      </c>
      <c r="N195" s="1">
        <f t="shared" si="36"/>
        <v>0</v>
      </c>
      <c r="O195" s="1">
        <f t="shared" ca="1" si="31"/>
        <v>100</v>
      </c>
      <c r="P195" s="1">
        <f t="shared" si="37"/>
        <v>4</v>
      </c>
    </row>
    <row r="196" spans="1:16" x14ac:dyDescent="0.25">
      <c r="A196" s="21">
        <f t="shared" si="38"/>
        <v>175</v>
      </c>
      <c r="B196" s="1">
        <f t="shared" si="39"/>
        <v>100</v>
      </c>
      <c r="C196" s="1">
        <f t="shared" si="32"/>
        <v>100.00000000000006</v>
      </c>
      <c r="D196" s="1">
        <f t="shared" ca="1" si="33"/>
        <v>100</v>
      </c>
      <c r="E196" s="1">
        <f t="shared" ca="1" si="34"/>
        <v>400.00000000000023</v>
      </c>
      <c r="F196" s="1">
        <f t="shared" si="35"/>
        <v>4</v>
      </c>
      <c r="G196" s="1">
        <f t="shared" si="27"/>
        <v>400.00000000000023</v>
      </c>
      <c r="H196" s="1">
        <f t="shared" si="28"/>
        <v>400.00000000000023</v>
      </c>
      <c r="I196" s="1"/>
      <c r="J196" s="1">
        <f t="shared" si="29"/>
        <v>100</v>
      </c>
      <c r="M196" s="1">
        <f t="shared" si="30"/>
        <v>100</v>
      </c>
      <c r="N196" s="1">
        <f t="shared" si="36"/>
        <v>0</v>
      </c>
      <c r="O196" s="1">
        <f t="shared" ca="1" si="31"/>
        <v>100</v>
      </c>
      <c r="P196" s="1">
        <f t="shared" si="37"/>
        <v>4</v>
      </c>
    </row>
    <row r="197" spans="1:16" x14ac:dyDescent="0.25">
      <c r="A197" s="21">
        <f t="shared" si="38"/>
        <v>176</v>
      </c>
      <c r="B197" s="1">
        <f t="shared" si="39"/>
        <v>100</v>
      </c>
      <c r="C197" s="1">
        <f t="shared" si="32"/>
        <v>100.00000000000006</v>
      </c>
      <c r="D197" s="1">
        <f t="shared" ca="1" si="33"/>
        <v>100</v>
      </c>
      <c r="E197" s="1">
        <f t="shared" ca="1" si="34"/>
        <v>400.00000000000023</v>
      </c>
      <c r="F197" s="1">
        <f t="shared" si="35"/>
        <v>4</v>
      </c>
      <c r="G197" s="1">
        <f t="shared" si="27"/>
        <v>400.00000000000023</v>
      </c>
      <c r="H197" s="1">
        <f t="shared" si="28"/>
        <v>400.00000000000023</v>
      </c>
      <c r="I197" s="1"/>
      <c r="J197" s="1">
        <f t="shared" si="29"/>
        <v>100</v>
      </c>
      <c r="M197" s="1">
        <f t="shared" si="30"/>
        <v>100</v>
      </c>
      <c r="N197" s="1">
        <f t="shared" si="36"/>
        <v>0</v>
      </c>
      <c r="O197" s="1">
        <f t="shared" ca="1" si="31"/>
        <v>100</v>
      </c>
      <c r="P197" s="1">
        <f t="shared" si="37"/>
        <v>4</v>
      </c>
    </row>
    <row r="198" spans="1:16" x14ac:dyDescent="0.25">
      <c r="A198" s="21">
        <f t="shared" si="38"/>
        <v>177</v>
      </c>
      <c r="B198" s="1">
        <f t="shared" si="39"/>
        <v>100</v>
      </c>
      <c r="C198" s="1">
        <f t="shared" si="32"/>
        <v>100.00000000000006</v>
      </c>
      <c r="D198" s="1">
        <f t="shared" ca="1" si="33"/>
        <v>100</v>
      </c>
      <c r="E198" s="1">
        <f t="shared" ca="1" si="34"/>
        <v>400.00000000000023</v>
      </c>
      <c r="F198" s="1">
        <f t="shared" si="35"/>
        <v>4</v>
      </c>
      <c r="G198" s="1">
        <f t="shared" si="27"/>
        <v>400.00000000000023</v>
      </c>
      <c r="H198" s="1">
        <f t="shared" si="28"/>
        <v>400.00000000000023</v>
      </c>
      <c r="I198" s="1"/>
      <c r="J198" s="1">
        <f t="shared" si="29"/>
        <v>100</v>
      </c>
      <c r="M198" s="1">
        <f t="shared" si="30"/>
        <v>100</v>
      </c>
      <c r="N198" s="1">
        <f t="shared" si="36"/>
        <v>0</v>
      </c>
      <c r="O198" s="1">
        <f t="shared" ca="1" si="31"/>
        <v>100</v>
      </c>
      <c r="P198" s="1">
        <f t="shared" si="37"/>
        <v>4</v>
      </c>
    </row>
    <row r="199" spans="1:16" x14ac:dyDescent="0.25">
      <c r="A199" s="21">
        <f t="shared" si="38"/>
        <v>178</v>
      </c>
      <c r="B199" s="1">
        <f t="shared" si="39"/>
        <v>100</v>
      </c>
      <c r="C199" s="1">
        <f t="shared" si="32"/>
        <v>100.00000000000006</v>
      </c>
      <c r="D199" s="1">
        <f t="shared" ca="1" si="33"/>
        <v>100</v>
      </c>
      <c r="E199" s="1">
        <f t="shared" ca="1" si="34"/>
        <v>400.00000000000023</v>
      </c>
      <c r="F199" s="1">
        <f t="shared" si="35"/>
        <v>4</v>
      </c>
      <c r="G199" s="1">
        <f t="shared" si="27"/>
        <v>400.00000000000023</v>
      </c>
      <c r="H199" s="1">
        <f t="shared" si="28"/>
        <v>400.00000000000023</v>
      </c>
      <c r="I199" s="1"/>
      <c r="J199" s="1">
        <f t="shared" si="29"/>
        <v>100</v>
      </c>
      <c r="M199" s="1">
        <f t="shared" si="30"/>
        <v>100</v>
      </c>
      <c r="N199" s="1">
        <f t="shared" si="36"/>
        <v>0</v>
      </c>
      <c r="O199" s="1">
        <f t="shared" ca="1" si="31"/>
        <v>100</v>
      </c>
      <c r="P199" s="1">
        <f t="shared" si="37"/>
        <v>4</v>
      </c>
    </row>
    <row r="200" spans="1:16" x14ac:dyDescent="0.25">
      <c r="A200" s="21">
        <f t="shared" si="38"/>
        <v>179</v>
      </c>
      <c r="B200" s="1">
        <f t="shared" si="39"/>
        <v>100</v>
      </c>
      <c r="C200" s="1">
        <f t="shared" si="32"/>
        <v>100.00000000000006</v>
      </c>
      <c r="D200" s="1">
        <f t="shared" ca="1" si="33"/>
        <v>100</v>
      </c>
      <c r="E200" s="1">
        <f t="shared" ca="1" si="34"/>
        <v>400.00000000000023</v>
      </c>
      <c r="F200" s="1">
        <f t="shared" si="35"/>
        <v>4</v>
      </c>
      <c r="G200" s="1">
        <f t="shared" si="27"/>
        <v>400.00000000000023</v>
      </c>
      <c r="H200" s="1">
        <f t="shared" si="28"/>
        <v>400.00000000000023</v>
      </c>
      <c r="I200" s="1"/>
      <c r="J200" s="1">
        <f t="shared" si="29"/>
        <v>100</v>
      </c>
      <c r="M200" s="1">
        <f t="shared" si="30"/>
        <v>100</v>
      </c>
      <c r="N200" s="1">
        <f t="shared" si="36"/>
        <v>0</v>
      </c>
      <c r="O200" s="1">
        <f t="shared" ca="1" si="31"/>
        <v>100</v>
      </c>
      <c r="P200" s="1">
        <f t="shared" si="37"/>
        <v>4</v>
      </c>
    </row>
    <row r="201" spans="1:16" x14ac:dyDescent="0.25">
      <c r="A201" s="21">
        <f t="shared" si="38"/>
        <v>180</v>
      </c>
      <c r="B201" s="1">
        <f t="shared" si="39"/>
        <v>100</v>
      </c>
      <c r="C201" s="1">
        <f t="shared" si="32"/>
        <v>100.00000000000006</v>
      </c>
      <c r="D201" s="1">
        <f t="shared" ca="1" si="33"/>
        <v>100</v>
      </c>
      <c r="E201" s="1">
        <f t="shared" ca="1" si="34"/>
        <v>400.00000000000023</v>
      </c>
      <c r="F201" s="1">
        <f t="shared" si="35"/>
        <v>4</v>
      </c>
      <c r="G201" s="1">
        <f t="shared" si="27"/>
        <v>400.00000000000023</v>
      </c>
      <c r="H201" s="1">
        <f t="shared" si="28"/>
        <v>400.00000000000023</v>
      </c>
      <c r="I201" s="1"/>
      <c r="J201" s="1">
        <f t="shared" si="29"/>
        <v>100</v>
      </c>
      <c r="M201" s="1">
        <f t="shared" si="30"/>
        <v>100</v>
      </c>
      <c r="N201" s="1">
        <f t="shared" si="36"/>
        <v>0</v>
      </c>
      <c r="O201" s="1">
        <f t="shared" ca="1" si="31"/>
        <v>100</v>
      </c>
      <c r="P201" s="1">
        <f t="shared" si="37"/>
        <v>4</v>
      </c>
    </row>
    <row r="202" spans="1:16" x14ac:dyDescent="0.25">
      <c r="A202" s="21">
        <f t="shared" si="38"/>
        <v>181</v>
      </c>
      <c r="B202" s="1">
        <f t="shared" si="39"/>
        <v>100</v>
      </c>
      <c r="C202" s="1">
        <f t="shared" si="32"/>
        <v>100.00000000000006</v>
      </c>
      <c r="D202" s="1">
        <f t="shared" ca="1" si="33"/>
        <v>100</v>
      </c>
      <c r="E202" s="1">
        <f t="shared" ca="1" si="34"/>
        <v>400.00000000000023</v>
      </c>
      <c r="F202" s="1">
        <f t="shared" si="35"/>
        <v>4</v>
      </c>
      <c r="G202" s="1">
        <f t="shared" si="27"/>
        <v>400.00000000000023</v>
      </c>
      <c r="H202" s="1">
        <f t="shared" si="28"/>
        <v>400.00000000000023</v>
      </c>
      <c r="I202" s="1"/>
      <c r="J202" s="1">
        <f t="shared" si="29"/>
        <v>100</v>
      </c>
      <c r="M202" s="1">
        <f t="shared" si="30"/>
        <v>100</v>
      </c>
      <c r="N202" s="1">
        <f t="shared" si="36"/>
        <v>0</v>
      </c>
      <c r="O202" s="1">
        <f t="shared" ca="1" si="31"/>
        <v>100</v>
      </c>
      <c r="P202" s="1">
        <f t="shared" si="37"/>
        <v>4</v>
      </c>
    </row>
    <row r="203" spans="1:16" x14ac:dyDescent="0.25">
      <c r="A203" s="21">
        <f t="shared" si="38"/>
        <v>182</v>
      </c>
      <c r="B203" s="1">
        <f t="shared" si="39"/>
        <v>100</v>
      </c>
      <c r="C203" s="1">
        <f t="shared" si="32"/>
        <v>100.00000000000006</v>
      </c>
      <c r="D203" s="1">
        <f t="shared" ca="1" si="33"/>
        <v>100</v>
      </c>
      <c r="E203" s="1">
        <f t="shared" ca="1" si="34"/>
        <v>400.00000000000023</v>
      </c>
      <c r="F203" s="1">
        <f t="shared" si="35"/>
        <v>4</v>
      </c>
      <c r="G203" s="1">
        <f t="shared" si="27"/>
        <v>400.00000000000023</v>
      </c>
      <c r="H203" s="1">
        <f t="shared" si="28"/>
        <v>400.00000000000023</v>
      </c>
      <c r="I203" s="1"/>
      <c r="J203" s="1">
        <f t="shared" si="29"/>
        <v>100</v>
      </c>
      <c r="M203" s="1">
        <f t="shared" si="30"/>
        <v>100</v>
      </c>
      <c r="N203" s="1">
        <f t="shared" si="36"/>
        <v>0</v>
      </c>
      <c r="O203" s="1">
        <f t="shared" ca="1" si="31"/>
        <v>100</v>
      </c>
      <c r="P203" s="1">
        <f t="shared" si="37"/>
        <v>4</v>
      </c>
    </row>
    <row r="204" spans="1:16" x14ac:dyDescent="0.25">
      <c r="A204" s="21">
        <f t="shared" si="38"/>
        <v>183</v>
      </c>
      <c r="B204" s="1">
        <f t="shared" si="39"/>
        <v>100</v>
      </c>
      <c r="C204" s="1">
        <f t="shared" si="32"/>
        <v>100.00000000000006</v>
      </c>
      <c r="D204" s="1">
        <f t="shared" ca="1" si="33"/>
        <v>100</v>
      </c>
      <c r="E204" s="1">
        <f t="shared" ca="1" si="34"/>
        <v>400.00000000000023</v>
      </c>
      <c r="F204" s="1">
        <f t="shared" si="35"/>
        <v>4</v>
      </c>
      <c r="G204" s="1">
        <f t="shared" si="27"/>
        <v>400.00000000000023</v>
      </c>
      <c r="H204" s="1">
        <f t="shared" si="28"/>
        <v>400.00000000000023</v>
      </c>
      <c r="I204" s="1"/>
      <c r="J204" s="1">
        <f t="shared" si="29"/>
        <v>100</v>
      </c>
      <c r="M204" s="1">
        <f t="shared" si="30"/>
        <v>100</v>
      </c>
      <c r="N204" s="1">
        <f t="shared" si="36"/>
        <v>0</v>
      </c>
      <c r="O204" s="1">
        <f t="shared" ca="1" si="31"/>
        <v>100</v>
      </c>
      <c r="P204" s="1">
        <f t="shared" si="37"/>
        <v>4</v>
      </c>
    </row>
    <row r="205" spans="1:16" x14ac:dyDescent="0.25">
      <c r="A205" s="21">
        <f t="shared" si="38"/>
        <v>184</v>
      </c>
      <c r="B205" s="1">
        <f t="shared" si="39"/>
        <v>100</v>
      </c>
      <c r="C205" s="1">
        <f t="shared" si="32"/>
        <v>100.00000000000006</v>
      </c>
      <c r="D205" s="1">
        <f t="shared" ca="1" si="33"/>
        <v>100</v>
      </c>
      <c r="E205" s="1">
        <f t="shared" ca="1" si="34"/>
        <v>400.00000000000023</v>
      </c>
      <c r="F205" s="1">
        <f t="shared" si="35"/>
        <v>4</v>
      </c>
      <c r="G205" s="1">
        <f t="shared" si="27"/>
        <v>400.00000000000023</v>
      </c>
      <c r="H205" s="1">
        <f t="shared" si="28"/>
        <v>400.00000000000023</v>
      </c>
      <c r="I205" s="1"/>
      <c r="J205" s="1">
        <f t="shared" si="29"/>
        <v>100</v>
      </c>
      <c r="M205" s="1">
        <f t="shared" si="30"/>
        <v>100</v>
      </c>
      <c r="N205" s="1">
        <f t="shared" si="36"/>
        <v>0</v>
      </c>
      <c r="O205" s="1">
        <f t="shared" ca="1" si="31"/>
        <v>100</v>
      </c>
      <c r="P205" s="1">
        <f t="shared" si="37"/>
        <v>4</v>
      </c>
    </row>
    <row r="206" spans="1:16" x14ac:dyDescent="0.25">
      <c r="A206" s="21">
        <f t="shared" si="38"/>
        <v>185</v>
      </c>
      <c r="B206" s="1">
        <f t="shared" si="39"/>
        <v>100</v>
      </c>
      <c r="C206" s="1">
        <f t="shared" si="32"/>
        <v>100.00000000000006</v>
      </c>
      <c r="D206" s="1">
        <f t="shared" ca="1" si="33"/>
        <v>100</v>
      </c>
      <c r="E206" s="1">
        <f t="shared" ca="1" si="34"/>
        <v>400.00000000000023</v>
      </c>
      <c r="F206" s="1">
        <f t="shared" si="35"/>
        <v>4</v>
      </c>
      <c r="G206" s="1">
        <f t="shared" si="27"/>
        <v>400.00000000000023</v>
      </c>
      <c r="H206" s="1">
        <f t="shared" si="28"/>
        <v>400.00000000000023</v>
      </c>
      <c r="I206" s="1"/>
      <c r="J206" s="1">
        <f t="shared" si="29"/>
        <v>100</v>
      </c>
      <c r="M206" s="1">
        <f t="shared" si="30"/>
        <v>100</v>
      </c>
      <c r="N206" s="1">
        <f t="shared" si="36"/>
        <v>0</v>
      </c>
      <c r="O206" s="1">
        <f t="shared" ca="1" si="31"/>
        <v>100</v>
      </c>
      <c r="P206" s="1">
        <f t="shared" si="37"/>
        <v>4</v>
      </c>
    </row>
    <row r="207" spans="1:16" x14ac:dyDescent="0.25">
      <c r="A207" s="21">
        <f t="shared" si="38"/>
        <v>186</v>
      </c>
      <c r="B207" s="1">
        <f t="shared" si="39"/>
        <v>100</v>
      </c>
      <c r="C207" s="1">
        <f t="shared" si="32"/>
        <v>100.00000000000006</v>
      </c>
      <c r="D207" s="1">
        <f t="shared" ca="1" si="33"/>
        <v>100</v>
      </c>
      <c r="E207" s="1">
        <f t="shared" ca="1" si="34"/>
        <v>400.00000000000023</v>
      </c>
      <c r="F207" s="1">
        <f t="shared" si="35"/>
        <v>4</v>
      </c>
      <c r="G207" s="1">
        <f t="shared" si="27"/>
        <v>400.00000000000023</v>
      </c>
      <c r="H207" s="1">
        <f t="shared" si="28"/>
        <v>400.00000000000023</v>
      </c>
      <c r="I207" s="1"/>
      <c r="J207" s="1">
        <f t="shared" si="29"/>
        <v>100</v>
      </c>
      <c r="M207" s="1">
        <f t="shared" si="30"/>
        <v>100</v>
      </c>
      <c r="N207" s="1">
        <f t="shared" si="36"/>
        <v>0</v>
      </c>
      <c r="O207" s="1">
        <f t="shared" ca="1" si="31"/>
        <v>100</v>
      </c>
      <c r="P207" s="1">
        <f t="shared" si="37"/>
        <v>4</v>
      </c>
    </row>
    <row r="208" spans="1:16" x14ac:dyDescent="0.25">
      <c r="A208" s="21">
        <f t="shared" si="38"/>
        <v>187</v>
      </c>
      <c r="B208" s="1">
        <f t="shared" si="39"/>
        <v>100</v>
      </c>
      <c r="C208" s="1">
        <f t="shared" si="32"/>
        <v>100.00000000000006</v>
      </c>
      <c r="D208" s="1">
        <f t="shared" ca="1" si="33"/>
        <v>100</v>
      </c>
      <c r="E208" s="1">
        <f t="shared" ca="1" si="34"/>
        <v>400.00000000000023</v>
      </c>
      <c r="F208" s="1">
        <f t="shared" si="35"/>
        <v>4</v>
      </c>
      <c r="G208" s="1">
        <f t="shared" si="27"/>
        <v>400.00000000000023</v>
      </c>
      <c r="H208" s="1">
        <f t="shared" si="28"/>
        <v>400.00000000000023</v>
      </c>
      <c r="I208" s="1"/>
      <c r="J208" s="1">
        <f t="shared" si="29"/>
        <v>100</v>
      </c>
      <c r="M208" s="1">
        <f t="shared" si="30"/>
        <v>100</v>
      </c>
      <c r="N208" s="1">
        <f t="shared" si="36"/>
        <v>0</v>
      </c>
      <c r="O208" s="1">
        <f t="shared" ca="1" si="31"/>
        <v>100</v>
      </c>
      <c r="P208" s="1">
        <f t="shared" si="37"/>
        <v>4</v>
      </c>
    </row>
    <row r="209" spans="1:16" x14ac:dyDescent="0.25">
      <c r="A209" s="21">
        <f t="shared" si="38"/>
        <v>188</v>
      </c>
      <c r="B209" s="1">
        <f t="shared" si="39"/>
        <v>100</v>
      </c>
      <c r="C209" s="1">
        <f t="shared" si="32"/>
        <v>100.00000000000006</v>
      </c>
      <c r="D209" s="1">
        <f t="shared" ca="1" si="33"/>
        <v>100</v>
      </c>
      <c r="E209" s="1">
        <f t="shared" ca="1" si="34"/>
        <v>400.00000000000023</v>
      </c>
      <c r="F209" s="1">
        <f t="shared" si="35"/>
        <v>4</v>
      </c>
      <c r="G209" s="1">
        <f t="shared" si="27"/>
        <v>400.00000000000023</v>
      </c>
      <c r="H209" s="1">
        <f t="shared" si="28"/>
        <v>400.00000000000023</v>
      </c>
      <c r="I209" s="1"/>
      <c r="J209" s="1">
        <f t="shared" si="29"/>
        <v>100</v>
      </c>
      <c r="M209" s="1">
        <f t="shared" si="30"/>
        <v>100</v>
      </c>
      <c r="N209" s="1">
        <f t="shared" si="36"/>
        <v>0</v>
      </c>
      <c r="O209" s="1">
        <f t="shared" ca="1" si="31"/>
        <v>100</v>
      </c>
      <c r="P209" s="1">
        <f t="shared" si="37"/>
        <v>4</v>
      </c>
    </row>
    <row r="210" spans="1:16" x14ac:dyDescent="0.25">
      <c r="A210" s="21">
        <f t="shared" si="38"/>
        <v>189</v>
      </c>
      <c r="B210" s="1">
        <f t="shared" si="39"/>
        <v>100</v>
      </c>
      <c r="C210" s="1">
        <f t="shared" si="32"/>
        <v>100.00000000000006</v>
      </c>
      <c r="D210" s="1">
        <f t="shared" ca="1" si="33"/>
        <v>100</v>
      </c>
      <c r="E210" s="1">
        <f t="shared" ca="1" si="34"/>
        <v>400.00000000000023</v>
      </c>
      <c r="F210" s="1">
        <f t="shared" si="35"/>
        <v>4</v>
      </c>
      <c r="G210" s="1">
        <f t="shared" si="27"/>
        <v>400.00000000000023</v>
      </c>
      <c r="H210" s="1">
        <f t="shared" si="28"/>
        <v>400.00000000000023</v>
      </c>
      <c r="I210" s="1"/>
      <c r="J210" s="1">
        <f t="shared" si="29"/>
        <v>100</v>
      </c>
      <c r="M210" s="1">
        <f t="shared" si="30"/>
        <v>100</v>
      </c>
      <c r="N210" s="1">
        <f t="shared" si="36"/>
        <v>0</v>
      </c>
      <c r="O210" s="1">
        <f t="shared" ca="1" si="31"/>
        <v>100</v>
      </c>
      <c r="P210" s="1">
        <f t="shared" si="37"/>
        <v>4</v>
      </c>
    </row>
    <row r="211" spans="1:16" x14ac:dyDescent="0.25">
      <c r="A211" s="21">
        <f t="shared" si="38"/>
        <v>190</v>
      </c>
      <c r="B211" s="1">
        <f t="shared" si="39"/>
        <v>100</v>
      </c>
      <c r="C211" s="1">
        <f t="shared" si="32"/>
        <v>100.00000000000006</v>
      </c>
      <c r="D211" s="1">
        <f t="shared" ca="1" si="33"/>
        <v>100</v>
      </c>
      <c r="E211" s="1">
        <f t="shared" ca="1" si="34"/>
        <v>400.00000000000023</v>
      </c>
      <c r="F211" s="1">
        <f t="shared" si="35"/>
        <v>4</v>
      </c>
      <c r="G211" s="1">
        <f t="shared" si="27"/>
        <v>400.00000000000023</v>
      </c>
      <c r="H211" s="1">
        <f t="shared" si="28"/>
        <v>400.00000000000023</v>
      </c>
      <c r="I211" s="1"/>
      <c r="J211" s="1">
        <f t="shared" si="29"/>
        <v>100</v>
      </c>
      <c r="M211" s="1">
        <f t="shared" si="30"/>
        <v>100</v>
      </c>
      <c r="N211" s="1">
        <f t="shared" si="36"/>
        <v>0</v>
      </c>
      <c r="O211" s="1">
        <f t="shared" ca="1" si="31"/>
        <v>100</v>
      </c>
      <c r="P211" s="1">
        <f t="shared" si="37"/>
        <v>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Demand event model</vt:lpstr>
      <vt:lpstr>Tables and Figures</vt:lpstr>
      <vt:lpstr>Supply event model</vt:lpstr>
      <vt:lpstr>Deferred ordering model</vt:lpstr>
    </vt:vector>
  </TitlesOfParts>
  <Company>Massachusetts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Graves</dc:creator>
  <cp:lastModifiedBy>Stephen Graves</cp:lastModifiedBy>
  <dcterms:created xsi:type="dcterms:W3CDTF">2022-01-02T20:16:03Z</dcterms:created>
  <dcterms:modified xsi:type="dcterms:W3CDTF">2022-03-29T00:35:56Z</dcterms:modified>
</cp:coreProperties>
</file>