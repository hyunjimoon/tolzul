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bp/Dropbox (MIT)/_Teaching/Courses/15.763/Spring 2022/Class 10 - JobShopCo - planned leadtimes/___GroupExercise/"/>
    </mc:Choice>
  </mc:AlternateContent>
  <xr:revisionPtr revIDLastSave="0" documentId="13_ncr:1_{3EA1A172-A8D9-4046-991B-8777FFCEBEBC}" xr6:coauthVersionLast="47" xr6:coauthVersionMax="47" xr10:uidLastSave="{00000000-0000-0000-0000-000000000000}"/>
  <bookViews>
    <workbookView xWindow="0" yWindow="760" windowWidth="34560" windowHeight="20020" activeTab="1" xr2:uid="{04C9A918-6FA8-D44E-A742-F5525F7839FB}"/>
  </bookViews>
  <sheets>
    <sheet name="SixObservations" sheetId="8" r:id="rId1"/>
    <sheet name="20pct_3pds" sheetId="4" r:id="rId2"/>
    <sheet name="25pct_3pds" sheetId="9" r:id="rId3"/>
    <sheet name="30pc_3pds" sheetId="10" r:id="rId4"/>
    <sheet name="100pct_1pd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9" i="8" l="1"/>
  <c r="C18" i="8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I6" i="11" s="1"/>
  <c r="J6" i="11" s="1"/>
  <c r="H7" i="11" s="1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N6" i="10"/>
  <c r="I6" i="10"/>
  <c r="G6" i="10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N6" i="9"/>
  <c r="G6" i="9"/>
  <c r="I6" i="9" s="1"/>
  <c r="N6" i="11" l="1"/>
  <c r="N7" i="11"/>
  <c r="M6" i="11"/>
  <c r="K6" i="11"/>
  <c r="F7" i="11" s="1"/>
  <c r="I7" i="11" s="1"/>
  <c r="J6" i="10"/>
  <c r="J6" i="9"/>
  <c r="H7" i="9" s="1"/>
  <c r="N7" i="9" s="1"/>
  <c r="M6" i="9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N6" i="4" s="1"/>
  <c r="J7" i="11" l="1"/>
  <c r="M6" i="10"/>
  <c r="H7" i="10"/>
  <c r="N7" i="10" s="1"/>
  <c r="K6" i="10"/>
  <c r="F7" i="10" s="1"/>
  <c r="I7" i="10" s="1"/>
  <c r="K6" i="9"/>
  <c r="F7" i="9" s="1"/>
  <c r="I7" i="9" s="1"/>
  <c r="I6" i="4"/>
  <c r="J6" i="4" s="1"/>
  <c r="H7" i="4" s="1"/>
  <c r="N7" i="4" s="1"/>
  <c r="K7" i="11" l="1"/>
  <c r="F8" i="11" s="1"/>
  <c r="H8" i="11"/>
  <c r="N8" i="11" s="1"/>
  <c r="M7" i="11"/>
  <c r="J7" i="10"/>
  <c r="K7" i="10" s="1"/>
  <c r="F8" i="10" s="1"/>
  <c r="J7" i="9"/>
  <c r="K7" i="9" s="1"/>
  <c r="F8" i="9" s="1"/>
  <c r="M6" i="4"/>
  <c r="K6" i="4"/>
  <c r="I8" i="11" l="1"/>
  <c r="J8" i="11" s="1"/>
  <c r="H9" i="11" s="1"/>
  <c r="M7" i="10"/>
  <c r="H8" i="10"/>
  <c r="N8" i="10" s="1"/>
  <c r="M7" i="9"/>
  <c r="H8" i="9"/>
  <c r="N8" i="9" s="1"/>
  <c r="F7" i="4"/>
  <c r="I7" i="4" s="1"/>
  <c r="J7" i="4" s="1"/>
  <c r="M8" i="11" l="1"/>
  <c r="N9" i="11"/>
  <c r="K8" i="11"/>
  <c r="F9" i="11" s="1"/>
  <c r="I9" i="11" s="1"/>
  <c r="I8" i="10"/>
  <c r="I8" i="9"/>
  <c r="K7" i="4"/>
  <c r="F8" i="4" s="1"/>
  <c r="M7" i="4"/>
  <c r="H8" i="4"/>
  <c r="I8" i="4" s="1"/>
  <c r="J9" i="11" l="1"/>
  <c r="J8" i="10"/>
  <c r="J8" i="9"/>
  <c r="K8" i="9" s="1"/>
  <c r="F9" i="9" s="1"/>
  <c r="N8" i="4"/>
  <c r="J8" i="4"/>
  <c r="K9" i="11" l="1"/>
  <c r="F10" i="11" s="1"/>
  <c r="H10" i="11"/>
  <c r="N10" i="11" s="1"/>
  <c r="M9" i="11"/>
  <c r="M8" i="10"/>
  <c r="H9" i="10"/>
  <c r="N9" i="10" s="1"/>
  <c r="K8" i="10"/>
  <c r="F9" i="10" s="1"/>
  <c r="I9" i="10" s="1"/>
  <c r="H9" i="9"/>
  <c r="N9" i="9" s="1"/>
  <c r="M8" i="9"/>
  <c r="M8" i="4"/>
  <c r="H9" i="4"/>
  <c r="K8" i="4"/>
  <c r="F9" i="4" s="1"/>
  <c r="I10" i="11" l="1"/>
  <c r="J9" i="10"/>
  <c r="I9" i="9"/>
  <c r="I9" i="4"/>
  <c r="N9" i="4"/>
  <c r="J10" i="11" l="1"/>
  <c r="H11" i="11" s="1"/>
  <c r="M9" i="10"/>
  <c r="H10" i="10"/>
  <c r="N10" i="10" s="1"/>
  <c r="K9" i="10"/>
  <c r="F10" i="10" s="1"/>
  <c r="J9" i="9"/>
  <c r="K9" i="9"/>
  <c r="F10" i="9" s="1"/>
  <c r="J9" i="4"/>
  <c r="K9" i="4" s="1"/>
  <c r="F10" i="4" s="1"/>
  <c r="M10" i="11" l="1"/>
  <c r="N11" i="11"/>
  <c r="K10" i="11"/>
  <c r="F11" i="11" s="1"/>
  <c r="I11" i="11" s="1"/>
  <c r="I10" i="10"/>
  <c r="J10" i="10" s="1"/>
  <c r="K10" i="10" s="1"/>
  <c r="F11" i="10" s="1"/>
  <c r="M9" i="9"/>
  <c r="H10" i="9"/>
  <c r="N10" i="9" s="1"/>
  <c r="M9" i="4"/>
  <c r="H10" i="4"/>
  <c r="I10" i="4" s="1"/>
  <c r="J11" i="11" l="1"/>
  <c r="M10" i="10"/>
  <c r="H11" i="10"/>
  <c r="N11" i="10" s="1"/>
  <c r="I10" i="9"/>
  <c r="N10" i="4"/>
  <c r="K11" i="11" l="1"/>
  <c r="F12" i="11" s="1"/>
  <c r="H12" i="11"/>
  <c r="N12" i="11" s="1"/>
  <c r="M11" i="11"/>
  <c r="I11" i="10"/>
  <c r="J11" i="10"/>
  <c r="J10" i="9"/>
  <c r="K10" i="9"/>
  <c r="F11" i="9" s="1"/>
  <c r="J10" i="4"/>
  <c r="K10" i="4" s="1"/>
  <c r="F11" i="4" s="1"/>
  <c r="I12" i="11" l="1"/>
  <c r="M11" i="10"/>
  <c r="H12" i="10"/>
  <c r="N12" i="10" s="1"/>
  <c r="K11" i="10"/>
  <c r="F12" i="10" s="1"/>
  <c r="I12" i="10" s="1"/>
  <c r="M10" i="9"/>
  <c r="H11" i="9"/>
  <c r="N11" i="9" s="1"/>
  <c r="M10" i="4"/>
  <c r="H11" i="4"/>
  <c r="I11" i="4" s="1"/>
  <c r="J12" i="11" l="1"/>
  <c r="J12" i="10"/>
  <c r="K12" i="10"/>
  <c r="F13" i="10" s="1"/>
  <c r="I11" i="9"/>
  <c r="N11" i="4"/>
  <c r="K12" i="11" l="1"/>
  <c r="F13" i="11" s="1"/>
  <c r="H13" i="11"/>
  <c r="N13" i="11" s="1"/>
  <c r="M12" i="11"/>
  <c r="M12" i="10"/>
  <c r="H13" i="10"/>
  <c r="N13" i="10" s="1"/>
  <c r="J11" i="9"/>
  <c r="K11" i="9"/>
  <c r="F12" i="9" s="1"/>
  <c r="J11" i="4"/>
  <c r="K11" i="4" s="1"/>
  <c r="F12" i="4" s="1"/>
  <c r="I13" i="11" l="1"/>
  <c r="I13" i="10"/>
  <c r="M11" i="9"/>
  <c r="H12" i="9"/>
  <c r="N12" i="9" s="1"/>
  <c r="M11" i="4"/>
  <c r="H12" i="4"/>
  <c r="I12" i="4" s="1"/>
  <c r="J13" i="11" l="1"/>
  <c r="H14" i="11" s="1"/>
  <c r="J13" i="10"/>
  <c r="I12" i="9"/>
  <c r="N12" i="4"/>
  <c r="M13" i="11" l="1"/>
  <c r="N14" i="11"/>
  <c r="K13" i="11"/>
  <c r="F14" i="11" s="1"/>
  <c r="I14" i="11" s="1"/>
  <c r="M13" i="10"/>
  <c r="H14" i="10"/>
  <c r="N14" i="10" s="1"/>
  <c r="K13" i="10"/>
  <c r="F14" i="10" s="1"/>
  <c r="I14" i="10" s="1"/>
  <c r="J12" i="9"/>
  <c r="K12" i="9"/>
  <c r="F13" i="9" s="1"/>
  <c r="J12" i="4"/>
  <c r="J14" i="11" l="1"/>
  <c r="H15" i="11" s="1"/>
  <c r="J14" i="10"/>
  <c r="M12" i="9"/>
  <c r="H13" i="9"/>
  <c r="N13" i="9" s="1"/>
  <c r="M12" i="4"/>
  <c r="H13" i="4"/>
  <c r="K12" i="4"/>
  <c r="F13" i="4" s="1"/>
  <c r="M14" i="11" l="1"/>
  <c r="N15" i="11"/>
  <c r="K14" i="11"/>
  <c r="F15" i="11" s="1"/>
  <c r="I15" i="11" s="1"/>
  <c r="M14" i="10"/>
  <c r="H15" i="10"/>
  <c r="N15" i="10" s="1"/>
  <c r="K14" i="10"/>
  <c r="F15" i="10" s="1"/>
  <c r="I13" i="9"/>
  <c r="I13" i="4"/>
  <c r="N13" i="4"/>
  <c r="J15" i="11" l="1"/>
  <c r="H16" i="11" s="1"/>
  <c r="I15" i="10"/>
  <c r="J15" i="10"/>
  <c r="J13" i="9"/>
  <c r="K13" i="9"/>
  <c r="F14" i="9" s="1"/>
  <c r="J13" i="4"/>
  <c r="M15" i="11" l="1"/>
  <c r="N16" i="11"/>
  <c r="K15" i="11"/>
  <c r="F16" i="11" s="1"/>
  <c r="M15" i="10"/>
  <c r="H16" i="10"/>
  <c r="N16" i="10" s="1"/>
  <c r="K15" i="10"/>
  <c r="F16" i="10" s="1"/>
  <c r="I16" i="10" s="1"/>
  <c r="M13" i="9"/>
  <c r="H14" i="9"/>
  <c r="N14" i="9" s="1"/>
  <c r="M13" i="4"/>
  <c r="H14" i="4"/>
  <c r="K13" i="4"/>
  <c r="F14" i="4" s="1"/>
  <c r="I16" i="11" l="1"/>
  <c r="J16" i="11" s="1"/>
  <c r="H17" i="11" s="1"/>
  <c r="J16" i="10"/>
  <c r="I14" i="9"/>
  <c r="I14" i="4"/>
  <c r="N14" i="4"/>
  <c r="M16" i="11" l="1"/>
  <c r="N17" i="11"/>
  <c r="K16" i="11"/>
  <c r="F17" i="11" s="1"/>
  <c r="I17" i="11" s="1"/>
  <c r="M16" i="10"/>
  <c r="H17" i="10"/>
  <c r="N17" i="10" s="1"/>
  <c r="K16" i="10"/>
  <c r="F17" i="10" s="1"/>
  <c r="I17" i="10" s="1"/>
  <c r="J14" i="9"/>
  <c r="J14" i="4"/>
  <c r="J17" i="11" l="1"/>
  <c r="J17" i="10"/>
  <c r="K17" i="10"/>
  <c r="F18" i="10" s="1"/>
  <c r="M14" i="9"/>
  <c r="H15" i="9"/>
  <c r="N15" i="9" s="1"/>
  <c r="K14" i="9"/>
  <c r="F15" i="9" s="1"/>
  <c r="I15" i="9" s="1"/>
  <c r="M14" i="4"/>
  <c r="H15" i="4"/>
  <c r="K14" i="4"/>
  <c r="F15" i="4" s="1"/>
  <c r="K17" i="11" l="1"/>
  <c r="F18" i="11" s="1"/>
  <c r="H18" i="11"/>
  <c r="N18" i="11" s="1"/>
  <c r="M17" i="11"/>
  <c r="M17" i="10"/>
  <c r="H18" i="10"/>
  <c r="N18" i="10" s="1"/>
  <c r="J15" i="9"/>
  <c r="K15" i="9"/>
  <c r="F16" i="9" s="1"/>
  <c r="I15" i="4"/>
  <c r="N15" i="4"/>
  <c r="I18" i="11" l="1"/>
  <c r="I18" i="10"/>
  <c r="M15" i="9"/>
  <c r="H16" i="9"/>
  <c r="N16" i="9" s="1"/>
  <c r="J15" i="4"/>
  <c r="K15" i="4" s="1"/>
  <c r="F16" i="4" s="1"/>
  <c r="J18" i="11" l="1"/>
  <c r="H19" i="11" s="1"/>
  <c r="J18" i="10"/>
  <c r="I16" i="9"/>
  <c r="M15" i="4"/>
  <c r="H16" i="4"/>
  <c r="I16" i="4" s="1"/>
  <c r="K18" i="11" l="1"/>
  <c r="F19" i="11" s="1"/>
  <c r="M18" i="11"/>
  <c r="N19" i="11"/>
  <c r="M18" i="10"/>
  <c r="H19" i="10"/>
  <c r="N19" i="10" s="1"/>
  <c r="K18" i="10"/>
  <c r="F19" i="10" s="1"/>
  <c r="I19" i="10" s="1"/>
  <c r="J16" i="9"/>
  <c r="K16" i="9"/>
  <c r="F17" i="9" s="1"/>
  <c r="N16" i="4"/>
  <c r="I19" i="11" l="1"/>
  <c r="J19" i="10"/>
  <c r="M16" i="9"/>
  <c r="H17" i="9"/>
  <c r="N17" i="9" s="1"/>
  <c r="J16" i="4"/>
  <c r="J19" i="11" l="1"/>
  <c r="H20" i="11" s="1"/>
  <c r="M19" i="10"/>
  <c r="H20" i="10"/>
  <c r="N20" i="10" s="1"/>
  <c r="K19" i="10"/>
  <c r="F20" i="10" s="1"/>
  <c r="I17" i="9"/>
  <c r="M16" i="4"/>
  <c r="H17" i="4"/>
  <c r="K16" i="4"/>
  <c r="F17" i="4" s="1"/>
  <c r="I20" i="10" l="1"/>
  <c r="M19" i="11"/>
  <c r="N20" i="11"/>
  <c r="K19" i="11"/>
  <c r="F20" i="11" s="1"/>
  <c r="J20" i="10"/>
  <c r="K20" i="10"/>
  <c r="F21" i="10" s="1"/>
  <c r="J17" i="9"/>
  <c r="K17" i="9"/>
  <c r="F18" i="9" s="1"/>
  <c r="I17" i="4"/>
  <c r="N17" i="4"/>
  <c r="I20" i="11" l="1"/>
  <c r="J20" i="11"/>
  <c r="H21" i="11" s="1"/>
  <c r="M20" i="10"/>
  <c r="H21" i="10"/>
  <c r="N21" i="10" s="1"/>
  <c r="M17" i="9"/>
  <c r="H18" i="9"/>
  <c r="N18" i="9" s="1"/>
  <c r="J17" i="4"/>
  <c r="K17" i="4" s="1"/>
  <c r="F18" i="4" s="1"/>
  <c r="M20" i="11" l="1"/>
  <c r="N21" i="11"/>
  <c r="K20" i="11"/>
  <c r="F21" i="11" s="1"/>
  <c r="I21" i="10"/>
  <c r="I18" i="9"/>
  <c r="M17" i="4"/>
  <c r="H18" i="4"/>
  <c r="I18" i="4" s="1"/>
  <c r="I21" i="11" l="1"/>
  <c r="J21" i="11"/>
  <c r="H22" i="11" s="1"/>
  <c r="J21" i="10"/>
  <c r="J18" i="9"/>
  <c r="K18" i="9"/>
  <c r="F19" i="9" s="1"/>
  <c r="N18" i="4"/>
  <c r="M21" i="11" l="1"/>
  <c r="N22" i="11"/>
  <c r="K21" i="11"/>
  <c r="F22" i="11" s="1"/>
  <c r="I22" i="11" s="1"/>
  <c r="M21" i="10"/>
  <c r="H22" i="10"/>
  <c r="N22" i="10" s="1"/>
  <c r="K21" i="10"/>
  <c r="F22" i="10" s="1"/>
  <c r="M18" i="9"/>
  <c r="H19" i="9"/>
  <c r="N19" i="9" s="1"/>
  <c r="J18" i="4"/>
  <c r="K18" i="4" s="1"/>
  <c r="F19" i="4" s="1"/>
  <c r="J22" i="11" l="1"/>
  <c r="I22" i="10"/>
  <c r="J22" i="10"/>
  <c r="K22" i="10" s="1"/>
  <c r="F23" i="10" s="1"/>
  <c r="I19" i="9"/>
  <c r="M18" i="4"/>
  <c r="H19" i="4"/>
  <c r="I19" i="4" s="1"/>
  <c r="K22" i="11" l="1"/>
  <c r="F23" i="11" s="1"/>
  <c r="H23" i="11"/>
  <c r="N23" i="11" s="1"/>
  <c r="M22" i="11"/>
  <c r="M22" i="10"/>
  <c r="H23" i="10"/>
  <c r="N23" i="10" s="1"/>
  <c r="J19" i="9"/>
  <c r="K19" i="9" s="1"/>
  <c r="F20" i="9" s="1"/>
  <c r="N19" i="4"/>
  <c r="I23" i="11" l="1"/>
  <c r="I23" i="10"/>
  <c r="M19" i="9"/>
  <c r="H20" i="9"/>
  <c r="N20" i="9" s="1"/>
  <c r="J19" i="4"/>
  <c r="J23" i="11" l="1"/>
  <c r="H24" i="11" s="1"/>
  <c r="J23" i="10"/>
  <c r="I20" i="9"/>
  <c r="M19" i="4"/>
  <c r="H20" i="4"/>
  <c r="K19" i="4"/>
  <c r="F20" i="4" s="1"/>
  <c r="M23" i="11" l="1"/>
  <c r="N24" i="11"/>
  <c r="K23" i="11"/>
  <c r="F24" i="11" s="1"/>
  <c r="I24" i="11" s="1"/>
  <c r="M23" i="10"/>
  <c r="H24" i="10"/>
  <c r="N24" i="10" s="1"/>
  <c r="K23" i="10"/>
  <c r="F24" i="10" s="1"/>
  <c r="I24" i="10" s="1"/>
  <c r="J20" i="9"/>
  <c r="K20" i="9"/>
  <c r="F21" i="9" s="1"/>
  <c r="I20" i="4"/>
  <c r="N20" i="4"/>
  <c r="J24" i="11" l="1"/>
  <c r="H25" i="11" s="1"/>
  <c r="J24" i="10"/>
  <c r="K24" i="10" s="1"/>
  <c r="F25" i="10" s="1"/>
  <c r="M20" i="9"/>
  <c r="H21" i="9"/>
  <c r="N21" i="9" s="1"/>
  <c r="J20" i="4"/>
  <c r="K20" i="4" s="1"/>
  <c r="F21" i="4" s="1"/>
  <c r="M24" i="11" l="1"/>
  <c r="N25" i="11"/>
  <c r="N28" i="11" s="1"/>
  <c r="K24" i="11"/>
  <c r="F25" i="11" s="1"/>
  <c r="I25" i="11" s="1"/>
  <c r="M24" i="10"/>
  <c r="H25" i="10"/>
  <c r="N25" i="10" s="1"/>
  <c r="N28" i="10" s="1"/>
  <c r="I21" i="9"/>
  <c r="M20" i="4"/>
  <c r="H21" i="4"/>
  <c r="I21" i="4" s="1"/>
  <c r="J25" i="11" l="1"/>
  <c r="M25" i="11" s="1"/>
  <c r="N27" i="11" s="1"/>
  <c r="N29" i="11" s="1"/>
  <c r="I25" i="10"/>
  <c r="J21" i="9"/>
  <c r="K21" i="9"/>
  <c r="F22" i="9" s="1"/>
  <c r="N21" i="4"/>
  <c r="K25" i="11" l="1"/>
  <c r="J25" i="10"/>
  <c r="M25" i="10" s="1"/>
  <c r="N27" i="10" s="1"/>
  <c r="N29" i="10" s="1"/>
  <c r="M21" i="9"/>
  <c r="H22" i="9"/>
  <c r="N22" i="9" s="1"/>
  <c r="J21" i="4"/>
  <c r="K25" i="10" l="1"/>
  <c r="I22" i="9"/>
  <c r="M21" i="4"/>
  <c r="H22" i="4"/>
  <c r="K21" i="4"/>
  <c r="F22" i="4" s="1"/>
  <c r="J22" i="9" l="1"/>
  <c r="K22" i="9"/>
  <c r="F23" i="9" s="1"/>
  <c r="I22" i="4"/>
  <c r="N22" i="4"/>
  <c r="M22" i="9" l="1"/>
  <c r="H23" i="9"/>
  <c r="N23" i="9" s="1"/>
  <c r="J22" i="4"/>
  <c r="K22" i="4" s="1"/>
  <c r="F23" i="4" s="1"/>
  <c r="I23" i="9" l="1"/>
  <c r="M22" i="4"/>
  <c r="H23" i="4"/>
  <c r="I23" i="4" s="1"/>
  <c r="J23" i="9" l="1"/>
  <c r="K23" i="9" s="1"/>
  <c r="F24" i="9" s="1"/>
  <c r="N23" i="4"/>
  <c r="M23" i="9" l="1"/>
  <c r="H24" i="9"/>
  <c r="N24" i="9" s="1"/>
  <c r="J23" i="4"/>
  <c r="I24" i="9" l="1"/>
  <c r="M23" i="4"/>
  <c r="H24" i="4"/>
  <c r="K23" i="4"/>
  <c r="F24" i="4" s="1"/>
  <c r="J24" i="9" l="1"/>
  <c r="K24" i="9" s="1"/>
  <c r="F25" i="9" s="1"/>
  <c r="I24" i="4"/>
  <c r="N24" i="4"/>
  <c r="M24" i="9" l="1"/>
  <c r="H25" i="9"/>
  <c r="N25" i="9" s="1"/>
  <c r="N28" i="9" s="1"/>
  <c r="J24" i="4"/>
  <c r="I25" i="9" l="1"/>
  <c r="M24" i="4"/>
  <c r="H25" i="4"/>
  <c r="K24" i="4"/>
  <c r="F25" i="4" s="1"/>
  <c r="J25" i="9" l="1"/>
  <c r="M25" i="9" s="1"/>
  <c r="N27" i="9" s="1"/>
  <c r="N29" i="9" s="1"/>
  <c r="K25" i="9"/>
  <c r="I25" i="4"/>
  <c r="N25" i="4"/>
  <c r="N28" i="4" s="1"/>
  <c r="J25" i="4" l="1"/>
  <c r="M25" i="4" s="1"/>
  <c r="N27" i="4" s="1"/>
  <c r="N29" i="4" s="1"/>
  <c r="K25" i="4" l="1"/>
</calcChain>
</file>

<file path=xl/sharedStrings.xml><?xml version="1.0" encoding="utf-8"?>
<sst xmlns="http://schemas.openxmlformats.org/spreadsheetml/2006/main" count="138" uniqueCount="38">
  <si>
    <t>Returned</t>
  </si>
  <si>
    <t>Available</t>
  </si>
  <si>
    <t>Sold</t>
  </si>
  <si>
    <t>Forecast</t>
  </si>
  <si>
    <t>Sales price</t>
  </si>
  <si>
    <t>New production cost</t>
  </si>
  <si>
    <t>Cost</t>
  </si>
  <si>
    <t>Returned remanufacturing cost</t>
  </si>
  <si>
    <t>Total sales revenue</t>
  </si>
  <si>
    <t>Total cost</t>
  </si>
  <si>
    <t>Gross margin</t>
  </si>
  <si>
    <t>Period</t>
  </si>
  <si>
    <t>Observed demand</t>
  </si>
  <si>
    <t xml:space="preserve">You are given six observations of demand.  </t>
  </si>
  <si>
    <t>2.  What is your rationale for this estimate?</t>
  </si>
  <si>
    <t>1.  What is your estimate for the maximum demand per period?</t>
  </si>
  <si>
    <t>For planning purposes, the company wants to estimate the maximum demand possible in a period, and the only data provided are these six observations.</t>
  </si>
  <si>
    <t>All you know is the company believes these six observations come from the same underlying distribution and demand can't be negative.</t>
  </si>
  <si>
    <t>Problem 1:  Estimate the maximum demand per period</t>
  </si>
  <si>
    <t>Return number of periods</t>
  </si>
  <si>
    <t>Launch production capacity</t>
  </si>
  <si>
    <t>Problem 2:  Determine launch production capacity when sold product is returned and remanufactured</t>
  </si>
  <si>
    <t>Starting</t>
  </si>
  <si>
    <t>Inventory</t>
  </si>
  <si>
    <t>New</t>
  </si>
  <si>
    <t>Production</t>
  </si>
  <si>
    <t>Units</t>
  </si>
  <si>
    <t>To Sell</t>
  </si>
  <si>
    <t>Ending</t>
  </si>
  <si>
    <t>Demand</t>
  </si>
  <si>
    <t>Sales</t>
  </si>
  <si>
    <t>Revenue</t>
  </si>
  <si>
    <t>Model inputs</t>
  </si>
  <si>
    <t>Decision variables</t>
  </si>
  <si>
    <t>Model dynamics</t>
  </si>
  <si>
    <t>Return percentage per period</t>
  </si>
  <si>
    <t>MLE</t>
  </si>
  <si>
    <t>MVUE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</si>
</sst>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0.00000"/>
    <numFmt numFmtId="167" formatCode="0.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right"/>
    </xf>
    <xf numFmtId="167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right" indent="1"/>
    </xf>
    <xf numFmtId="6" fontId="0" fillId="0" borderId="1" xfId="0" applyNumberFormat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/>
    <xf numFmtId="16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4B541-19C2-064E-804F-67A71CBC9863}">
  <dimension ref="A1:C19"/>
  <sheetViews>
    <sheetView showGridLines="0" zoomScale="200" zoomScaleNormal="200" workbookViewId="0">
      <selection activeCell="B19" sqref="B19"/>
    </sheetView>
  </sheetViews>
  <sheetFormatPr baseColWidth="10" defaultRowHeight="16" x14ac:dyDescent="0.2"/>
  <cols>
    <col min="1" max="8" width="16.83203125" customWidth="1"/>
  </cols>
  <sheetData>
    <row r="1" spans="1:2" x14ac:dyDescent="0.2">
      <c r="A1" t="s">
        <v>18</v>
      </c>
    </row>
    <row r="3" spans="1:2" x14ac:dyDescent="0.2">
      <c r="A3" t="s">
        <v>13</v>
      </c>
    </row>
    <row r="4" spans="1:2" x14ac:dyDescent="0.2">
      <c r="A4" t="s">
        <v>17</v>
      </c>
    </row>
    <row r="5" spans="1:2" x14ac:dyDescent="0.2">
      <c r="A5" t="s">
        <v>16</v>
      </c>
    </row>
    <row r="7" spans="1:2" x14ac:dyDescent="0.2">
      <c r="A7" t="s">
        <v>11</v>
      </c>
      <c r="B7" t="s">
        <v>12</v>
      </c>
    </row>
    <row r="8" spans="1:2" x14ac:dyDescent="0.2">
      <c r="A8" s="4">
        <v>1</v>
      </c>
      <c r="B8" s="4">
        <v>238</v>
      </c>
    </row>
    <row r="9" spans="1:2" x14ac:dyDescent="0.2">
      <c r="A9" s="4">
        <v>2</v>
      </c>
      <c r="B9" s="4">
        <v>254</v>
      </c>
    </row>
    <row r="10" spans="1:2" x14ac:dyDescent="0.2">
      <c r="A10" s="4">
        <v>3</v>
      </c>
      <c r="B10" s="4">
        <v>321</v>
      </c>
    </row>
    <row r="11" spans="1:2" x14ac:dyDescent="0.2">
      <c r="A11" s="4">
        <v>4</v>
      </c>
      <c r="B11" s="4">
        <v>584</v>
      </c>
    </row>
    <row r="12" spans="1:2" x14ac:dyDescent="0.2">
      <c r="A12" s="4">
        <v>5</v>
      </c>
      <c r="B12" s="4">
        <v>39</v>
      </c>
    </row>
    <row r="13" spans="1:2" x14ac:dyDescent="0.2">
      <c r="A13" s="4">
        <v>6</v>
      </c>
      <c r="B13" s="4">
        <v>706</v>
      </c>
    </row>
    <row r="15" spans="1:2" x14ac:dyDescent="0.2">
      <c r="A15" t="s">
        <v>15</v>
      </c>
      <c r="B15" s="2"/>
    </row>
    <row r="16" spans="1:2" x14ac:dyDescent="0.2">
      <c r="A16" t="s">
        <v>14</v>
      </c>
    </row>
    <row r="18" spans="1:3" x14ac:dyDescent="0.2">
      <c r="A18" t="s">
        <v>36</v>
      </c>
      <c r="B18" s="3">
        <v>706</v>
      </c>
      <c r="C18" s="13">
        <f>4*1/B18*(MAX(B8:B13)-1)/(B18-1)*(MAX(B8:B13)-2)/(B18-2)*(MAX(B8:B13)-3)/(B18-3)*(MAX(B8:B13)-4)/(B18-4)*(MAX(B8:B13)-5)/(B18-5)</f>
        <v>5.6657223796033997E-3</v>
      </c>
    </row>
    <row r="19" spans="1:3" x14ac:dyDescent="0.2">
      <c r="A19" t="s">
        <v>37</v>
      </c>
      <c r="B19" s="14">
        <f>MAX(B8:B13)+(MAX(B8:B13)-A13)/A13</f>
        <v>822.66666666666663</v>
      </c>
      <c r="C1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CC876-77B0-074C-8D4B-A3B67C0EDBF5}">
  <dimension ref="A1:N29"/>
  <sheetViews>
    <sheetView showGridLines="0" tabSelected="1" zoomScale="150" zoomScaleNormal="150" workbookViewId="0">
      <selection activeCell="B13" sqref="B13"/>
    </sheetView>
  </sheetViews>
  <sheetFormatPr baseColWidth="10" defaultRowHeight="16" x14ac:dyDescent="0.2"/>
  <cols>
    <col min="1" max="1" width="27.83203125" customWidth="1"/>
    <col min="2" max="14" width="10.83203125" customWidth="1"/>
    <col min="15" max="15" width="12.6640625" customWidth="1"/>
    <col min="16" max="16" width="15.83203125" customWidth="1"/>
  </cols>
  <sheetData>
    <row r="1" spans="1:14" x14ac:dyDescent="0.2">
      <c r="A1" t="s">
        <v>21</v>
      </c>
    </row>
    <row r="3" spans="1:14" x14ac:dyDescent="0.2">
      <c r="A3" s="11" t="s">
        <v>32</v>
      </c>
      <c r="D3" s="11" t="s">
        <v>34</v>
      </c>
    </row>
    <row r="4" spans="1:14" x14ac:dyDescent="0.2">
      <c r="E4" s="3" t="s">
        <v>29</v>
      </c>
      <c r="F4" s="3" t="s">
        <v>22</v>
      </c>
      <c r="G4" s="3" t="s">
        <v>24</v>
      </c>
      <c r="H4" s="3" t="s">
        <v>26</v>
      </c>
      <c r="I4" s="3" t="s">
        <v>1</v>
      </c>
      <c r="J4" s="3" t="s">
        <v>26</v>
      </c>
      <c r="K4" s="3" t="s">
        <v>28</v>
      </c>
      <c r="M4" s="3" t="s">
        <v>30</v>
      </c>
      <c r="N4" s="3" t="s">
        <v>11</v>
      </c>
    </row>
    <row r="5" spans="1:14" x14ac:dyDescent="0.2">
      <c r="A5" s="5" t="s">
        <v>4</v>
      </c>
      <c r="B5" s="6">
        <v>9</v>
      </c>
      <c r="D5" s="3" t="s">
        <v>11</v>
      </c>
      <c r="E5" s="3" t="s">
        <v>3</v>
      </c>
      <c r="F5" s="3" t="s">
        <v>23</v>
      </c>
      <c r="G5" s="3" t="s">
        <v>25</v>
      </c>
      <c r="H5" s="3" t="s">
        <v>0</v>
      </c>
      <c r="I5" s="3" t="s">
        <v>27</v>
      </c>
      <c r="J5" s="3" t="s">
        <v>2</v>
      </c>
      <c r="K5" s="3" t="s">
        <v>23</v>
      </c>
      <c r="M5" s="3" t="s">
        <v>31</v>
      </c>
      <c r="N5" s="3" t="s">
        <v>6</v>
      </c>
    </row>
    <row r="6" spans="1:14" x14ac:dyDescent="0.2">
      <c r="A6" s="5" t="s">
        <v>5</v>
      </c>
      <c r="B6" s="7">
        <v>4.5</v>
      </c>
      <c r="D6" s="4">
        <v>1</v>
      </c>
      <c r="E6" s="4">
        <v>200</v>
      </c>
      <c r="F6" s="10">
        <v>0</v>
      </c>
      <c r="G6" s="4">
        <f>$B$13</f>
        <v>114</v>
      </c>
      <c r="H6" s="4">
        <v>0</v>
      </c>
      <c r="I6" s="10">
        <f>F6+G6+H6</f>
        <v>114</v>
      </c>
      <c r="J6" s="10">
        <f>MIN(I6,E6)</f>
        <v>114</v>
      </c>
      <c r="K6" s="4">
        <f>I6-J6</f>
        <v>0</v>
      </c>
      <c r="M6" s="6">
        <f>J6*$B$5</f>
        <v>1026</v>
      </c>
      <c r="N6" s="6">
        <f>G6*$B$6+H6*$B$7</f>
        <v>513</v>
      </c>
    </row>
    <row r="7" spans="1:14" x14ac:dyDescent="0.2">
      <c r="A7" s="5" t="s">
        <v>7</v>
      </c>
      <c r="B7" s="7">
        <v>1.25</v>
      </c>
      <c r="D7" s="4">
        <v>2</v>
      </c>
      <c r="E7" s="4">
        <v>200</v>
      </c>
      <c r="F7" s="10">
        <f>K6</f>
        <v>0</v>
      </c>
      <c r="G7" s="4">
        <f>$B$13</f>
        <v>114</v>
      </c>
      <c r="H7" s="10">
        <f>$B$8*J6</f>
        <v>22.8</v>
      </c>
      <c r="I7" s="10">
        <f>F7+G7+H7</f>
        <v>136.80000000000001</v>
      </c>
      <c r="J7" s="10">
        <f>MIN(I7,E7)</f>
        <v>136.80000000000001</v>
      </c>
      <c r="K7" s="10">
        <f>I7-J7</f>
        <v>0</v>
      </c>
      <c r="M7" s="6">
        <f>J7*$B$5</f>
        <v>1231.2</v>
      </c>
      <c r="N7" s="6">
        <f>G7*$B$6+H7*$B$7</f>
        <v>541.5</v>
      </c>
    </row>
    <row r="8" spans="1:14" x14ac:dyDescent="0.2">
      <c r="A8" s="5" t="s">
        <v>35</v>
      </c>
      <c r="B8" s="8">
        <v>0.2</v>
      </c>
      <c r="D8" s="4">
        <v>3</v>
      </c>
      <c r="E8" s="4">
        <v>200</v>
      </c>
      <c r="F8" s="10">
        <f t="shared" ref="F8:F25" si="0">K7</f>
        <v>0</v>
      </c>
      <c r="G8" s="4">
        <f>$B$13</f>
        <v>114</v>
      </c>
      <c r="H8" s="10">
        <f>$B$8*SUM(J6:J7)</f>
        <v>50.160000000000004</v>
      </c>
      <c r="I8" s="10">
        <f>F8+G8+H8</f>
        <v>164.16</v>
      </c>
      <c r="J8" s="10">
        <f>MIN(I8,E8)</f>
        <v>164.16</v>
      </c>
      <c r="K8" s="10">
        <f t="shared" ref="K8:K25" si="1">I8-J8</f>
        <v>0</v>
      </c>
      <c r="M8" s="6">
        <f>J8*$B$5</f>
        <v>1477.44</v>
      </c>
      <c r="N8" s="6">
        <f>G8*$B$6+H8*$B$7</f>
        <v>575.70000000000005</v>
      </c>
    </row>
    <row r="9" spans="1:14" x14ac:dyDescent="0.2">
      <c r="A9" s="5" t="s">
        <v>19</v>
      </c>
      <c r="B9" s="4">
        <v>3</v>
      </c>
      <c r="D9" s="4">
        <v>4</v>
      </c>
      <c r="E9" s="4">
        <v>200</v>
      </c>
      <c r="F9" s="10">
        <f t="shared" si="0"/>
        <v>0</v>
      </c>
      <c r="G9" s="4">
        <f>$B$13</f>
        <v>114</v>
      </c>
      <c r="H9" s="10">
        <f>$B$8*SUM(J6:J8)</f>
        <v>82.992000000000019</v>
      </c>
      <c r="I9" s="10">
        <f>F9+G9+H9</f>
        <v>196.99200000000002</v>
      </c>
      <c r="J9" s="10">
        <f>MIN(I9,E9)</f>
        <v>196.99200000000002</v>
      </c>
      <c r="K9" s="10">
        <f t="shared" si="1"/>
        <v>0</v>
      </c>
      <c r="M9" s="6">
        <f>J9*$B$5</f>
        <v>1772.9280000000001</v>
      </c>
      <c r="N9" s="6">
        <f>G9*$B$6+H9*$B$7</f>
        <v>616.74</v>
      </c>
    </row>
    <row r="10" spans="1:14" x14ac:dyDescent="0.2">
      <c r="D10" s="4">
        <v>5</v>
      </c>
      <c r="E10" s="4">
        <v>200</v>
      </c>
      <c r="F10" s="10">
        <f t="shared" si="0"/>
        <v>0</v>
      </c>
      <c r="G10" s="4">
        <f>$B$13</f>
        <v>114</v>
      </c>
      <c r="H10" s="10">
        <f>$B$8*SUM(J7:J9)</f>
        <v>99.590400000000017</v>
      </c>
      <c r="I10" s="10">
        <f>F10+G10+H10</f>
        <v>213.59040000000002</v>
      </c>
      <c r="J10" s="10">
        <f>MIN(I10,E10)</f>
        <v>200</v>
      </c>
      <c r="K10" s="10">
        <f t="shared" si="1"/>
        <v>13.590400000000017</v>
      </c>
      <c r="M10" s="6">
        <f>J10*$B$5</f>
        <v>1800</v>
      </c>
      <c r="N10" s="6">
        <f>G10*$B$6+H10*$B$7</f>
        <v>637.48800000000006</v>
      </c>
    </row>
    <row r="11" spans="1:14" x14ac:dyDescent="0.2">
      <c r="A11" s="12" t="s">
        <v>33</v>
      </c>
      <c r="D11" s="4">
        <v>6</v>
      </c>
      <c r="E11" s="4">
        <v>200</v>
      </c>
      <c r="F11" s="10">
        <f t="shared" si="0"/>
        <v>13.590400000000017</v>
      </c>
      <c r="G11" s="4">
        <f>$B$13</f>
        <v>114</v>
      </c>
      <c r="H11" s="10">
        <f>$B$8*SUM(J8:J10)</f>
        <v>112.23040000000002</v>
      </c>
      <c r="I11" s="10">
        <f>F11+G11+H11</f>
        <v>239.82080000000002</v>
      </c>
      <c r="J11" s="10">
        <f>MIN(I11,E11)</f>
        <v>200</v>
      </c>
      <c r="K11" s="10">
        <f t="shared" si="1"/>
        <v>39.82080000000002</v>
      </c>
      <c r="M11" s="6">
        <f>J11*$B$5</f>
        <v>1800</v>
      </c>
      <c r="N11" s="6">
        <f>G11*$B$6+H11*$B$7</f>
        <v>653.28800000000001</v>
      </c>
    </row>
    <row r="12" spans="1:14" x14ac:dyDescent="0.2">
      <c r="D12" s="4">
        <v>7</v>
      </c>
      <c r="E12" s="4">
        <v>200</v>
      </c>
      <c r="F12" s="10">
        <f t="shared" si="0"/>
        <v>39.82080000000002</v>
      </c>
      <c r="G12" s="4">
        <f>$B$13</f>
        <v>114</v>
      </c>
      <c r="H12" s="10">
        <f>$B$8*SUM(J9:J11)</f>
        <v>119.3984</v>
      </c>
      <c r="I12" s="10">
        <f>F12+G12+H12</f>
        <v>273.2192</v>
      </c>
      <c r="J12" s="10">
        <f>MIN(I12,E12)</f>
        <v>200</v>
      </c>
      <c r="K12" s="10">
        <f t="shared" si="1"/>
        <v>73.219200000000001</v>
      </c>
      <c r="M12" s="6">
        <f>J12*$B$5</f>
        <v>1800</v>
      </c>
      <c r="N12" s="6">
        <f>G12*$B$6+H12*$B$7</f>
        <v>662.24800000000005</v>
      </c>
    </row>
    <row r="13" spans="1:14" x14ac:dyDescent="0.2">
      <c r="A13" s="1" t="s">
        <v>20</v>
      </c>
      <c r="B13" s="9">
        <v>114</v>
      </c>
      <c r="D13" s="4">
        <v>8</v>
      </c>
      <c r="E13" s="4">
        <v>200</v>
      </c>
      <c r="F13" s="10">
        <f t="shared" si="0"/>
        <v>73.219200000000001</v>
      </c>
      <c r="G13" s="4">
        <f>$B$13</f>
        <v>114</v>
      </c>
      <c r="H13" s="10">
        <f>$B$8*SUM(J10:J12)</f>
        <v>120</v>
      </c>
      <c r="I13" s="10">
        <f>F13+G13+H13</f>
        <v>307.2192</v>
      </c>
      <c r="J13" s="10">
        <f>MIN(I13,E13)</f>
        <v>200</v>
      </c>
      <c r="K13" s="10">
        <f t="shared" si="1"/>
        <v>107.2192</v>
      </c>
      <c r="M13" s="6">
        <f>J13*$B$5</f>
        <v>1800</v>
      </c>
      <c r="N13" s="6">
        <f>G13*$B$6+H13*$B$7</f>
        <v>663</v>
      </c>
    </row>
    <row r="14" spans="1:14" x14ac:dyDescent="0.2">
      <c r="D14" s="4">
        <v>9</v>
      </c>
      <c r="E14" s="4">
        <v>200</v>
      </c>
      <c r="F14" s="10">
        <f t="shared" si="0"/>
        <v>107.2192</v>
      </c>
      <c r="G14" s="4">
        <f>$B$13</f>
        <v>114</v>
      </c>
      <c r="H14" s="10">
        <f>$B$8*SUM(J11:J13)</f>
        <v>120</v>
      </c>
      <c r="I14" s="10">
        <f>F14+G14+H14</f>
        <v>341.2192</v>
      </c>
      <c r="J14" s="10">
        <f>MIN(I14,E14)</f>
        <v>200</v>
      </c>
      <c r="K14" s="10">
        <f t="shared" si="1"/>
        <v>141.2192</v>
      </c>
      <c r="M14" s="6">
        <f>J14*$B$5</f>
        <v>1800</v>
      </c>
      <c r="N14" s="6">
        <f>G14*$B$6+H14*$B$7</f>
        <v>663</v>
      </c>
    </row>
    <row r="15" spans="1:14" x14ac:dyDescent="0.2">
      <c r="D15" s="4">
        <v>10</v>
      </c>
      <c r="E15" s="4">
        <v>200</v>
      </c>
      <c r="F15" s="10">
        <f t="shared" si="0"/>
        <v>141.2192</v>
      </c>
      <c r="G15" s="4">
        <f>$B$13</f>
        <v>114</v>
      </c>
      <c r="H15" s="10">
        <f>$B$8*SUM(J12:J14)</f>
        <v>120</v>
      </c>
      <c r="I15" s="10">
        <f>F15+G15+H15</f>
        <v>375.2192</v>
      </c>
      <c r="J15" s="10">
        <f>MIN(I15,E15)</f>
        <v>200</v>
      </c>
      <c r="K15" s="10">
        <f t="shared" si="1"/>
        <v>175.2192</v>
      </c>
      <c r="M15" s="6">
        <f>J15*$B$5</f>
        <v>1800</v>
      </c>
      <c r="N15" s="6">
        <f>G15*$B$6+H15*$B$7</f>
        <v>663</v>
      </c>
    </row>
    <row r="16" spans="1:14" x14ac:dyDescent="0.2">
      <c r="D16" s="4">
        <v>11</v>
      </c>
      <c r="E16" s="4">
        <v>300</v>
      </c>
      <c r="F16" s="10">
        <f t="shared" si="0"/>
        <v>175.2192</v>
      </c>
      <c r="G16" s="4">
        <f>$B$13</f>
        <v>114</v>
      </c>
      <c r="H16" s="10">
        <f>$B$8*SUM(J13:J15)</f>
        <v>120</v>
      </c>
      <c r="I16" s="10">
        <f>F16+G16+H16</f>
        <v>409.2192</v>
      </c>
      <c r="J16" s="10">
        <f>MIN(I16,E16)</f>
        <v>300</v>
      </c>
      <c r="K16" s="10">
        <f t="shared" si="1"/>
        <v>109.2192</v>
      </c>
      <c r="M16" s="6">
        <f>J16*$B$5</f>
        <v>2700</v>
      </c>
      <c r="N16" s="6">
        <f>G16*$B$6+H16*$B$7</f>
        <v>663</v>
      </c>
    </row>
    <row r="17" spans="4:14" x14ac:dyDescent="0.2">
      <c r="D17" s="4">
        <v>12</v>
      </c>
      <c r="E17" s="4">
        <v>300</v>
      </c>
      <c r="F17" s="10">
        <f t="shared" si="0"/>
        <v>109.2192</v>
      </c>
      <c r="G17" s="4">
        <f>$B$13</f>
        <v>114</v>
      </c>
      <c r="H17" s="10">
        <f>$B$8*SUM(J14:J16)</f>
        <v>140</v>
      </c>
      <c r="I17" s="10">
        <f>F17+G17+H17</f>
        <v>363.2192</v>
      </c>
      <c r="J17" s="10">
        <f>MIN(I17,E17)</f>
        <v>300</v>
      </c>
      <c r="K17" s="10">
        <f t="shared" si="1"/>
        <v>63.219200000000001</v>
      </c>
      <c r="M17" s="6">
        <f>J17*$B$5</f>
        <v>2700</v>
      </c>
      <c r="N17" s="6">
        <f>G17*$B$6+H17*$B$7</f>
        <v>688</v>
      </c>
    </row>
    <row r="18" spans="4:14" x14ac:dyDescent="0.2">
      <c r="D18" s="4">
        <v>13</v>
      </c>
      <c r="E18" s="4">
        <v>300</v>
      </c>
      <c r="F18" s="10">
        <f t="shared" si="0"/>
        <v>63.219200000000001</v>
      </c>
      <c r="G18" s="4">
        <f>$B$13</f>
        <v>114</v>
      </c>
      <c r="H18" s="10">
        <f>$B$8*SUM(J15:J17)</f>
        <v>160</v>
      </c>
      <c r="I18" s="10">
        <f>F18+G18+H18</f>
        <v>337.2192</v>
      </c>
      <c r="J18" s="10">
        <f>MIN(I18,E18)</f>
        <v>300</v>
      </c>
      <c r="K18" s="10">
        <f t="shared" si="1"/>
        <v>37.219200000000001</v>
      </c>
      <c r="M18" s="6">
        <f>J18*$B$5</f>
        <v>2700</v>
      </c>
      <c r="N18" s="6">
        <f>G18*$B$6+H18*$B$7</f>
        <v>713</v>
      </c>
    </row>
    <row r="19" spans="4:14" x14ac:dyDescent="0.2">
      <c r="D19" s="4">
        <v>14</v>
      </c>
      <c r="E19" s="4">
        <v>300</v>
      </c>
      <c r="F19" s="10">
        <f t="shared" si="0"/>
        <v>37.219200000000001</v>
      </c>
      <c r="G19" s="4">
        <f>$B$13</f>
        <v>114</v>
      </c>
      <c r="H19" s="10">
        <f>$B$8*SUM(J16:J18)</f>
        <v>180</v>
      </c>
      <c r="I19" s="10">
        <f>F19+G19+H19</f>
        <v>331.2192</v>
      </c>
      <c r="J19" s="10">
        <f>MIN(I19,E19)</f>
        <v>300</v>
      </c>
      <c r="K19" s="10">
        <f t="shared" si="1"/>
        <v>31.219200000000001</v>
      </c>
      <c r="M19" s="6">
        <f>J19*$B$5</f>
        <v>2700</v>
      </c>
      <c r="N19" s="6">
        <f>G19*$B$6+H19*$B$7</f>
        <v>738</v>
      </c>
    </row>
    <row r="20" spans="4:14" x14ac:dyDescent="0.2">
      <c r="D20" s="4">
        <v>15</v>
      </c>
      <c r="E20" s="4">
        <v>300</v>
      </c>
      <c r="F20" s="10">
        <f t="shared" si="0"/>
        <v>31.219200000000001</v>
      </c>
      <c r="G20" s="4">
        <f>$B$13</f>
        <v>114</v>
      </c>
      <c r="H20" s="10">
        <f>$B$8*SUM(J17:J19)</f>
        <v>180</v>
      </c>
      <c r="I20" s="10">
        <f>F20+G20+H20</f>
        <v>325.2192</v>
      </c>
      <c r="J20" s="10">
        <f>MIN(I20,E20)</f>
        <v>300</v>
      </c>
      <c r="K20" s="10">
        <f t="shared" si="1"/>
        <v>25.219200000000001</v>
      </c>
      <c r="M20" s="6">
        <f>J20*$B$5</f>
        <v>2700</v>
      </c>
      <c r="N20" s="6">
        <f>G20*$B$6+H20*$B$7</f>
        <v>738</v>
      </c>
    </row>
    <row r="21" spans="4:14" x14ac:dyDescent="0.2">
      <c r="D21" s="4">
        <v>16</v>
      </c>
      <c r="E21" s="4">
        <v>300</v>
      </c>
      <c r="F21" s="10">
        <f t="shared" si="0"/>
        <v>25.219200000000001</v>
      </c>
      <c r="G21" s="4">
        <f>$B$13</f>
        <v>114</v>
      </c>
      <c r="H21" s="10">
        <f>$B$8*SUM(J18:J20)</f>
        <v>180</v>
      </c>
      <c r="I21" s="10">
        <f>F21+G21+H21</f>
        <v>319.2192</v>
      </c>
      <c r="J21" s="10">
        <f>MIN(I21,E21)</f>
        <v>300</v>
      </c>
      <c r="K21" s="10">
        <f t="shared" si="1"/>
        <v>19.219200000000001</v>
      </c>
      <c r="M21" s="6">
        <f>J21*$B$5</f>
        <v>2700</v>
      </c>
      <c r="N21" s="6">
        <f>G21*$B$6+H21*$B$7</f>
        <v>738</v>
      </c>
    </row>
    <row r="22" spans="4:14" x14ac:dyDescent="0.2">
      <c r="D22" s="4">
        <v>17</v>
      </c>
      <c r="E22" s="4">
        <v>300</v>
      </c>
      <c r="F22" s="10">
        <f t="shared" si="0"/>
        <v>19.219200000000001</v>
      </c>
      <c r="G22" s="4">
        <f>$B$13</f>
        <v>114</v>
      </c>
      <c r="H22" s="10">
        <f>$B$8*SUM(J19:J21)</f>
        <v>180</v>
      </c>
      <c r="I22" s="10">
        <f>F22+G22+H22</f>
        <v>313.2192</v>
      </c>
      <c r="J22" s="10">
        <f>MIN(I22,E22)</f>
        <v>300</v>
      </c>
      <c r="K22" s="10">
        <f t="shared" si="1"/>
        <v>13.219200000000001</v>
      </c>
      <c r="M22" s="6">
        <f>J22*$B$5</f>
        <v>2700</v>
      </c>
      <c r="N22" s="6">
        <f>G22*$B$6+H22*$B$7</f>
        <v>738</v>
      </c>
    </row>
    <row r="23" spans="4:14" x14ac:dyDescent="0.2">
      <c r="D23" s="4">
        <v>18</v>
      </c>
      <c r="E23" s="4">
        <v>300</v>
      </c>
      <c r="F23" s="10">
        <f t="shared" si="0"/>
        <v>13.219200000000001</v>
      </c>
      <c r="G23" s="4">
        <f>$B$13</f>
        <v>114</v>
      </c>
      <c r="H23" s="10">
        <f>$B$8*SUM(J20:J22)</f>
        <v>180</v>
      </c>
      <c r="I23" s="10">
        <f>F23+G23+H23</f>
        <v>307.2192</v>
      </c>
      <c r="J23" s="10">
        <f>MIN(I23,E23)</f>
        <v>300</v>
      </c>
      <c r="K23" s="10">
        <f t="shared" si="1"/>
        <v>7.2192000000000007</v>
      </c>
      <c r="M23" s="6">
        <f>J23*$B$5</f>
        <v>2700</v>
      </c>
      <c r="N23" s="6">
        <f>G23*$B$6+H23*$B$7</f>
        <v>738</v>
      </c>
    </row>
    <row r="24" spans="4:14" x14ac:dyDescent="0.2">
      <c r="D24" s="4">
        <v>19</v>
      </c>
      <c r="E24" s="4">
        <v>300</v>
      </c>
      <c r="F24" s="10">
        <f t="shared" si="0"/>
        <v>7.2192000000000007</v>
      </c>
      <c r="G24" s="4">
        <f>$B$13</f>
        <v>114</v>
      </c>
      <c r="H24" s="10">
        <f>$B$8*SUM(J21:J23)</f>
        <v>180</v>
      </c>
      <c r="I24" s="10">
        <f>F24+G24+H24</f>
        <v>301.2192</v>
      </c>
      <c r="J24" s="10">
        <f>MIN(I24,E24)</f>
        <v>300</v>
      </c>
      <c r="K24" s="10">
        <f t="shared" si="1"/>
        <v>1.2192000000000007</v>
      </c>
      <c r="M24" s="6">
        <f>J24*$B$5</f>
        <v>2700</v>
      </c>
      <c r="N24" s="6">
        <f>G24*$B$6+H24*$B$7</f>
        <v>738</v>
      </c>
    </row>
    <row r="25" spans="4:14" x14ac:dyDescent="0.2">
      <c r="D25" s="4">
        <v>20</v>
      </c>
      <c r="E25" s="4">
        <v>300</v>
      </c>
      <c r="F25" s="10">
        <f t="shared" si="0"/>
        <v>1.2192000000000007</v>
      </c>
      <c r="G25" s="4">
        <f>$B$13</f>
        <v>114</v>
      </c>
      <c r="H25" s="10">
        <f>$B$8*SUM(J22:J24)</f>
        <v>180</v>
      </c>
      <c r="I25" s="10">
        <f>F25+G25+H25</f>
        <v>295.2192</v>
      </c>
      <c r="J25" s="10">
        <f>MIN(I25,E25)</f>
        <v>295.2192</v>
      </c>
      <c r="K25" s="10">
        <f t="shared" si="1"/>
        <v>0</v>
      </c>
      <c r="M25" s="6">
        <f>J25*$B$5</f>
        <v>2656.9728</v>
      </c>
      <c r="N25" s="6">
        <f>G25*$B$6+H25*$B$7</f>
        <v>738</v>
      </c>
    </row>
    <row r="27" spans="4:14" x14ac:dyDescent="0.2">
      <c r="M27" s="1" t="s">
        <v>8</v>
      </c>
      <c r="N27" s="6">
        <f>SUM(M6:M25)</f>
        <v>43264.540800000002</v>
      </c>
    </row>
    <row r="28" spans="4:14" x14ac:dyDescent="0.2">
      <c r="M28" s="1" t="s">
        <v>9</v>
      </c>
      <c r="N28" s="6">
        <f>SUM(N6:N25)</f>
        <v>13418.964</v>
      </c>
    </row>
    <row r="29" spans="4:14" x14ac:dyDescent="0.2">
      <c r="M29" s="1" t="s">
        <v>10</v>
      </c>
      <c r="N29" s="6">
        <f>N27-N28</f>
        <v>29845.576800000003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C9F3F-0880-EA4C-893B-2D580B3F8A40}">
  <dimension ref="A1:N29"/>
  <sheetViews>
    <sheetView showGridLines="0" zoomScale="150" zoomScaleNormal="150" workbookViewId="0">
      <selection activeCell="B9" sqref="B9"/>
    </sheetView>
  </sheetViews>
  <sheetFormatPr baseColWidth="10" defaultRowHeight="16" x14ac:dyDescent="0.2"/>
  <cols>
    <col min="1" max="1" width="27.83203125" customWidth="1"/>
    <col min="2" max="14" width="10.83203125" customWidth="1"/>
    <col min="15" max="15" width="12.6640625" customWidth="1"/>
    <col min="16" max="16" width="15.83203125" customWidth="1"/>
  </cols>
  <sheetData>
    <row r="1" spans="1:14" x14ac:dyDescent="0.2">
      <c r="A1" t="s">
        <v>21</v>
      </c>
    </row>
    <row r="3" spans="1:14" x14ac:dyDescent="0.2">
      <c r="A3" s="11" t="s">
        <v>32</v>
      </c>
      <c r="D3" s="11" t="s">
        <v>34</v>
      </c>
    </row>
    <row r="4" spans="1:14" x14ac:dyDescent="0.2">
      <c r="E4" s="3" t="s">
        <v>29</v>
      </c>
      <c r="F4" s="3" t="s">
        <v>22</v>
      </c>
      <c r="G4" s="3" t="s">
        <v>24</v>
      </c>
      <c r="H4" s="3" t="s">
        <v>26</v>
      </c>
      <c r="I4" s="3" t="s">
        <v>1</v>
      </c>
      <c r="J4" s="3" t="s">
        <v>26</v>
      </c>
      <c r="K4" s="3" t="s">
        <v>28</v>
      </c>
      <c r="M4" s="3" t="s">
        <v>30</v>
      </c>
      <c r="N4" s="3" t="s">
        <v>11</v>
      </c>
    </row>
    <row r="5" spans="1:14" x14ac:dyDescent="0.2">
      <c r="A5" s="5" t="s">
        <v>4</v>
      </c>
      <c r="B5" s="6">
        <v>9</v>
      </c>
      <c r="D5" s="3" t="s">
        <v>11</v>
      </c>
      <c r="E5" s="3" t="s">
        <v>3</v>
      </c>
      <c r="F5" s="3" t="s">
        <v>23</v>
      </c>
      <c r="G5" s="3" t="s">
        <v>25</v>
      </c>
      <c r="H5" s="3" t="s">
        <v>0</v>
      </c>
      <c r="I5" s="3" t="s">
        <v>27</v>
      </c>
      <c r="J5" s="3" t="s">
        <v>2</v>
      </c>
      <c r="K5" s="3" t="s">
        <v>23</v>
      </c>
      <c r="M5" s="3" t="s">
        <v>31</v>
      </c>
      <c r="N5" s="3" t="s">
        <v>6</v>
      </c>
    </row>
    <row r="6" spans="1:14" x14ac:dyDescent="0.2">
      <c r="A6" s="5" t="s">
        <v>5</v>
      </c>
      <c r="B6" s="7">
        <v>4.5</v>
      </c>
      <c r="D6" s="4">
        <v>1</v>
      </c>
      <c r="E6" s="4">
        <v>200</v>
      </c>
      <c r="F6" s="10">
        <v>0</v>
      </c>
      <c r="G6" s="4">
        <f>$B$13</f>
        <v>84</v>
      </c>
      <c r="H6" s="4">
        <v>0</v>
      </c>
      <c r="I6" s="10">
        <f>F6+G6+H6</f>
        <v>84</v>
      </c>
      <c r="J6" s="10">
        <f>MIN(I6,E6)</f>
        <v>84</v>
      </c>
      <c r="K6" s="4">
        <f>I6-J6</f>
        <v>0</v>
      </c>
      <c r="M6" s="6">
        <f>J6*$B$5</f>
        <v>756</v>
      </c>
      <c r="N6" s="6">
        <f>G6*$B$6+H6*$B$7</f>
        <v>378</v>
      </c>
    </row>
    <row r="7" spans="1:14" x14ac:dyDescent="0.2">
      <c r="A7" s="5" t="s">
        <v>7</v>
      </c>
      <c r="B7" s="7">
        <v>1.25</v>
      </c>
      <c r="D7" s="4">
        <v>2</v>
      </c>
      <c r="E7" s="4">
        <v>200</v>
      </c>
      <c r="F7" s="10">
        <f>K6</f>
        <v>0</v>
      </c>
      <c r="G7" s="4">
        <f>$B$13</f>
        <v>84</v>
      </c>
      <c r="H7" s="10">
        <f>$B$8*J6</f>
        <v>21</v>
      </c>
      <c r="I7" s="10">
        <f>F7+G7+H7</f>
        <v>105</v>
      </c>
      <c r="J7" s="10">
        <f>MIN(I7,E7)</f>
        <v>105</v>
      </c>
      <c r="K7" s="10">
        <f>I7-J7</f>
        <v>0</v>
      </c>
      <c r="M7" s="6">
        <f>J7*$B$5</f>
        <v>945</v>
      </c>
      <c r="N7" s="6">
        <f>G7*$B$6+H7*$B$7</f>
        <v>404.25</v>
      </c>
    </row>
    <row r="8" spans="1:14" x14ac:dyDescent="0.2">
      <c r="A8" s="5" t="s">
        <v>35</v>
      </c>
      <c r="B8" s="8">
        <v>0.25</v>
      </c>
      <c r="D8" s="4">
        <v>3</v>
      </c>
      <c r="E8" s="4">
        <v>200</v>
      </c>
      <c r="F8" s="10">
        <f t="shared" ref="F8:F25" si="0">K7</f>
        <v>0</v>
      </c>
      <c r="G8" s="4">
        <f>$B$13</f>
        <v>84</v>
      </c>
      <c r="H8" s="10">
        <f>$B$8*SUM(J6:J7)</f>
        <v>47.25</v>
      </c>
      <c r="I8" s="10">
        <f>F8+G8+H8</f>
        <v>131.25</v>
      </c>
      <c r="J8" s="10">
        <f>MIN(I8,E8)</f>
        <v>131.25</v>
      </c>
      <c r="K8" s="10">
        <f t="shared" ref="K8:K25" si="1">I8-J8</f>
        <v>0</v>
      </c>
      <c r="M8" s="6">
        <f>J8*$B$5</f>
        <v>1181.25</v>
      </c>
      <c r="N8" s="6">
        <f>G8*$B$6+H8*$B$7</f>
        <v>437.0625</v>
      </c>
    </row>
    <row r="9" spans="1:14" x14ac:dyDescent="0.2">
      <c r="A9" s="5" t="s">
        <v>19</v>
      </c>
      <c r="B9" s="4">
        <v>3</v>
      </c>
      <c r="D9" s="4">
        <v>4</v>
      </c>
      <c r="E9" s="4">
        <v>200</v>
      </c>
      <c r="F9" s="10">
        <f t="shared" si="0"/>
        <v>0</v>
      </c>
      <c r="G9" s="4">
        <f>$B$13</f>
        <v>84</v>
      </c>
      <c r="H9" s="10">
        <f>$B$8*SUM(J6:J8)</f>
        <v>80.0625</v>
      </c>
      <c r="I9" s="10">
        <f>F9+G9+H9</f>
        <v>164.0625</v>
      </c>
      <c r="J9" s="10">
        <f>MIN(I9,E9)</f>
        <v>164.0625</v>
      </c>
      <c r="K9" s="10">
        <f t="shared" si="1"/>
        <v>0</v>
      </c>
      <c r="M9" s="6">
        <f>J9*$B$5</f>
        <v>1476.5625</v>
      </c>
      <c r="N9" s="6">
        <f>G9*$B$6+H9*$B$7</f>
        <v>478.078125</v>
      </c>
    </row>
    <row r="10" spans="1:14" x14ac:dyDescent="0.2">
      <c r="D10" s="4">
        <v>5</v>
      </c>
      <c r="E10" s="4">
        <v>200</v>
      </c>
      <c r="F10" s="10">
        <f t="shared" si="0"/>
        <v>0</v>
      </c>
      <c r="G10" s="4">
        <f>$B$13</f>
        <v>84</v>
      </c>
      <c r="H10" s="10">
        <f>$B$8*SUM(J7:J9)</f>
        <v>100.078125</v>
      </c>
      <c r="I10" s="10">
        <f>F10+G10+H10</f>
        <v>184.078125</v>
      </c>
      <c r="J10" s="10">
        <f>MIN(I10,E10)</f>
        <v>184.078125</v>
      </c>
      <c r="K10" s="10">
        <f t="shared" si="1"/>
        <v>0</v>
      </c>
      <c r="M10" s="6">
        <f>J10*$B$5</f>
        <v>1656.703125</v>
      </c>
      <c r="N10" s="6">
        <f>G10*$B$6+H10*$B$7</f>
        <v>503.09765625</v>
      </c>
    </row>
    <row r="11" spans="1:14" x14ac:dyDescent="0.2">
      <c r="A11" s="12" t="s">
        <v>33</v>
      </c>
      <c r="D11" s="4">
        <v>6</v>
      </c>
      <c r="E11" s="4">
        <v>200</v>
      </c>
      <c r="F11" s="10">
        <f t="shared" si="0"/>
        <v>0</v>
      </c>
      <c r="G11" s="4">
        <f>$B$13</f>
        <v>84</v>
      </c>
      <c r="H11" s="10">
        <f>$B$8*SUM(J8:J10)</f>
        <v>119.84765625</v>
      </c>
      <c r="I11" s="10">
        <f>F11+G11+H11</f>
        <v>203.84765625</v>
      </c>
      <c r="J11" s="10">
        <f>MIN(I11,E11)</f>
        <v>200</v>
      </c>
      <c r="K11" s="10">
        <f t="shared" si="1"/>
        <v>3.84765625</v>
      </c>
      <c r="M11" s="6">
        <f>J11*$B$5</f>
        <v>1800</v>
      </c>
      <c r="N11" s="6">
        <f>G11*$B$6+H11*$B$7</f>
        <v>527.8095703125</v>
      </c>
    </row>
    <row r="12" spans="1:14" x14ac:dyDescent="0.2">
      <c r="D12" s="4">
        <v>7</v>
      </c>
      <c r="E12" s="4">
        <v>200</v>
      </c>
      <c r="F12" s="10">
        <f t="shared" si="0"/>
        <v>3.84765625</v>
      </c>
      <c r="G12" s="4">
        <f>$B$13</f>
        <v>84</v>
      </c>
      <c r="H12" s="10">
        <f>$B$8*SUM(J9:J11)</f>
        <v>137.03515625</v>
      </c>
      <c r="I12" s="10">
        <f>F12+G12+H12</f>
        <v>224.8828125</v>
      </c>
      <c r="J12" s="10">
        <f>MIN(I12,E12)</f>
        <v>200</v>
      </c>
      <c r="K12" s="10">
        <f t="shared" si="1"/>
        <v>24.8828125</v>
      </c>
      <c r="M12" s="6">
        <f>J12*$B$5</f>
        <v>1800</v>
      </c>
      <c r="N12" s="6">
        <f>G12*$B$6+H12*$B$7</f>
        <v>549.2939453125</v>
      </c>
    </row>
    <row r="13" spans="1:14" x14ac:dyDescent="0.2">
      <c r="A13" s="1" t="s">
        <v>20</v>
      </c>
      <c r="B13" s="9">
        <v>84</v>
      </c>
      <c r="D13" s="4">
        <v>8</v>
      </c>
      <c r="E13" s="4">
        <v>200</v>
      </c>
      <c r="F13" s="10">
        <f t="shared" si="0"/>
        <v>24.8828125</v>
      </c>
      <c r="G13" s="4">
        <f>$B$13</f>
        <v>84</v>
      </c>
      <c r="H13" s="10">
        <f>$B$8*SUM(J10:J12)</f>
        <v>146.01953125</v>
      </c>
      <c r="I13" s="10">
        <f>F13+G13+H13</f>
        <v>254.90234375</v>
      </c>
      <c r="J13" s="10">
        <f>MIN(I13,E13)</f>
        <v>200</v>
      </c>
      <c r="K13" s="10">
        <f t="shared" si="1"/>
        <v>54.90234375</v>
      </c>
      <c r="M13" s="6">
        <f>J13*$B$5</f>
        <v>1800</v>
      </c>
      <c r="N13" s="6">
        <f>G13*$B$6+H13*$B$7</f>
        <v>560.5244140625</v>
      </c>
    </row>
    <row r="14" spans="1:14" x14ac:dyDescent="0.2">
      <c r="D14" s="4">
        <v>9</v>
      </c>
      <c r="E14" s="4">
        <v>200</v>
      </c>
      <c r="F14" s="10">
        <f t="shared" si="0"/>
        <v>54.90234375</v>
      </c>
      <c r="G14" s="4">
        <f>$B$13</f>
        <v>84</v>
      </c>
      <c r="H14" s="10">
        <f>$B$8*SUM(J11:J13)</f>
        <v>150</v>
      </c>
      <c r="I14" s="10">
        <f>F14+G14+H14</f>
        <v>288.90234375</v>
      </c>
      <c r="J14" s="10">
        <f>MIN(I14,E14)</f>
        <v>200</v>
      </c>
      <c r="K14" s="10">
        <f t="shared" si="1"/>
        <v>88.90234375</v>
      </c>
      <c r="M14" s="6">
        <f>J14*$B$5</f>
        <v>1800</v>
      </c>
      <c r="N14" s="6">
        <f>G14*$B$6+H14*$B$7</f>
        <v>565.5</v>
      </c>
    </row>
    <row r="15" spans="1:14" x14ac:dyDescent="0.2">
      <c r="D15" s="4">
        <v>10</v>
      </c>
      <c r="E15" s="4">
        <v>200</v>
      </c>
      <c r="F15" s="10">
        <f t="shared" si="0"/>
        <v>88.90234375</v>
      </c>
      <c r="G15" s="4">
        <f>$B$13</f>
        <v>84</v>
      </c>
      <c r="H15" s="10">
        <f>$B$8*SUM(J12:J14)</f>
        <v>150</v>
      </c>
      <c r="I15" s="10">
        <f>F15+G15+H15</f>
        <v>322.90234375</v>
      </c>
      <c r="J15" s="10">
        <f>MIN(I15,E15)</f>
        <v>200</v>
      </c>
      <c r="K15" s="10">
        <f t="shared" si="1"/>
        <v>122.90234375</v>
      </c>
      <c r="M15" s="6">
        <f>J15*$B$5</f>
        <v>1800</v>
      </c>
      <c r="N15" s="6">
        <f>G15*$B$6+H15*$B$7</f>
        <v>565.5</v>
      </c>
    </row>
    <row r="16" spans="1:14" x14ac:dyDescent="0.2">
      <c r="D16" s="4">
        <v>11</v>
      </c>
      <c r="E16" s="4">
        <v>300</v>
      </c>
      <c r="F16" s="10">
        <f t="shared" si="0"/>
        <v>122.90234375</v>
      </c>
      <c r="G16" s="4">
        <f>$B$13</f>
        <v>84</v>
      </c>
      <c r="H16" s="10">
        <f>$B$8*SUM(J13:J15)</f>
        <v>150</v>
      </c>
      <c r="I16" s="10">
        <f>F16+G16+H16</f>
        <v>356.90234375</v>
      </c>
      <c r="J16" s="10">
        <f>MIN(I16,E16)</f>
        <v>300</v>
      </c>
      <c r="K16" s="10">
        <f t="shared" si="1"/>
        <v>56.90234375</v>
      </c>
      <c r="M16" s="6">
        <f>J16*$B$5</f>
        <v>2700</v>
      </c>
      <c r="N16" s="6">
        <f>G16*$B$6+H16*$B$7</f>
        <v>565.5</v>
      </c>
    </row>
    <row r="17" spans="4:14" x14ac:dyDescent="0.2">
      <c r="D17" s="4">
        <v>12</v>
      </c>
      <c r="E17" s="4">
        <v>300</v>
      </c>
      <c r="F17" s="10">
        <f t="shared" si="0"/>
        <v>56.90234375</v>
      </c>
      <c r="G17" s="4">
        <f>$B$13</f>
        <v>84</v>
      </c>
      <c r="H17" s="10">
        <f>$B$8*SUM(J14:J16)</f>
        <v>175</v>
      </c>
      <c r="I17" s="10">
        <f>F17+G17+H17</f>
        <v>315.90234375</v>
      </c>
      <c r="J17" s="10">
        <f>MIN(I17,E17)</f>
        <v>300</v>
      </c>
      <c r="K17" s="10">
        <f t="shared" si="1"/>
        <v>15.90234375</v>
      </c>
      <c r="M17" s="6">
        <f>J17*$B$5</f>
        <v>2700</v>
      </c>
      <c r="N17" s="6">
        <f>G17*$B$6+H17*$B$7</f>
        <v>596.75</v>
      </c>
    </row>
    <row r="18" spans="4:14" x14ac:dyDescent="0.2">
      <c r="D18" s="4">
        <v>13</v>
      </c>
      <c r="E18" s="4">
        <v>300</v>
      </c>
      <c r="F18" s="10">
        <f t="shared" si="0"/>
        <v>15.90234375</v>
      </c>
      <c r="G18" s="4">
        <f>$B$13</f>
        <v>84</v>
      </c>
      <c r="H18" s="10">
        <f>$B$8*SUM(J15:J17)</f>
        <v>200</v>
      </c>
      <c r="I18" s="10">
        <f>F18+G18+H18</f>
        <v>299.90234375</v>
      </c>
      <c r="J18" s="10">
        <f>MIN(I18,E18)</f>
        <v>299.90234375</v>
      </c>
      <c r="K18" s="10">
        <f t="shared" si="1"/>
        <v>0</v>
      </c>
      <c r="M18" s="6">
        <f>J18*$B$5</f>
        <v>2699.12109375</v>
      </c>
      <c r="N18" s="6">
        <f>G18*$B$6+H18*$B$7</f>
        <v>628</v>
      </c>
    </row>
    <row r="19" spans="4:14" x14ac:dyDescent="0.2">
      <c r="D19" s="4">
        <v>14</v>
      </c>
      <c r="E19" s="4">
        <v>300</v>
      </c>
      <c r="F19" s="10">
        <f t="shared" si="0"/>
        <v>0</v>
      </c>
      <c r="G19" s="4">
        <f>$B$13</f>
        <v>84</v>
      </c>
      <c r="H19" s="10">
        <f>$B$8*SUM(J16:J18)</f>
        <v>224.9755859375</v>
      </c>
      <c r="I19" s="10">
        <f>F19+G19+H19</f>
        <v>308.9755859375</v>
      </c>
      <c r="J19" s="10">
        <f>MIN(I19,E19)</f>
        <v>300</v>
      </c>
      <c r="K19" s="10">
        <f t="shared" si="1"/>
        <v>8.9755859375</v>
      </c>
      <c r="M19" s="6">
        <f>J19*$B$5</f>
        <v>2700</v>
      </c>
      <c r="N19" s="6">
        <f>G19*$B$6+H19*$B$7</f>
        <v>659.219482421875</v>
      </c>
    </row>
    <row r="20" spans="4:14" x14ac:dyDescent="0.2">
      <c r="D20" s="4">
        <v>15</v>
      </c>
      <c r="E20" s="4">
        <v>300</v>
      </c>
      <c r="F20" s="10">
        <f t="shared" si="0"/>
        <v>8.9755859375</v>
      </c>
      <c r="G20" s="4">
        <f>$B$13</f>
        <v>84</v>
      </c>
      <c r="H20" s="10">
        <f>$B$8*SUM(J17:J19)</f>
        <v>224.9755859375</v>
      </c>
      <c r="I20" s="10">
        <f>F20+G20+H20</f>
        <v>317.951171875</v>
      </c>
      <c r="J20" s="10">
        <f>MIN(I20,E20)</f>
        <v>300</v>
      </c>
      <c r="K20" s="10">
        <f t="shared" si="1"/>
        <v>17.951171875</v>
      </c>
      <c r="M20" s="6">
        <f>J20*$B$5</f>
        <v>2700</v>
      </c>
      <c r="N20" s="6">
        <f>G20*$B$6+H20*$B$7</f>
        <v>659.219482421875</v>
      </c>
    </row>
    <row r="21" spans="4:14" x14ac:dyDescent="0.2">
      <c r="D21" s="4">
        <v>16</v>
      </c>
      <c r="E21" s="4">
        <v>300</v>
      </c>
      <c r="F21" s="10">
        <f t="shared" si="0"/>
        <v>17.951171875</v>
      </c>
      <c r="G21" s="4">
        <f>$B$13</f>
        <v>84</v>
      </c>
      <c r="H21" s="10">
        <f>$B$8*SUM(J18:J20)</f>
        <v>224.9755859375</v>
      </c>
      <c r="I21" s="10">
        <f>F21+G21+H21</f>
        <v>326.9267578125</v>
      </c>
      <c r="J21" s="10">
        <f>MIN(I21,E21)</f>
        <v>300</v>
      </c>
      <c r="K21" s="10">
        <f t="shared" si="1"/>
        <v>26.9267578125</v>
      </c>
      <c r="M21" s="6">
        <f>J21*$B$5</f>
        <v>2700</v>
      </c>
      <c r="N21" s="6">
        <f>G21*$B$6+H21*$B$7</f>
        <v>659.219482421875</v>
      </c>
    </row>
    <row r="22" spans="4:14" x14ac:dyDescent="0.2">
      <c r="D22" s="4">
        <v>17</v>
      </c>
      <c r="E22" s="4">
        <v>300</v>
      </c>
      <c r="F22" s="10">
        <f t="shared" si="0"/>
        <v>26.9267578125</v>
      </c>
      <c r="G22" s="4">
        <f>$B$13</f>
        <v>84</v>
      </c>
      <c r="H22" s="10">
        <f>$B$8*SUM(J19:J21)</f>
        <v>225</v>
      </c>
      <c r="I22" s="10">
        <f>F22+G22+H22</f>
        <v>335.9267578125</v>
      </c>
      <c r="J22" s="10">
        <f>MIN(I22,E22)</f>
        <v>300</v>
      </c>
      <c r="K22" s="10">
        <f t="shared" si="1"/>
        <v>35.9267578125</v>
      </c>
      <c r="M22" s="6">
        <f>J22*$B$5</f>
        <v>2700</v>
      </c>
      <c r="N22" s="6">
        <f>G22*$B$6+H22*$B$7</f>
        <v>659.25</v>
      </c>
    </row>
    <row r="23" spans="4:14" x14ac:dyDescent="0.2">
      <c r="D23" s="4">
        <v>18</v>
      </c>
      <c r="E23" s="4">
        <v>300</v>
      </c>
      <c r="F23" s="10">
        <f t="shared" si="0"/>
        <v>35.9267578125</v>
      </c>
      <c r="G23" s="4">
        <f>$B$13</f>
        <v>84</v>
      </c>
      <c r="H23" s="10">
        <f>$B$8*SUM(J20:J22)</f>
        <v>225</v>
      </c>
      <c r="I23" s="10">
        <f>F23+G23+H23</f>
        <v>344.9267578125</v>
      </c>
      <c r="J23" s="10">
        <f>MIN(I23,E23)</f>
        <v>300</v>
      </c>
      <c r="K23" s="10">
        <f t="shared" si="1"/>
        <v>44.9267578125</v>
      </c>
      <c r="M23" s="6">
        <f>J23*$B$5</f>
        <v>2700</v>
      </c>
      <c r="N23" s="6">
        <f>G23*$B$6+H23*$B$7</f>
        <v>659.25</v>
      </c>
    </row>
    <row r="24" spans="4:14" x14ac:dyDescent="0.2">
      <c r="D24" s="4">
        <v>19</v>
      </c>
      <c r="E24" s="4">
        <v>300</v>
      </c>
      <c r="F24" s="10">
        <f t="shared" si="0"/>
        <v>44.9267578125</v>
      </c>
      <c r="G24" s="4">
        <f>$B$13</f>
        <v>84</v>
      </c>
      <c r="H24" s="10">
        <f>$B$8*SUM(J21:J23)</f>
        <v>225</v>
      </c>
      <c r="I24" s="10">
        <f>F24+G24+H24</f>
        <v>353.9267578125</v>
      </c>
      <c r="J24" s="10">
        <f>MIN(I24,E24)</f>
        <v>300</v>
      </c>
      <c r="K24" s="10">
        <f t="shared" si="1"/>
        <v>53.9267578125</v>
      </c>
      <c r="M24" s="6">
        <f>J24*$B$5</f>
        <v>2700</v>
      </c>
      <c r="N24" s="6">
        <f>G24*$B$6+H24*$B$7</f>
        <v>659.25</v>
      </c>
    </row>
    <row r="25" spans="4:14" x14ac:dyDescent="0.2">
      <c r="D25" s="4">
        <v>20</v>
      </c>
      <c r="E25" s="4">
        <v>300</v>
      </c>
      <c r="F25" s="10">
        <f t="shared" si="0"/>
        <v>53.9267578125</v>
      </c>
      <c r="G25" s="4">
        <f>$B$13</f>
        <v>84</v>
      </c>
      <c r="H25" s="10">
        <f>$B$8*SUM(J22:J24)</f>
        <v>225</v>
      </c>
      <c r="I25" s="10">
        <f>F25+G25+H25</f>
        <v>362.9267578125</v>
      </c>
      <c r="J25" s="10">
        <f>MIN(I25,E25)</f>
        <v>300</v>
      </c>
      <c r="K25" s="10">
        <f t="shared" si="1"/>
        <v>62.9267578125</v>
      </c>
      <c r="M25" s="6">
        <f>J25*$B$5</f>
        <v>2700</v>
      </c>
      <c r="N25" s="6">
        <f>G25*$B$6+H25*$B$7</f>
        <v>659.25</v>
      </c>
    </row>
    <row r="27" spans="4:14" x14ac:dyDescent="0.2">
      <c r="M27" s="1" t="s">
        <v>8</v>
      </c>
      <c r="N27" s="6">
        <f>SUM(M6:M25)</f>
        <v>42014.63671875</v>
      </c>
    </row>
    <row r="28" spans="4:14" x14ac:dyDescent="0.2">
      <c r="M28" s="1" t="s">
        <v>9</v>
      </c>
      <c r="N28" s="6">
        <f>SUM(N6:N25)</f>
        <v>11374.024658203125</v>
      </c>
    </row>
    <row r="29" spans="4:14" x14ac:dyDescent="0.2">
      <c r="M29" s="1" t="s">
        <v>10</v>
      </c>
      <c r="N29" s="6">
        <f>N27-N28</f>
        <v>30640.612060546875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9D2AD-5A75-3240-B53F-7B9A525437E4}">
  <dimension ref="A1:N29"/>
  <sheetViews>
    <sheetView showGridLines="0" zoomScale="150" zoomScaleNormal="150" workbookViewId="0">
      <selection activeCell="B9" sqref="B9"/>
    </sheetView>
  </sheetViews>
  <sheetFormatPr baseColWidth="10" defaultRowHeight="16" x14ac:dyDescent="0.2"/>
  <cols>
    <col min="1" max="1" width="27.83203125" customWidth="1"/>
    <col min="2" max="14" width="10.83203125" customWidth="1"/>
    <col min="15" max="15" width="12.6640625" customWidth="1"/>
    <col min="16" max="16" width="15.83203125" customWidth="1"/>
  </cols>
  <sheetData>
    <row r="1" spans="1:14" x14ac:dyDescent="0.2">
      <c r="A1" t="s">
        <v>21</v>
      </c>
    </row>
    <row r="3" spans="1:14" x14ac:dyDescent="0.2">
      <c r="A3" s="11" t="s">
        <v>32</v>
      </c>
      <c r="D3" s="11" t="s">
        <v>34</v>
      </c>
    </row>
    <row r="4" spans="1:14" x14ac:dyDescent="0.2">
      <c r="E4" s="3" t="s">
        <v>29</v>
      </c>
      <c r="F4" s="3" t="s">
        <v>22</v>
      </c>
      <c r="G4" s="3" t="s">
        <v>24</v>
      </c>
      <c r="H4" s="3" t="s">
        <v>26</v>
      </c>
      <c r="I4" s="3" t="s">
        <v>1</v>
      </c>
      <c r="J4" s="3" t="s">
        <v>26</v>
      </c>
      <c r="K4" s="3" t="s">
        <v>28</v>
      </c>
      <c r="M4" s="3" t="s">
        <v>30</v>
      </c>
      <c r="N4" s="3" t="s">
        <v>11</v>
      </c>
    </row>
    <row r="5" spans="1:14" x14ac:dyDescent="0.2">
      <c r="A5" s="5" t="s">
        <v>4</v>
      </c>
      <c r="B5" s="6">
        <v>9</v>
      </c>
      <c r="D5" s="3" t="s">
        <v>11</v>
      </c>
      <c r="E5" s="3" t="s">
        <v>3</v>
      </c>
      <c r="F5" s="3" t="s">
        <v>23</v>
      </c>
      <c r="G5" s="3" t="s">
        <v>25</v>
      </c>
      <c r="H5" s="3" t="s">
        <v>0</v>
      </c>
      <c r="I5" s="3" t="s">
        <v>27</v>
      </c>
      <c r="J5" s="3" t="s">
        <v>2</v>
      </c>
      <c r="K5" s="3" t="s">
        <v>23</v>
      </c>
      <c r="M5" s="3" t="s">
        <v>31</v>
      </c>
      <c r="N5" s="3" t="s">
        <v>6</v>
      </c>
    </row>
    <row r="6" spans="1:14" x14ac:dyDescent="0.2">
      <c r="A6" s="5" t="s">
        <v>5</v>
      </c>
      <c r="B6" s="7">
        <v>4.5</v>
      </c>
      <c r="D6" s="4">
        <v>1</v>
      </c>
      <c r="E6" s="4">
        <v>200</v>
      </c>
      <c r="F6" s="10">
        <v>0</v>
      </c>
      <c r="G6" s="4">
        <f>$B$13</f>
        <v>68</v>
      </c>
      <c r="H6" s="4">
        <v>0</v>
      </c>
      <c r="I6" s="10">
        <f>F6+G6+H6</f>
        <v>68</v>
      </c>
      <c r="J6" s="10">
        <f>MIN(I6,E6)</f>
        <v>68</v>
      </c>
      <c r="K6" s="4">
        <f>I6-J6</f>
        <v>0</v>
      </c>
      <c r="M6" s="6">
        <f>J6*$B$5</f>
        <v>612</v>
      </c>
      <c r="N6" s="6">
        <f>G6*$B$6+H6*$B$7</f>
        <v>306</v>
      </c>
    </row>
    <row r="7" spans="1:14" x14ac:dyDescent="0.2">
      <c r="A7" s="5" t="s">
        <v>7</v>
      </c>
      <c r="B7" s="7">
        <v>1.25</v>
      </c>
      <c r="D7" s="4">
        <v>2</v>
      </c>
      <c r="E7" s="4">
        <v>200</v>
      </c>
      <c r="F7" s="10">
        <f>K6</f>
        <v>0</v>
      </c>
      <c r="G7" s="4">
        <f>$B$13</f>
        <v>68</v>
      </c>
      <c r="H7" s="10">
        <f>$B$8*J6</f>
        <v>20.399999999999999</v>
      </c>
      <c r="I7" s="10">
        <f>F7+G7+H7</f>
        <v>88.4</v>
      </c>
      <c r="J7" s="10">
        <f>MIN(I7,E7)</f>
        <v>88.4</v>
      </c>
      <c r="K7" s="10">
        <f>I7-J7</f>
        <v>0</v>
      </c>
      <c r="M7" s="6">
        <f>J7*$B$5</f>
        <v>795.6</v>
      </c>
      <c r="N7" s="6">
        <f>G7*$B$6+H7*$B$7</f>
        <v>331.5</v>
      </c>
    </row>
    <row r="8" spans="1:14" x14ac:dyDescent="0.2">
      <c r="A8" s="5" t="s">
        <v>35</v>
      </c>
      <c r="B8" s="8">
        <v>0.3</v>
      </c>
      <c r="D8" s="4">
        <v>3</v>
      </c>
      <c r="E8" s="4">
        <v>200</v>
      </c>
      <c r="F8" s="10">
        <f t="shared" ref="F8:F25" si="0">K7</f>
        <v>0</v>
      </c>
      <c r="G8" s="4">
        <f>$B$13</f>
        <v>68</v>
      </c>
      <c r="H8" s="10">
        <f>$B$8*SUM(J6:J7)</f>
        <v>46.92</v>
      </c>
      <c r="I8" s="10">
        <f>F8+G8+H8</f>
        <v>114.92</v>
      </c>
      <c r="J8" s="10">
        <f>MIN(I8,E8)</f>
        <v>114.92</v>
      </c>
      <c r="K8" s="10">
        <f t="shared" ref="K8:K25" si="1">I8-J8</f>
        <v>0</v>
      </c>
      <c r="M8" s="6">
        <f>J8*$B$5</f>
        <v>1034.28</v>
      </c>
      <c r="N8" s="6">
        <f>G8*$B$6+H8*$B$7</f>
        <v>364.65</v>
      </c>
    </row>
    <row r="9" spans="1:14" x14ac:dyDescent="0.2">
      <c r="A9" s="5" t="s">
        <v>19</v>
      </c>
      <c r="B9" s="4">
        <v>3</v>
      </c>
      <c r="D9" s="4">
        <v>4</v>
      </c>
      <c r="E9" s="4">
        <v>200</v>
      </c>
      <c r="F9" s="10">
        <f t="shared" si="0"/>
        <v>0</v>
      </c>
      <c r="G9" s="4">
        <f>$B$13</f>
        <v>68</v>
      </c>
      <c r="H9" s="10">
        <f>$B$8*SUM(J6:J8)</f>
        <v>81.396000000000001</v>
      </c>
      <c r="I9" s="10">
        <f>F9+G9+H9</f>
        <v>149.39600000000002</v>
      </c>
      <c r="J9" s="10">
        <f>MIN(I9,E9)</f>
        <v>149.39600000000002</v>
      </c>
      <c r="K9" s="10">
        <f t="shared" si="1"/>
        <v>0</v>
      </c>
      <c r="M9" s="6">
        <f>J9*$B$5</f>
        <v>1344.5640000000001</v>
      </c>
      <c r="N9" s="6">
        <f>G9*$B$6+H9*$B$7</f>
        <v>407.745</v>
      </c>
    </row>
    <row r="10" spans="1:14" x14ac:dyDescent="0.2">
      <c r="D10" s="4">
        <v>5</v>
      </c>
      <c r="E10" s="4">
        <v>200</v>
      </c>
      <c r="F10" s="10">
        <f t="shared" si="0"/>
        <v>0</v>
      </c>
      <c r="G10" s="4">
        <f>$B$13</f>
        <v>68</v>
      </c>
      <c r="H10" s="10">
        <f>$B$8*SUM(J7:J9)</f>
        <v>105.81480000000001</v>
      </c>
      <c r="I10" s="10">
        <f>F10+G10+H10</f>
        <v>173.81479999999999</v>
      </c>
      <c r="J10" s="10">
        <f>MIN(I10,E10)</f>
        <v>173.81479999999999</v>
      </c>
      <c r="K10" s="10">
        <f t="shared" si="1"/>
        <v>0</v>
      </c>
      <c r="M10" s="6">
        <f>J10*$B$5</f>
        <v>1564.3332</v>
      </c>
      <c r="N10" s="6">
        <f>G10*$B$6+H10*$B$7</f>
        <v>438.26850000000002</v>
      </c>
    </row>
    <row r="11" spans="1:14" x14ac:dyDescent="0.2">
      <c r="A11" s="12" t="s">
        <v>33</v>
      </c>
      <c r="D11" s="4">
        <v>6</v>
      </c>
      <c r="E11" s="4">
        <v>200</v>
      </c>
      <c r="F11" s="10">
        <f t="shared" si="0"/>
        <v>0</v>
      </c>
      <c r="G11" s="4">
        <f>$B$13</f>
        <v>68</v>
      </c>
      <c r="H11" s="10">
        <f>$B$8*SUM(J8:J10)</f>
        <v>131.43924000000001</v>
      </c>
      <c r="I11" s="10">
        <f>F11+G11+H11</f>
        <v>199.43924000000001</v>
      </c>
      <c r="J11" s="10">
        <f>MIN(I11,E11)</f>
        <v>199.43924000000001</v>
      </c>
      <c r="K11" s="10">
        <f t="shared" si="1"/>
        <v>0</v>
      </c>
      <c r="M11" s="6">
        <f>J11*$B$5</f>
        <v>1794.95316</v>
      </c>
      <c r="N11" s="6">
        <f>G11*$B$6+H11*$B$7</f>
        <v>470.29905000000002</v>
      </c>
    </row>
    <row r="12" spans="1:14" x14ac:dyDescent="0.2">
      <c r="D12" s="4">
        <v>7</v>
      </c>
      <c r="E12" s="4">
        <v>200</v>
      </c>
      <c r="F12" s="10">
        <f t="shared" si="0"/>
        <v>0</v>
      </c>
      <c r="G12" s="4">
        <f>$B$13</f>
        <v>68</v>
      </c>
      <c r="H12" s="10">
        <f>$B$8*SUM(J9:J11)</f>
        <v>156.79501199999999</v>
      </c>
      <c r="I12" s="10">
        <f>F12+G12+H12</f>
        <v>224.79501199999999</v>
      </c>
      <c r="J12" s="10">
        <f>MIN(I12,E12)</f>
        <v>200</v>
      </c>
      <c r="K12" s="10">
        <f t="shared" si="1"/>
        <v>24.795011999999986</v>
      </c>
      <c r="M12" s="6">
        <f>J12*$B$5</f>
        <v>1800</v>
      </c>
      <c r="N12" s="6">
        <f>G12*$B$6+H12*$B$7</f>
        <v>501.993765</v>
      </c>
    </row>
    <row r="13" spans="1:14" x14ac:dyDescent="0.2">
      <c r="A13" s="1" t="s">
        <v>20</v>
      </c>
      <c r="B13" s="9">
        <v>68</v>
      </c>
      <c r="D13" s="4">
        <v>8</v>
      </c>
      <c r="E13" s="4">
        <v>200</v>
      </c>
      <c r="F13" s="10">
        <f t="shared" si="0"/>
        <v>24.795011999999986</v>
      </c>
      <c r="G13" s="4">
        <f>$B$13</f>
        <v>68</v>
      </c>
      <c r="H13" s="10">
        <f>$B$8*SUM(J10:J12)</f>
        <v>171.976212</v>
      </c>
      <c r="I13" s="10">
        <f>F13+G13+H13</f>
        <v>264.77122399999996</v>
      </c>
      <c r="J13" s="10">
        <f>MIN(I13,E13)</f>
        <v>200</v>
      </c>
      <c r="K13" s="10">
        <f t="shared" si="1"/>
        <v>64.771223999999961</v>
      </c>
      <c r="M13" s="6">
        <f>J13*$B$5</f>
        <v>1800</v>
      </c>
      <c r="N13" s="6">
        <f>G13*$B$6+H13*$B$7</f>
        <v>520.97026500000004</v>
      </c>
    </row>
    <row r="14" spans="1:14" x14ac:dyDescent="0.2">
      <c r="D14" s="4">
        <v>9</v>
      </c>
      <c r="E14" s="4">
        <v>200</v>
      </c>
      <c r="F14" s="10">
        <f t="shared" si="0"/>
        <v>64.771223999999961</v>
      </c>
      <c r="G14" s="4">
        <f>$B$13</f>
        <v>68</v>
      </c>
      <c r="H14" s="10">
        <f>$B$8*SUM(J11:J13)</f>
        <v>179.831772</v>
      </c>
      <c r="I14" s="10">
        <f>F14+G14+H14</f>
        <v>312.60299599999996</v>
      </c>
      <c r="J14" s="10">
        <f>MIN(I14,E14)</f>
        <v>200</v>
      </c>
      <c r="K14" s="10">
        <f t="shared" si="1"/>
        <v>112.60299599999996</v>
      </c>
      <c r="M14" s="6">
        <f>J14*$B$5</f>
        <v>1800</v>
      </c>
      <c r="N14" s="6">
        <f>G14*$B$6+H14*$B$7</f>
        <v>530.789715</v>
      </c>
    </row>
    <row r="15" spans="1:14" x14ac:dyDescent="0.2">
      <c r="D15" s="4">
        <v>10</v>
      </c>
      <c r="E15" s="4">
        <v>200</v>
      </c>
      <c r="F15" s="10">
        <f t="shared" si="0"/>
        <v>112.60299599999996</v>
      </c>
      <c r="G15" s="4">
        <f>$B$13</f>
        <v>68</v>
      </c>
      <c r="H15" s="10">
        <f>$B$8*SUM(J12:J14)</f>
        <v>180</v>
      </c>
      <c r="I15" s="10">
        <f>F15+G15+H15</f>
        <v>360.60299599999996</v>
      </c>
      <c r="J15" s="10">
        <f>MIN(I15,E15)</f>
        <v>200</v>
      </c>
      <c r="K15" s="10">
        <f t="shared" si="1"/>
        <v>160.60299599999996</v>
      </c>
      <c r="M15" s="6">
        <f>J15*$B$5</f>
        <v>1800</v>
      </c>
      <c r="N15" s="6">
        <f>G15*$B$6+H15*$B$7</f>
        <v>531</v>
      </c>
    </row>
    <row r="16" spans="1:14" x14ac:dyDescent="0.2">
      <c r="D16" s="4">
        <v>11</v>
      </c>
      <c r="E16" s="4">
        <v>300</v>
      </c>
      <c r="F16" s="10">
        <f t="shared" si="0"/>
        <v>160.60299599999996</v>
      </c>
      <c r="G16" s="4">
        <f>$B$13</f>
        <v>68</v>
      </c>
      <c r="H16" s="10">
        <f>$B$8*SUM(J13:J15)</f>
        <v>180</v>
      </c>
      <c r="I16" s="10">
        <f>F16+G16+H16</f>
        <v>408.60299599999996</v>
      </c>
      <c r="J16" s="10">
        <f>MIN(I16,E16)</f>
        <v>300</v>
      </c>
      <c r="K16" s="10">
        <f t="shared" si="1"/>
        <v>108.60299599999996</v>
      </c>
      <c r="M16" s="6">
        <f>J16*$B$5</f>
        <v>2700</v>
      </c>
      <c r="N16" s="6">
        <f>G16*$B$6+H16*$B$7</f>
        <v>531</v>
      </c>
    </row>
    <row r="17" spans="4:14" x14ac:dyDescent="0.2">
      <c r="D17" s="4">
        <v>12</v>
      </c>
      <c r="E17" s="4">
        <v>300</v>
      </c>
      <c r="F17" s="10">
        <f t="shared" si="0"/>
        <v>108.60299599999996</v>
      </c>
      <c r="G17" s="4">
        <f>$B$13</f>
        <v>68</v>
      </c>
      <c r="H17" s="10">
        <f>$B$8*SUM(J14:J16)</f>
        <v>210</v>
      </c>
      <c r="I17" s="10">
        <f>F17+G17+H17</f>
        <v>386.60299599999996</v>
      </c>
      <c r="J17" s="10">
        <f>MIN(I17,E17)</f>
        <v>300</v>
      </c>
      <c r="K17" s="10">
        <f t="shared" si="1"/>
        <v>86.602995999999962</v>
      </c>
      <c r="M17" s="6">
        <f>J17*$B$5</f>
        <v>2700</v>
      </c>
      <c r="N17" s="6">
        <f>G17*$B$6+H17*$B$7</f>
        <v>568.5</v>
      </c>
    </row>
    <row r="18" spans="4:14" x14ac:dyDescent="0.2">
      <c r="D18" s="4">
        <v>13</v>
      </c>
      <c r="E18" s="4">
        <v>300</v>
      </c>
      <c r="F18" s="10">
        <f t="shared" si="0"/>
        <v>86.602995999999962</v>
      </c>
      <c r="G18" s="4">
        <f>$B$13</f>
        <v>68</v>
      </c>
      <c r="H18" s="10">
        <f>$B$8*SUM(J15:J17)</f>
        <v>240</v>
      </c>
      <c r="I18" s="10">
        <f>F18+G18+H18</f>
        <v>394.60299599999996</v>
      </c>
      <c r="J18" s="10">
        <f>MIN(I18,E18)</f>
        <v>300</v>
      </c>
      <c r="K18" s="10">
        <f t="shared" si="1"/>
        <v>94.602995999999962</v>
      </c>
      <c r="M18" s="6">
        <f>J18*$B$5</f>
        <v>2700</v>
      </c>
      <c r="N18" s="6">
        <f>G18*$B$6+H18*$B$7</f>
        <v>606</v>
      </c>
    </row>
    <row r="19" spans="4:14" x14ac:dyDescent="0.2">
      <c r="D19" s="4">
        <v>14</v>
      </c>
      <c r="E19" s="4">
        <v>300</v>
      </c>
      <c r="F19" s="10">
        <f t="shared" si="0"/>
        <v>94.602995999999962</v>
      </c>
      <c r="G19" s="4">
        <f>$B$13</f>
        <v>68</v>
      </c>
      <c r="H19" s="10">
        <f>$B$8*SUM(J16:J18)</f>
        <v>270</v>
      </c>
      <c r="I19" s="10">
        <f>F19+G19+H19</f>
        <v>432.60299599999996</v>
      </c>
      <c r="J19" s="10">
        <f>MIN(I19,E19)</f>
        <v>300</v>
      </c>
      <c r="K19" s="10">
        <f t="shared" si="1"/>
        <v>132.60299599999996</v>
      </c>
      <c r="M19" s="6">
        <f>J19*$B$5</f>
        <v>2700</v>
      </c>
      <c r="N19" s="6">
        <f>G19*$B$6+H19*$B$7</f>
        <v>643.5</v>
      </c>
    </row>
    <row r="20" spans="4:14" x14ac:dyDescent="0.2">
      <c r="D20" s="4">
        <v>15</v>
      </c>
      <c r="E20" s="4">
        <v>300</v>
      </c>
      <c r="F20" s="10">
        <f t="shared" si="0"/>
        <v>132.60299599999996</v>
      </c>
      <c r="G20" s="4">
        <f>$B$13</f>
        <v>68</v>
      </c>
      <c r="H20" s="10">
        <f>$B$8*SUM(J17:J19)</f>
        <v>270</v>
      </c>
      <c r="I20" s="10">
        <f>F20+G20+H20</f>
        <v>470.60299599999996</v>
      </c>
      <c r="J20" s="10">
        <f>MIN(I20,E20)</f>
        <v>300</v>
      </c>
      <c r="K20" s="10">
        <f t="shared" si="1"/>
        <v>170.60299599999996</v>
      </c>
      <c r="M20" s="6">
        <f>J20*$B$5</f>
        <v>2700</v>
      </c>
      <c r="N20" s="6">
        <f>G20*$B$6+H20*$B$7</f>
        <v>643.5</v>
      </c>
    </row>
    <row r="21" spans="4:14" x14ac:dyDescent="0.2">
      <c r="D21" s="4">
        <v>16</v>
      </c>
      <c r="E21" s="4">
        <v>300</v>
      </c>
      <c r="F21" s="10">
        <f t="shared" si="0"/>
        <v>170.60299599999996</v>
      </c>
      <c r="G21" s="4">
        <f>$B$13</f>
        <v>68</v>
      </c>
      <c r="H21" s="10">
        <f>$B$8*SUM(J18:J20)</f>
        <v>270</v>
      </c>
      <c r="I21" s="10">
        <f>F21+G21+H21</f>
        <v>508.60299599999996</v>
      </c>
      <c r="J21" s="10">
        <f>MIN(I21,E21)</f>
        <v>300</v>
      </c>
      <c r="K21" s="10">
        <f t="shared" si="1"/>
        <v>208.60299599999996</v>
      </c>
      <c r="M21" s="6">
        <f>J21*$B$5</f>
        <v>2700</v>
      </c>
      <c r="N21" s="6">
        <f>G21*$B$6+H21*$B$7</f>
        <v>643.5</v>
      </c>
    </row>
    <row r="22" spans="4:14" x14ac:dyDescent="0.2">
      <c r="D22" s="4">
        <v>17</v>
      </c>
      <c r="E22" s="4">
        <v>300</v>
      </c>
      <c r="F22" s="10">
        <f t="shared" si="0"/>
        <v>208.60299599999996</v>
      </c>
      <c r="G22" s="4">
        <f>$B$13</f>
        <v>68</v>
      </c>
      <c r="H22" s="10">
        <f>$B$8*SUM(J19:J21)</f>
        <v>270</v>
      </c>
      <c r="I22" s="10">
        <f>F22+G22+H22</f>
        <v>546.60299599999996</v>
      </c>
      <c r="J22" s="10">
        <f>MIN(I22,E22)</f>
        <v>300</v>
      </c>
      <c r="K22" s="10">
        <f t="shared" si="1"/>
        <v>246.60299599999996</v>
      </c>
      <c r="M22" s="6">
        <f>J22*$B$5</f>
        <v>2700</v>
      </c>
      <c r="N22" s="6">
        <f>G22*$B$6+H22*$B$7</f>
        <v>643.5</v>
      </c>
    </row>
    <row r="23" spans="4:14" x14ac:dyDescent="0.2">
      <c r="D23" s="4">
        <v>18</v>
      </c>
      <c r="E23" s="4">
        <v>300</v>
      </c>
      <c r="F23" s="10">
        <f t="shared" si="0"/>
        <v>246.60299599999996</v>
      </c>
      <c r="G23" s="4">
        <f>$B$13</f>
        <v>68</v>
      </c>
      <c r="H23" s="10">
        <f>$B$8*SUM(J20:J22)</f>
        <v>270</v>
      </c>
      <c r="I23" s="10">
        <f>F23+G23+H23</f>
        <v>584.60299599999996</v>
      </c>
      <c r="J23" s="10">
        <f>MIN(I23,E23)</f>
        <v>300</v>
      </c>
      <c r="K23" s="10">
        <f t="shared" si="1"/>
        <v>284.60299599999996</v>
      </c>
      <c r="M23" s="6">
        <f>J23*$B$5</f>
        <v>2700</v>
      </c>
      <c r="N23" s="6">
        <f>G23*$B$6+H23*$B$7</f>
        <v>643.5</v>
      </c>
    </row>
    <row r="24" spans="4:14" x14ac:dyDescent="0.2">
      <c r="D24" s="4">
        <v>19</v>
      </c>
      <c r="E24" s="4">
        <v>300</v>
      </c>
      <c r="F24" s="10">
        <f t="shared" si="0"/>
        <v>284.60299599999996</v>
      </c>
      <c r="G24" s="4">
        <f>$B$13</f>
        <v>68</v>
      </c>
      <c r="H24" s="10">
        <f>$B$8*SUM(J21:J23)</f>
        <v>270</v>
      </c>
      <c r="I24" s="10">
        <f>F24+G24+H24</f>
        <v>622.60299599999996</v>
      </c>
      <c r="J24" s="10">
        <f>MIN(I24,E24)</f>
        <v>300</v>
      </c>
      <c r="K24" s="10">
        <f t="shared" si="1"/>
        <v>322.60299599999996</v>
      </c>
      <c r="M24" s="6">
        <f>J24*$B$5</f>
        <v>2700</v>
      </c>
      <c r="N24" s="6">
        <f>G24*$B$6+H24*$B$7</f>
        <v>643.5</v>
      </c>
    </row>
    <row r="25" spans="4:14" x14ac:dyDescent="0.2">
      <c r="D25" s="4">
        <v>20</v>
      </c>
      <c r="E25" s="4">
        <v>300</v>
      </c>
      <c r="F25" s="10">
        <f t="shared" si="0"/>
        <v>322.60299599999996</v>
      </c>
      <c r="G25" s="4">
        <f>$B$13</f>
        <v>68</v>
      </c>
      <c r="H25" s="10">
        <f>$B$8*SUM(J22:J24)</f>
        <v>270</v>
      </c>
      <c r="I25" s="10">
        <f>F25+G25+H25</f>
        <v>660.60299599999996</v>
      </c>
      <c r="J25" s="10">
        <f>MIN(I25,E25)</f>
        <v>300</v>
      </c>
      <c r="K25" s="10">
        <f t="shared" si="1"/>
        <v>360.60299599999996</v>
      </c>
      <c r="M25" s="6">
        <f>J25*$B$5</f>
        <v>2700</v>
      </c>
      <c r="N25" s="6">
        <f>G25*$B$6+H25*$B$7</f>
        <v>643.5</v>
      </c>
    </row>
    <row r="27" spans="4:14" x14ac:dyDescent="0.2">
      <c r="M27" s="1" t="s">
        <v>8</v>
      </c>
      <c r="N27" s="6">
        <f>SUM(M6:M25)</f>
        <v>41345.730360000001</v>
      </c>
    </row>
    <row r="28" spans="4:14" x14ac:dyDescent="0.2">
      <c r="M28" s="1" t="s">
        <v>9</v>
      </c>
      <c r="N28" s="6">
        <f>SUM(N6:N25)</f>
        <v>10613.216295</v>
      </c>
    </row>
    <row r="29" spans="4:14" x14ac:dyDescent="0.2">
      <c r="M29" s="1" t="s">
        <v>10</v>
      </c>
      <c r="N29" s="6">
        <f>N27-N28</f>
        <v>30732.514065000003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6DB68-419E-D546-BC82-2CAE011BB0DD}">
  <dimension ref="A1:N29"/>
  <sheetViews>
    <sheetView showGridLines="0" zoomScale="150" zoomScaleNormal="150" workbookViewId="0">
      <selection activeCell="B14" sqref="B14"/>
    </sheetView>
  </sheetViews>
  <sheetFormatPr baseColWidth="10" defaultRowHeight="16" x14ac:dyDescent="0.2"/>
  <cols>
    <col min="1" max="1" width="27.83203125" customWidth="1"/>
    <col min="2" max="14" width="10.83203125" customWidth="1"/>
    <col min="15" max="15" width="12.6640625" customWidth="1"/>
    <col min="16" max="16" width="15.83203125" customWidth="1"/>
  </cols>
  <sheetData>
    <row r="1" spans="1:14" x14ac:dyDescent="0.2">
      <c r="A1" t="s">
        <v>21</v>
      </c>
    </row>
    <row r="3" spans="1:14" x14ac:dyDescent="0.2">
      <c r="A3" s="11" t="s">
        <v>32</v>
      </c>
      <c r="D3" s="11" t="s">
        <v>34</v>
      </c>
    </row>
    <row r="4" spans="1:14" x14ac:dyDescent="0.2">
      <c r="E4" s="3" t="s">
        <v>29</v>
      </c>
      <c r="F4" s="3" t="s">
        <v>22</v>
      </c>
      <c r="G4" s="3" t="s">
        <v>24</v>
      </c>
      <c r="H4" s="3" t="s">
        <v>26</v>
      </c>
      <c r="I4" s="3" t="s">
        <v>1</v>
      </c>
      <c r="J4" s="3" t="s">
        <v>26</v>
      </c>
      <c r="K4" s="3" t="s">
        <v>28</v>
      </c>
      <c r="M4" s="3" t="s">
        <v>30</v>
      </c>
      <c r="N4" s="3" t="s">
        <v>11</v>
      </c>
    </row>
    <row r="5" spans="1:14" x14ac:dyDescent="0.2">
      <c r="A5" s="5" t="s">
        <v>4</v>
      </c>
      <c r="B5" s="6">
        <v>9</v>
      </c>
      <c r="D5" s="3" t="s">
        <v>11</v>
      </c>
      <c r="E5" s="3" t="s">
        <v>3</v>
      </c>
      <c r="F5" s="3" t="s">
        <v>23</v>
      </c>
      <c r="G5" s="3" t="s">
        <v>25</v>
      </c>
      <c r="H5" s="3" t="s">
        <v>0</v>
      </c>
      <c r="I5" s="3" t="s">
        <v>27</v>
      </c>
      <c r="J5" s="3" t="s">
        <v>2</v>
      </c>
      <c r="K5" s="3" t="s">
        <v>23</v>
      </c>
      <c r="M5" s="3" t="s">
        <v>31</v>
      </c>
      <c r="N5" s="3" t="s">
        <v>6</v>
      </c>
    </row>
    <row r="6" spans="1:14" x14ac:dyDescent="0.2">
      <c r="A6" s="5" t="s">
        <v>5</v>
      </c>
      <c r="B6" s="7">
        <v>4.5</v>
      </c>
      <c r="D6" s="4">
        <v>1</v>
      </c>
      <c r="E6" s="4">
        <v>200</v>
      </c>
      <c r="F6" s="10">
        <v>0</v>
      </c>
      <c r="G6" s="4">
        <f>$B$13</f>
        <v>40</v>
      </c>
      <c r="H6" s="4">
        <v>0</v>
      </c>
      <c r="I6" s="10">
        <f>F6+G6+H6</f>
        <v>40</v>
      </c>
      <c r="J6" s="10">
        <f>MIN(I6,E6)</f>
        <v>40</v>
      </c>
      <c r="K6" s="4">
        <f>I6-J6</f>
        <v>0</v>
      </c>
      <c r="M6" s="6">
        <f>J6*$B$5</f>
        <v>360</v>
      </c>
      <c r="N6" s="6">
        <f>G6*$B$6+H6*$B$7</f>
        <v>180</v>
      </c>
    </row>
    <row r="7" spans="1:14" x14ac:dyDescent="0.2">
      <c r="A7" s="5" t="s">
        <v>7</v>
      </c>
      <c r="B7" s="7">
        <v>1.25</v>
      </c>
      <c r="D7" s="4">
        <v>2</v>
      </c>
      <c r="E7" s="4">
        <v>200</v>
      </c>
      <c r="F7" s="10">
        <f>K6</f>
        <v>0</v>
      </c>
      <c r="G7" s="4">
        <f>$B$13</f>
        <v>40</v>
      </c>
      <c r="H7" s="10">
        <f>$B$8*J6</f>
        <v>40</v>
      </c>
      <c r="I7" s="10">
        <f>F7+G7+H7</f>
        <v>80</v>
      </c>
      <c r="J7" s="10">
        <f>MIN(I7,E7)</f>
        <v>80</v>
      </c>
      <c r="K7" s="10">
        <f>I7-J7</f>
        <v>0</v>
      </c>
      <c r="M7" s="6">
        <f>J7*$B$5</f>
        <v>720</v>
      </c>
      <c r="N7" s="6">
        <f>G7*$B$6+H7*$B$7</f>
        <v>230</v>
      </c>
    </row>
    <row r="8" spans="1:14" x14ac:dyDescent="0.2">
      <c r="A8" s="5" t="s">
        <v>35</v>
      </c>
      <c r="B8" s="8">
        <v>1</v>
      </c>
      <c r="D8" s="4">
        <v>3</v>
      </c>
      <c r="E8" s="4">
        <v>200</v>
      </c>
      <c r="F8" s="10">
        <f t="shared" ref="F8:F25" si="0">K7</f>
        <v>0</v>
      </c>
      <c r="G8" s="4">
        <f>$B$13</f>
        <v>40</v>
      </c>
      <c r="H8" s="10">
        <f>$B$8*J7</f>
        <v>80</v>
      </c>
      <c r="I8" s="10">
        <f>F8+G8+H8</f>
        <v>120</v>
      </c>
      <c r="J8" s="10">
        <f>MIN(I8,E8)</f>
        <v>120</v>
      </c>
      <c r="K8" s="10">
        <f t="shared" ref="K8:K25" si="1">I8-J8</f>
        <v>0</v>
      </c>
      <c r="M8" s="6">
        <f>J8*$B$5</f>
        <v>1080</v>
      </c>
      <c r="N8" s="6">
        <f>G8*$B$6+H8*$B$7</f>
        <v>280</v>
      </c>
    </row>
    <row r="9" spans="1:14" x14ac:dyDescent="0.2">
      <c r="A9" s="5" t="s">
        <v>19</v>
      </c>
      <c r="B9" s="4">
        <v>1</v>
      </c>
      <c r="D9" s="4">
        <v>4</v>
      </c>
      <c r="E9" s="4">
        <v>200</v>
      </c>
      <c r="F9" s="10">
        <f t="shared" si="0"/>
        <v>0</v>
      </c>
      <c r="G9" s="4">
        <f>$B$13</f>
        <v>40</v>
      </c>
      <c r="H9" s="10">
        <f t="shared" ref="H9:H25" si="2">$B$8*J8</f>
        <v>120</v>
      </c>
      <c r="I9" s="10">
        <f>F9+G9+H9</f>
        <v>160</v>
      </c>
      <c r="J9" s="10">
        <f>MIN(I9,E9)</f>
        <v>160</v>
      </c>
      <c r="K9" s="10">
        <f t="shared" si="1"/>
        <v>0</v>
      </c>
      <c r="M9" s="6">
        <f>J9*$B$5</f>
        <v>1440</v>
      </c>
      <c r="N9" s="6">
        <f>G9*$B$6+H9*$B$7</f>
        <v>330</v>
      </c>
    </row>
    <row r="10" spans="1:14" x14ac:dyDescent="0.2">
      <c r="D10" s="4">
        <v>5</v>
      </c>
      <c r="E10" s="4">
        <v>200</v>
      </c>
      <c r="F10" s="10">
        <f t="shared" si="0"/>
        <v>0</v>
      </c>
      <c r="G10" s="4">
        <f>$B$13</f>
        <v>40</v>
      </c>
      <c r="H10" s="10">
        <f t="shared" si="2"/>
        <v>160</v>
      </c>
      <c r="I10" s="10">
        <f>F10+G10+H10</f>
        <v>200</v>
      </c>
      <c r="J10" s="10">
        <f>MIN(I10,E10)</f>
        <v>200</v>
      </c>
      <c r="K10" s="10">
        <f t="shared" si="1"/>
        <v>0</v>
      </c>
      <c r="M10" s="6">
        <f>J10*$B$5</f>
        <v>1800</v>
      </c>
      <c r="N10" s="6">
        <f>G10*$B$6+H10*$B$7</f>
        <v>380</v>
      </c>
    </row>
    <row r="11" spans="1:14" x14ac:dyDescent="0.2">
      <c r="A11" s="12" t="s">
        <v>33</v>
      </c>
      <c r="D11" s="4">
        <v>6</v>
      </c>
      <c r="E11" s="4">
        <v>200</v>
      </c>
      <c r="F11" s="10">
        <f t="shared" si="0"/>
        <v>0</v>
      </c>
      <c r="G11" s="4">
        <f>$B$13</f>
        <v>40</v>
      </c>
      <c r="H11" s="10">
        <f t="shared" si="2"/>
        <v>200</v>
      </c>
      <c r="I11" s="10">
        <f>F11+G11+H11</f>
        <v>240</v>
      </c>
      <c r="J11" s="10">
        <f>MIN(I11,E11)</f>
        <v>200</v>
      </c>
      <c r="K11" s="10">
        <f t="shared" si="1"/>
        <v>40</v>
      </c>
      <c r="M11" s="6">
        <f>J11*$B$5</f>
        <v>1800</v>
      </c>
      <c r="N11" s="6">
        <f>G11*$B$6+H11*$B$7</f>
        <v>430</v>
      </c>
    </row>
    <row r="12" spans="1:14" x14ac:dyDescent="0.2">
      <c r="D12" s="4">
        <v>7</v>
      </c>
      <c r="E12" s="4">
        <v>200</v>
      </c>
      <c r="F12" s="10">
        <f t="shared" si="0"/>
        <v>40</v>
      </c>
      <c r="G12" s="4">
        <f>$B$13</f>
        <v>40</v>
      </c>
      <c r="H12" s="10">
        <f t="shared" si="2"/>
        <v>200</v>
      </c>
      <c r="I12" s="10">
        <f>F12+G12+H12</f>
        <v>280</v>
      </c>
      <c r="J12" s="10">
        <f>MIN(I12,E12)</f>
        <v>200</v>
      </c>
      <c r="K12" s="10">
        <f t="shared" si="1"/>
        <v>80</v>
      </c>
      <c r="M12" s="6">
        <f>J12*$B$5</f>
        <v>1800</v>
      </c>
      <c r="N12" s="6">
        <f>G12*$B$6+H12*$B$7</f>
        <v>430</v>
      </c>
    </row>
    <row r="13" spans="1:14" x14ac:dyDescent="0.2">
      <c r="A13" s="1" t="s">
        <v>20</v>
      </c>
      <c r="B13" s="9">
        <v>40</v>
      </c>
      <c r="D13" s="4">
        <v>8</v>
      </c>
      <c r="E13" s="4">
        <v>200</v>
      </c>
      <c r="F13" s="10">
        <f t="shared" si="0"/>
        <v>80</v>
      </c>
      <c r="G13" s="4">
        <f>$B$13</f>
        <v>40</v>
      </c>
      <c r="H13" s="10">
        <f t="shared" si="2"/>
        <v>200</v>
      </c>
      <c r="I13" s="10">
        <f>F13+G13+H13</f>
        <v>320</v>
      </c>
      <c r="J13" s="10">
        <f>MIN(I13,E13)</f>
        <v>200</v>
      </c>
      <c r="K13" s="10">
        <f t="shared" si="1"/>
        <v>120</v>
      </c>
      <c r="M13" s="6">
        <f>J13*$B$5</f>
        <v>1800</v>
      </c>
      <c r="N13" s="6">
        <f>G13*$B$6+H13*$B$7</f>
        <v>430</v>
      </c>
    </row>
    <row r="14" spans="1:14" x14ac:dyDescent="0.2">
      <c r="D14" s="4">
        <v>9</v>
      </c>
      <c r="E14" s="4">
        <v>200</v>
      </c>
      <c r="F14" s="10">
        <f t="shared" si="0"/>
        <v>120</v>
      </c>
      <c r="G14" s="4">
        <f>$B$13</f>
        <v>40</v>
      </c>
      <c r="H14" s="10">
        <f t="shared" si="2"/>
        <v>200</v>
      </c>
      <c r="I14" s="10">
        <f>F14+G14+H14</f>
        <v>360</v>
      </c>
      <c r="J14" s="10">
        <f>MIN(I14,E14)</f>
        <v>200</v>
      </c>
      <c r="K14" s="10">
        <f t="shared" si="1"/>
        <v>160</v>
      </c>
      <c r="M14" s="6">
        <f>J14*$B$5</f>
        <v>1800</v>
      </c>
      <c r="N14" s="6">
        <f>G14*$B$6+H14*$B$7</f>
        <v>430</v>
      </c>
    </row>
    <row r="15" spans="1:14" x14ac:dyDescent="0.2">
      <c r="D15" s="4">
        <v>10</v>
      </c>
      <c r="E15" s="4">
        <v>200</v>
      </c>
      <c r="F15" s="10">
        <f t="shared" si="0"/>
        <v>160</v>
      </c>
      <c r="G15" s="4">
        <f>$B$13</f>
        <v>40</v>
      </c>
      <c r="H15" s="10">
        <f t="shared" si="2"/>
        <v>200</v>
      </c>
      <c r="I15" s="10">
        <f>F15+G15+H15</f>
        <v>400</v>
      </c>
      <c r="J15" s="10">
        <f>MIN(I15,E15)</f>
        <v>200</v>
      </c>
      <c r="K15" s="10">
        <f t="shared" si="1"/>
        <v>200</v>
      </c>
      <c r="M15" s="6">
        <f>J15*$B$5</f>
        <v>1800</v>
      </c>
      <c r="N15" s="6">
        <f>G15*$B$6+H15*$B$7</f>
        <v>430</v>
      </c>
    </row>
    <row r="16" spans="1:14" x14ac:dyDescent="0.2">
      <c r="D16" s="4">
        <v>11</v>
      </c>
      <c r="E16" s="4">
        <v>300</v>
      </c>
      <c r="F16" s="10">
        <f t="shared" si="0"/>
        <v>200</v>
      </c>
      <c r="G16" s="4">
        <f>$B$13</f>
        <v>40</v>
      </c>
      <c r="H16" s="10">
        <f t="shared" si="2"/>
        <v>200</v>
      </c>
      <c r="I16" s="10">
        <f>F16+G16+H16</f>
        <v>440</v>
      </c>
      <c r="J16" s="10">
        <f>MIN(I16,E16)</f>
        <v>300</v>
      </c>
      <c r="K16" s="10">
        <f t="shared" si="1"/>
        <v>140</v>
      </c>
      <c r="M16" s="6">
        <f>J16*$B$5</f>
        <v>2700</v>
      </c>
      <c r="N16" s="6">
        <f>G16*$B$6+H16*$B$7</f>
        <v>430</v>
      </c>
    </row>
    <row r="17" spans="4:14" x14ac:dyDescent="0.2">
      <c r="D17" s="4">
        <v>12</v>
      </c>
      <c r="E17" s="4">
        <v>300</v>
      </c>
      <c r="F17" s="10">
        <f t="shared" si="0"/>
        <v>140</v>
      </c>
      <c r="G17" s="4">
        <f>$B$13</f>
        <v>40</v>
      </c>
      <c r="H17" s="10">
        <f t="shared" si="2"/>
        <v>300</v>
      </c>
      <c r="I17" s="10">
        <f>F17+G17+H17</f>
        <v>480</v>
      </c>
      <c r="J17" s="10">
        <f>MIN(I17,E17)</f>
        <v>300</v>
      </c>
      <c r="K17" s="10">
        <f t="shared" si="1"/>
        <v>180</v>
      </c>
      <c r="M17" s="6">
        <f>J17*$B$5</f>
        <v>2700</v>
      </c>
      <c r="N17" s="6">
        <f>G17*$B$6+H17*$B$7</f>
        <v>555</v>
      </c>
    </row>
    <row r="18" spans="4:14" x14ac:dyDescent="0.2">
      <c r="D18" s="4">
        <v>13</v>
      </c>
      <c r="E18" s="4">
        <v>300</v>
      </c>
      <c r="F18" s="10">
        <f t="shared" si="0"/>
        <v>180</v>
      </c>
      <c r="G18" s="4">
        <f>$B$13</f>
        <v>40</v>
      </c>
      <c r="H18" s="10">
        <f t="shared" si="2"/>
        <v>300</v>
      </c>
      <c r="I18" s="10">
        <f>F18+G18+H18</f>
        <v>520</v>
      </c>
      <c r="J18" s="10">
        <f>MIN(I18,E18)</f>
        <v>300</v>
      </c>
      <c r="K18" s="10">
        <f t="shared" si="1"/>
        <v>220</v>
      </c>
      <c r="M18" s="6">
        <f>J18*$B$5</f>
        <v>2700</v>
      </c>
      <c r="N18" s="6">
        <f>G18*$B$6+H18*$B$7</f>
        <v>555</v>
      </c>
    </row>
    <row r="19" spans="4:14" x14ac:dyDescent="0.2">
      <c r="D19" s="4">
        <v>14</v>
      </c>
      <c r="E19" s="4">
        <v>300</v>
      </c>
      <c r="F19" s="10">
        <f t="shared" si="0"/>
        <v>220</v>
      </c>
      <c r="G19" s="4">
        <f>$B$13</f>
        <v>40</v>
      </c>
      <c r="H19" s="10">
        <f t="shared" si="2"/>
        <v>300</v>
      </c>
      <c r="I19" s="10">
        <f>F19+G19+H19</f>
        <v>560</v>
      </c>
      <c r="J19" s="10">
        <f>MIN(I19,E19)</f>
        <v>300</v>
      </c>
      <c r="K19" s="10">
        <f t="shared" si="1"/>
        <v>260</v>
      </c>
      <c r="M19" s="6">
        <f>J19*$B$5</f>
        <v>2700</v>
      </c>
      <c r="N19" s="6">
        <f>G19*$B$6+H19*$B$7</f>
        <v>555</v>
      </c>
    </row>
    <row r="20" spans="4:14" x14ac:dyDescent="0.2">
      <c r="D20" s="4">
        <v>15</v>
      </c>
      <c r="E20" s="4">
        <v>300</v>
      </c>
      <c r="F20" s="10">
        <f t="shared" si="0"/>
        <v>260</v>
      </c>
      <c r="G20" s="4">
        <f>$B$13</f>
        <v>40</v>
      </c>
      <c r="H20" s="10">
        <f t="shared" si="2"/>
        <v>300</v>
      </c>
      <c r="I20" s="10">
        <f>F20+G20+H20</f>
        <v>600</v>
      </c>
      <c r="J20" s="10">
        <f>MIN(I20,E20)</f>
        <v>300</v>
      </c>
      <c r="K20" s="10">
        <f t="shared" si="1"/>
        <v>300</v>
      </c>
      <c r="M20" s="6">
        <f>J20*$B$5</f>
        <v>2700</v>
      </c>
      <c r="N20" s="6">
        <f>G20*$B$6+H20*$B$7</f>
        <v>555</v>
      </c>
    </row>
    <row r="21" spans="4:14" x14ac:dyDescent="0.2">
      <c r="D21" s="4">
        <v>16</v>
      </c>
      <c r="E21" s="4">
        <v>300</v>
      </c>
      <c r="F21" s="10">
        <f t="shared" si="0"/>
        <v>300</v>
      </c>
      <c r="G21" s="4">
        <f>$B$13</f>
        <v>40</v>
      </c>
      <c r="H21" s="10">
        <f t="shared" si="2"/>
        <v>300</v>
      </c>
      <c r="I21" s="10">
        <f>F21+G21+H21</f>
        <v>640</v>
      </c>
      <c r="J21" s="10">
        <f>MIN(I21,E21)</f>
        <v>300</v>
      </c>
      <c r="K21" s="10">
        <f t="shared" si="1"/>
        <v>340</v>
      </c>
      <c r="M21" s="6">
        <f>J21*$B$5</f>
        <v>2700</v>
      </c>
      <c r="N21" s="6">
        <f>G21*$B$6+H21*$B$7</f>
        <v>555</v>
      </c>
    </row>
    <row r="22" spans="4:14" x14ac:dyDescent="0.2">
      <c r="D22" s="4">
        <v>17</v>
      </c>
      <c r="E22" s="4">
        <v>300</v>
      </c>
      <c r="F22" s="10">
        <f t="shared" si="0"/>
        <v>340</v>
      </c>
      <c r="G22" s="4">
        <f>$B$13</f>
        <v>40</v>
      </c>
      <c r="H22" s="10">
        <f t="shared" si="2"/>
        <v>300</v>
      </c>
      <c r="I22" s="10">
        <f>F22+G22+H22</f>
        <v>680</v>
      </c>
      <c r="J22" s="10">
        <f>MIN(I22,E22)</f>
        <v>300</v>
      </c>
      <c r="K22" s="10">
        <f t="shared" si="1"/>
        <v>380</v>
      </c>
      <c r="M22" s="6">
        <f>J22*$B$5</f>
        <v>2700</v>
      </c>
      <c r="N22" s="6">
        <f>G22*$B$6+H22*$B$7</f>
        <v>555</v>
      </c>
    </row>
    <row r="23" spans="4:14" x14ac:dyDescent="0.2">
      <c r="D23" s="4">
        <v>18</v>
      </c>
      <c r="E23" s="4">
        <v>300</v>
      </c>
      <c r="F23" s="10">
        <f t="shared" si="0"/>
        <v>380</v>
      </c>
      <c r="G23" s="4">
        <f>$B$13</f>
        <v>40</v>
      </c>
      <c r="H23" s="10">
        <f t="shared" si="2"/>
        <v>300</v>
      </c>
      <c r="I23" s="10">
        <f>F23+G23+H23</f>
        <v>720</v>
      </c>
      <c r="J23" s="10">
        <f>MIN(I23,E23)</f>
        <v>300</v>
      </c>
      <c r="K23" s="10">
        <f t="shared" si="1"/>
        <v>420</v>
      </c>
      <c r="M23" s="6">
        <f>J23*$B$5</f>
        <v>2700</v>
      </c>
      <c r="N23" s="6">
        <f>G23*$B$6+H23*$B$7</f>
        <v>555</v>
      </c>
    </row>
    <row r="24" spans="4:14" x14ac:dyDescent="0.2">
      <c r="D24" s="4">
        <v>19</v>
      </c>
      <c r="E24" s="4">
        <v>300</v>
      </c>
      <c r="F24" s="10">
        <f t="shared" si="0"/>
        <v>420</v>
      </c>
      <c r="G24" s="4">
        <f>$B$13</f>
        <v>40</v>
      </c>
      <c r="H24" s="10">
        <f t="shared" si="2"/>
        <v>300</v>
      </c>
      <c r="I24" s="10">
        <f>F24+G24+H24</f>
        <v>760</v>
      </c>
      <c r="J24" s="10">
        <f>MIN(I24,E24)</f>
        <v>300</v>
      </c>
      <c r="K24" s="10">
        <f t="shared" si="1"/>
        <v>460</v>
      </c>
      <c r="M24" s="6">
        <f>J24*$B$5</f>
        <v>2700</v>
      </c>
      <c r="N24" s="6">
        <f>G24*$B$6+H24*$B$7</f>
        <v>555</v>
      </c>
    </row>
    <row r="25" spans="4:14" x14ac:dyDescent="0.2">
      <c r="D25" s="4">
        <v>20</v>
      </c>
      <c r="E25" s="4">
        <v>300</v>
      </c>
      <c r="F25" s="10">
        <f t="shared" si="0"/>
        <v>460</v>
      </c>
      <c r="G25" s="4">
        <f>$B$13</f>
        <v>40</v>
      </c>
      <c r="H25" s="10">
        <f t="shared" si="2"/>
        <v>300</v>
      </c>
      <c r="I25" s="10">
        <f>F25+G25+H25</f>
        <v>800</v>
      </c>
      <c r="J25" s="10">
        <f>MIN(I25,E25)</f>
        <v>300</v>
      </c>
      <c r="K25" s="10">
        <f t="shared" si="1"/>
        <v>500</v>
      </c>
      <c r="M25" s="6">
        <f>J25*$B$5</f>
        <v>2700</v>
      </c>
      <c r="N25" s="6">
        <f>G25*$B$6+H25*$B$7</f>
        <v>555</v>
      </c>
    </row>
    <row r="27" spans="4:14" x14ac:dyDescent="0.2">
      <c r="M27" s="1" t="s">
        <v>8</v>
      </c>
      <c r="N27" s="6">
        <f>SUM(M6:M25)</f>
        <v>41400</v>
      </c>
    </row>
    <row r="28" spans="4:14" x14ac:dyDescent="0.2">
      <c r="M28" s="1" t="s">
        <v>9</v>
      </c>
      <c r="N28" s="6">
        <f>SUM(N6:N25)</f>
        <v>8975</v>
      </c>
    </row>
    <row r="29" spans="4:14" x14ac:dyDescent="0.2">
      <c r="M29" s="1" t="s">
        <v>10</v>
      </c>
      <c r="N29" s="6">
        <f>N27-N28</f>
        <v>32425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SixObservations</vt:lpstr>
      <vt:lpstr>20pct_3pds</vt:lpstr>
      <vt:lpstr>25pct_3pds</vt:lpstr>
      <vt:lpstr>30pc_3pds</vt:lpstr>
      <vt:lpstr>100pct_1pd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Willems, Sean Peter</dc:creator>
  <cp:lastModifiedBy>Microsoft Office User</cp:lastModifiedBy>
  <dcterms:created xsi:type="dcterms:W3CDTF">2022-05-02T02:48:34Z</dcterms:created>
  <dcterms:modified xsi:type="dcterms:W3CDTF">2022-05-02T14:08:56Z</dcterms:modified>
</cp:coreProperties>
</file>