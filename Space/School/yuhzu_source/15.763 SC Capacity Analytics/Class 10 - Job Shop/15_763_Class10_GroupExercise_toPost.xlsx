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3/Spring 2022/Class 10 - JobShopCo - planned leadtimes/___GroupExercise/"/>
    </mc:Choice>
  </mc:AlternateContent>
  <xr:revisionPtr revIDLastSave="0" documentId="13_ncr:1_{8B81FFDC-00EC-C340-9CCB-3E1590051597}" xr6:coauthVersionLast="47" xr6:coauthVersionMax="47" xr10:uidLastSave="{00000000-0000-0000-0000-000000000000}"/>
  <bookViews>
    <workbookView xWindow="0" yWindow="760" windowWidth="34560" windowHeight="20020" xr2:uid="{04C9A918-6FA8-D44E-A742-F5525F7839FB}"/>
  </bookViews>
  <sheets>
    <sheet name="SixObservations" sheetId="8" r:id="rId1"/>
    <sheet name="20pct_3pd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4" l="1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N6" i="4" s="1"/>
  <c r="I6" i="4" l="1"/>
  <c r="J6" i="4" s="1"/>
  <c r="H7" i="4" s="1"/>
  <c r="N7" i="4" s="1"/>
  <c r="M6" i="4" l="1"/>
  <c r="K6" i="4"/>
  <c r="F7" i="4" l="1"/>
  <c r="I7" i="4" s="1"/>
  <c r="J7" i="4" s="1"/>
  <c r="K7" i="4" l="1"/>
  <c r="F8" i="4" s="1"/>
  <c r="M7" i="4"/>
  <c r="H8" i="4"/>
  <c r="I8" i="4" s="1"/>
  <c r="N8" i="4" l="1"/>
  <c r="J8" i="4"/>
  <c r="M8" i="4" l="1"/>
  <c r="H9" i="4"/>
  <c r="K8" i="4"/>
  <c r="F9" i="4" s="1"/>
  <c r="I9" i="4" l="1"/>
  <c r="N9" i="4"/>
  <c r="J9" i="4" l="1"/>
  <c r="K9" i="4" s="1"/>
  <c r="F10" i="4" s="1"/>
  <c r="M9" i="4" l="1"/>
  <c r="H10" i="4"/>
  <c r="I10" i="4" s="1"/>
  <c r="N10" i="4" l="1"/>
  <c r="J10" i="4" l="1"/>
  <c r="K10" i="4" s="1"/>
  <c r="F11" i="4" s="1"/>
  <c r="M10" i="4" l="1"/>
  <c r="H11" i="4"/>
  <c r="I11" i="4" s="1"/>
  <c r="N11" i="4" l="1"/>
  <c r="J11" i="4" l="1"/>
  <c r="K11" i="4" s="1"/>
  <c r="F12" i="4" s="1"/>
  <c r="M11" i="4" l="1"/>
  <c r="H12" i="4"/>
  <c r="I12" i="4" s="1"/>
  <c r="N12" i="4" l="1"/>
  <c r="J12" i="4" l="1"/>
  <c r="M12" i="4" l="1"/>
  <c r="H13" i="4"/>
  <c r="K12" i="4"/>
  <c r="F13" i="4" s="1"/>
  <c r="I13" i="4" l="1"/>
  <c r="N13" i="4"/>
  <c r="J13" i="4" l="1"/>
  <c r="M13" i="4" l="1"/>
  <c r="H14" i="4"/>
  <c r="K13" i="4"/>
  <c r="F14" i="4" s="1"/>
  <c r="I14" i="4" l="1"/>
  <c r="N14" i="4"/>
  <c r="J14" i="4" l="1"/>
  <c r="M14" i="4" l="1"/>
  <c r="H15" i="4"/>
  <c r="K14" i="4"/>
  <c r="F15" i="4" s="1"/>
  <c r="I15" i="4" l="1"/>
  <c r="N15" i="4"/>
  <c r="J15" i="4" l="1"/>
  <c r="K15" i="4" s="1"/>
  <c r="F16" i="4" s="1"/>
  <c r="M15" i="4" l="1"/>
  <c r="H16" i="4"/>
  <c r="I16" i="4" s="1"/>
  <c r="N16" i="4" l="1"/>
  <c r="J16" i="4" l="1"/>
  <c r="M16" i="4" l="1"/>
  <c r="H17" i="4"/>
  <c r="K16" i="4"/>
  <c r="F17" i="4" s="1"/>
  <c r="I17" i="4" l="1"/>
  <c r="N17" i="4"/>
  <c r="J17" i="4" l="1"/>
  <c r="K17" i="4" s="1"/>
  <c r="F18" i="4" s="1"/>
  <c r="M17" i="4" l="1"/>
  <c r="H18" i="4"/>
  <c r="I18" i="4" s="1"/>
  <c r="N18" i="4" l="1"/>
  <c r="J18" i="4" l="1"/>
  <c r="K18" i="4" s="1"/>
  <c r="F19" i="4" s="1"/>
  <c r="M18" i="4" l="1"/>
  <c r="H19" i="4"/>
  <c r="I19" i="4" s="1"/>
  <c r="N19" i="4" l="1"/>
  <c r="J19" i="4" l="1"/>
  <c r="M19" i="4" l="1"/>
  <c r="H20" i="4"/>
  <c r="K19" i="4"/>
  <c r="F20" i="4" s="1"/>
  <c r="I20" i="4" l="1"/>
  <c r="N20" i="4"/>
  <c r="J20" i="4" l="1"/>
  <c r="K20" i="4" s="1"/>
  <c r="F21" i="4" s="1"/>
  <c r="M20" i="4" l="1"/>
  <c r="H21" i="4"/>
  <c r="I21" i="4" s="1"/>
  <c r="N21" i="4" l="1"/>
  <c r="J21" i="4" l="1"/>
  <c r="M21" i="4" l="1"/>
  <c r="H22" i="4"/>
  <c r="K21" i="4"/>
  <c r="F22" i="4" s="1"/>
  <c r="I22" i="4" l="1"/>
  <c r="N22" i="4"/>
  <c r="J22" i="4" l="1"/>
  <c r="K22" i="4" s="1"/>
  <c r="F23" i="4" s="1"/>
  <c r="M22" i="4" l="1"/>
  <c r="H23" i="4"/>
  <c r="I23" i="4" s="1"/>
  <c r="N23" i="4" l="1"/>
  <c r="J23" i="4" l="1"/>
  <c r="M23" i="4" l="1"/>
  <c r="H24" i="4"/>
  <c r="K23" i="4"/>
  <c r="F24" i="4" s="1"/>
  <c r="I24" i="4" l="1"/>
  <c r="N24" i="4"/>
  <c r="J24" i="4" l="1"/>
  <c r="M24" i="4" l="1"/>
  <c r="H25" i="4"/>
  <c r="K24" i="4"/>
  <c r="F25" i="4" s="1"/>
  <c r="I25" i="4" l="1"/>
  <c r="N25" i="4"/>
  <c r="N28" i="4" s="1"/>
  <c r="J25" i="4" l="1"/>
  <c r="M25" i="4" s="1"/>
  <c r="N27" i="4" s="1"/>
  <c r="N29" i="4" s="1"/>
  <c r="K25" i="4" l="1"/>
</calcChain>
</file>

<file path=xl/sharedStrings.xml><?xml version="1.0" encoding="utf-8"?>
<sst xmlns="http://schemas.openxmlformats.org/spreadsheetml/2006/main" count="40" uniqueCount="36">
  <si>
    <t>Returned</t>
  </si>
  <si>
    <t>Available</t>
  </si>
  <si>
    <t>Sold</t>
  </si>
  <si>
    <t>Forecast</t>
  </si>
  <si>
    <t>Sales price</t>
  </si>
  <si>
    <t>New production cost</t>
  </si>
  <si>
    <t>Cost</t>
  </si>
  <si>
    <t>Returned remanufacturing cost</t>
  </si>
  <si>
    <t>Total sales revenue</t>
  </si>
  <si>
    <t>Total cost</t>
  </si>
  <si>
    <t>Gross margin</t>
  </si>
  <si>
    <t>Period</t>
  </si>
  <si>
    <t>Observed demand</t>
  </si>
  <si>
    <t xml:space="preserve">You are given six observations of demand.  </t>
  </si>
  <si>
    <t>2.  What is your rationale for this estimate?</t>
  </si>
  <si>
    <t>1.  What is your estimate for the maximum demand per period?</t>
  </si>
  <si>
    <t>For planning purposes, the company wants to estimate the maximum demand possible in a period, and the only data provided are these six observations.</t>
  </si>
  <si>
    <t>All you know is the company believes these six observations come from the same underlying distribution and demand can't be negative.</t>
  </si>
  <si>
    <t>Problem 1:  Estimate the maximum demand per period</t>
  </si>
  <si>
    <t>Return number of periods</t>
  </si>
  <si>
    <t>Launch production capacity</t>
  </si>
  <si>
    <t>Problem 2:  Determine launch production capacity when sold product is returned and remanufactured</t>
  </si>
  <si>
    <t>Starting</t>
  </si>
  <si>
    <t>Inventory</t>
  </si>
  <si>
    <t>New</t>
  </si>
  <si>
    <t>Production</t>
  </si>
  <si>
    <t>Units</t>
  </si>
  <si>
    <t>To Sell</t>
  </si>
  <si>
    <t>Ending</t>
  </si>
  <si>
    <t>Demand</t>
  </si>
  <si>
    <t>Sales</t>
  </si>
  <si>
    <t>Revenue</t>
  </si>
  <si>
    <t>Model inputs</t>
  </si>
  <si>
    <t>Decision variables</t>
  </si>
  <si>
    <t>Model dynamics</t>
  </si>
  <si>
    <t>Return percentage per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</si>
</sst>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indent="1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541-19C2-064E-804F-67A71CBC9863}">
  <dimension ref="A1:B16"/>
  <sheetViews>
    <sheetView showGridLines="0" tabSelected="1" zoomScale="200" zoomScaleNormal="200" workbookViewId="0"/>
  </sheetViews>
  <sheetFormatPr baseColWidth="10" defaultRowHeight="16" x14ac:dyDescent="0.2"/>
  <cols>
    <col min="1" max="8" width="16.83203125" customWidth="1"/>
  </cols>
  <sheetData>
    <row r="1" spans="1:2" x14ac:dyDescent="0.2">
      <c r="A1" t="s">
        <v>18</v>
      </c>
    </row>
    <row r="3" spans="1:2" x14ac:dyDescent="0.2">
      <c r="A3" t="s">
        <v>13</v>
      </c>
    </row>
    <row r="4" spans="1:2" x14ac:dyDescent="0.2">
      <c r="A4" t="s">
        <v>17</v>
      </c>
    </row>
    <row r="5" spans="1:2" x14ac:dyDescent="0.2">
      <c r="A5" t="s">
        <v>16</v>
      </c>
    </row>
    <row r="7" spans="1:2" x14ac:dyDescent="0.2">
      <c r="A7" t="s">
        <v>11</v>
      </c>
      <c r="B7" t="s">
        <v>12</v>
      </c>
    </row>
    <row r="8" spans="1:2" x14ac:dyDescent="0.2">
      <c r="A8" s="4">
        <v>1</v>
      </c>
      <c r="B8" s="4">
        <v>238</v>
      </c>
    </row>
    <row r="9" spans="1:2" x14ac:dyDescent="0.2">
      <c r="A9" s="4">
        <v>2</v>
      </c>
      <c r="B9" s="4">
        <v>254</v>
      </c>
    </row>
    <row r="10" spans="1:2" x14ac:dyDescent="0.2">
      <c r="A10" s="4">
        <v>3</v>
      </c>
      <c r="B10" s="4">
        <v>321</v>
      </c>
    </row>
    <row r="11" spans="1:2" x14ac:dyDescent="0.2">
      <c r="A11" s="4">
        <v>4</v>
      </c>
      <c r="B11" s="4">
        <v>584</v>
      </c>
    </row>
    <row r="12" spans="1:2" x14ac:dyDescent="0.2">
      <c r="A12" s="4">
        <v>5</v>
      </c>
      <c r="B12" s="4">
        <v>39</v>
      </c>
    </row>
    <row r="13" spans="1:2" x14ac:dyDescent="0.2">
      <c r="A13" s="4">
        <v>6</v>
      </c>
      <c r="B13" s="4">
        <v>706</v>
      </c>
    </row>
    <row r="15" spans="1:2" x14ac:dyDescent="0.2">
      <c r="A15" t="s">
        <v>15</v>
      </c>
      <c r="B15" s="2"/>
    </row>
    <row r="16" spans="1:2" x14ac:dyDescent="0.2">
      <c r="A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C876-77B0-074C-8D4B-A3B67C0EDBF5}">
  <dimension ref="A1:N29"/>
  <sheetViews>
    <sheetView showGridLines="0" zoomScale="150" zoomScaleNormal="150" workbookViewId="0">
      <selection activeCell="B13" sqref="B13"/>
    </sheetView>
  </sheetViews>
  <sheetFormatPr baseColWidth="10" defaultRowHeight="16" x14ac:dyDescent="0.2"/>
  <cols>
    <col min="1" max="1" width="27.83203125" customWidth="1"/>
    <col min="2" max="14" width="10.83203125" customWidth="1"/>
    <col min="15" max="15" width="12.6640625" customWidth="1"/>
    <col min="16" max="16" width="15.83203125" customWidth="1"/>
  </cols>
  <sheetData>
    <row r="1" spans="1:14" x14ac:dyDescent="0.2">
      <c r="A1" t="s">
        <v>21</v>
      </c>
    </row>
    <row r="3" spans="1:14" x14ac:dyDescent="0.2">
      <c r="A3" s="11" t="s">
        <v>32</v>
      </c>
      <c r="D3" s="11" t="s">
        <v>34</v>
      </c>
    </row>
    <row r="4" spans="1:14" x14ac:dyDescent="0.2">
      <c r="E4" s="3" t="s">
        <v>29</v>
      </c>
      <c r="F4" s="3" t="s">
        <v>22</v>
      </c>
      <c r="G4" s="3" t="s">
        <v>24</v>
      </c>
      <c r="H4" s="3" t="s">
        <v>26</v>
      </c>
      <c r="I4" s="3" t="s">
        <v>1</v>
      </c>
      <c r="J4" s="3" t="s">
        <v>26</v>
      </c>
      <c r="K4" s="3" t="s">
        <v>28</v>
      </c>
      <c r="M4" s="3" t="s">
        <v>30</v>
      </c>
      <c r="N4" s="3" t="s">
        <v>11</v>
      </c>
    </row>
    <row r="5" spans="1:14" x14ac:dyDescent="0.2">
      <c r="A5" s="5" t="s">
        <v>4</v>
      </c>
      <c r="B5" s="6">
        <v>9</v>
      </c>
      <c r="D5" s="3" t="s">
        <v>11</v>
      </c>
      <c r="E5" s="3" t="s">
        <v>3</v>
      </c>
      <c r="F5" s="3" t="s">
        <v>23</v>
      </c>
      <c r="G5" s="3" t="s">
        <v>25</v>
      </c>
      <c r="H5" s="3" t="s">
        <v>0</v>
      </c>
      <c r="I5" s="3" t="s">
        <v>27</v>
      </c>
      <c r="J5" s="3" t="s">
        <v>2</v>
      </c>
      <c r="K5" s="3" t="s">
        <v>23</v>
      </c>
      <c r="M5" s="3" t="s">
        <v>31</v>
      </c>
      <c r="N5" s="3" t="s">
        <v>6</v>
      </c>
    </row>
    <row r="6" spans="1:14" x14ac:dyDescent="0.2">
      <c r="A6" s="5" t="s">
        <v>5</v>
      </c>
      <c r="B6" s="7">
        <v>4.5</v>
      </c>
      <c r="D6" s="4">
        <v>1</v>
      </c>
      <c r="E6" s="4">
        <v>200</v>
      </c>
      <c r="F6" s="10">
        <v>0</v>
      </c>
      <c r="G6" s="4">
        <f t="shared" ref="G6:G25" si="0">$B$13</f>
        <v>1</v>
      </c>
      <c r="H6" s="4">
        <v>0</v>
      </c>
      <c r="I6" s="10">
        <f t="shared" ref="I6:I25" si="1">F6+G6+H6</f>
        <v>1</v>
      </c>
      <c r="J6" s="10">
        <f t="shared" ref="J6:J25" si="2">MIN(I6,E6)</f>
        <v>1</v>
      </c>
      <c r="K6" s="4">
        <f>I6-J6</f>
        <v>0</v>
      </c>
      <c r="M6" s="6">
        <f t="shared" ref="M6:M25" si="3">J6*$B$5</f>
        <v>9</v>
      </c>
      <c r="N6" s="6">
        <f t="shared" ref="N6:N25" si="4">G6*$B$6+H6*$B$7</f>
        <v>4.5</v>
      </c>
    </row>
    <row r="7" spans="1:14" x14ac:dyDescent="0.2">
      <c r="A7" s="5" t="s">
        <v>7</v>
      </c>
      <c r="B7" s="7">
        <v>1.25</v>
      </c>
      <c r="D7" s="4">
        <v>2</v>
      </c>
      <c r="E7" s="4">
        <v>200</v>
      </c>
      <c r="F7" s="10">
        <f>K6</f>
        <v>0</v>
      </c>
      <c r="G7" s="4">
        <f t="shared" si="0"/>
        <v>1</v>
      </c>
      <c r="H7" s="10">
        <f>$B$8*J6</f>
        <v>0.2</v>
      </c>
      <c r="I7" s="10">
        <f t="shared" si="1"/>
        <v>1.2</v>
      </c>
      <c r="J7" s="10">
        <f t="shared" si="2"/>
        <v>1.2</v>
      </c>
      <c r="K7" s="10">
        <f>I7-J7</f>
        <v>0</v>
      </c>
      <c r="M7" s="6">
        <f t="shared" si="3"/>
        <v>10.799999999999999</v>
      </c>
      <c r="N7" s="6">
        <f t="shared" si="4"/>
        <v>4.75</v>
      </c>
    </row>
    <row r="8" spans="1:14" x14ac:dyDescent="0.2">
      <c r="A8" s="5" t="s">
        <v>35</v>
      </c>
      <c r="B8" s="8">
        <v>0.2</v>
      </c>
      <c r="D8" s="4">
        <v>3</v>
      </c>
      <c r="E8" s="4">
        <v>200</v>
      </c>
      <c r="F8" s="10">
        <f t="shared" ref="F8:F25" si="5">K7</f>
        <v>0</v>
      </c>
      <c r="G8" s="4">
        <f t="shared" si="0"/>
        <v>1</v>
      </c>
      <c r="H8" s="10">
        <f>$B$8*SUM(J6:J7)</f>
        <v>0.44000000000000006</v>
      </c>
      <c r="I8" s="10">
        <f t="shared" si="1"/>
        <v>1.44</v>
      </c>
      <c r="J8" s="10">
        <f t="shared" si="2"/>
        <v>1.44</v>
      </c>
      <c r="K8" s="10">
        <f t="shared" ref="K8:K25" si="6">I8-J8</f>
        <v>0</v>
      </c>
      <c r="M8" s="6">
        <f t="shared" si="3"/>
        <v>12.959999999999999</v>
      </c>
      <c r="N8" s="6">
        <f t="shared" si="4"/>
        <v>5.05</v>
      </c>
    </row>
    <row r="9" spans="1:14" x14ac:dyDescent="0.2">
      <c r="A9" s="5" t="s">
        <v>19</v>
      </c>
      <c r="B9" s="4">
        <v>3</v>
      </c>
      <c r="D9" s="4">
        <v>4</v>
      </c>
      <c r="E9" s="4">
        <v>200</v>
      </c>
      <c r="F9" s="10">
        <f t="shared" si="5"/>
        <v>0</v>
      </c>
      <c r="G9" s="4">
        <f t="shared" si="0"/>
        <v>1</v>
      </c>
      <c r="H9" s="10">
        <f t="shared" ref="H9:H25" si="7">$B$8*SUM(J6:J8)</f>
        <v>0.72800000000000009</v>
      </c>
      <c r="I9" s="10">
        <f t="shared" si="1"/>
        <v>1.7280000000000002</v>
      </c>
      <c r="J9" s="10">
        <f t="shared" si="2"/>
        <v>1.7280000000000002</v>
      </c>
      <c r="K9" s="10">
        <f t="shared" si="6"/>
        <v>0</v>
      </c>
      <c r="M9" s="6">
        <f t="shared" si="3"/>
        <v>15.552000000000001</v>
      </c>
      <c r="N9" s="6">
        <f t="shared" si="4"/>
        <v>5.41</v>
      </c>
    </row>
    <row r="10" spans="1:14" x14ac:dyDescent="0.2">
      <c r="D10" s="4">
        <v>5</v>
      </c>
      <c r="E10" s="4">
        <v>200</v>
      </c>
      <c r="F10" s="10">
        <f t="shared" si="5"/>
        <v>0</v>
      </c>
      <c r="G10" s="4">
        <f t="shared" si="0"/>
        <v>1</v>
      </c>
      <c r="H10" s="10">
        <f t="shared" si="7"/>
        <v>0.87360000000000015</v>
      </c>
      <c r="I10" s="10">
        <f t="shared" si="1"/>
        <v>1.8736000000000002</v>
      </c>
      <c r="J10" s="10">
        <f t="shared" si="2"/>
        <v>1.8736000000000002</v>
      </c>
      <c r="K10" s="10">
        <f t="shared" si="6"/>
        <v>0</v>
      </c>
      <c r="M10" s="6">
        <f t="shared" si="3"/>
        <v>16.862400000000001</v>
      </c>
      <c r="N10" s="6">
        <f t="shared" si="4"/>
        <v>5.5920000000000005</v>
      </c>
    </row>
    <row r="11" spans="1:14" x14ac:dyDescent="0.2">
      <c r="A11" s="12" t="s">
        <v>33</v>
      </c>
      <c r="D11" s="4">
        <v>6</v>
      </c>
      <c r="E11" s="4">
        <v>200</v>
      </c>
      <c r="F11" s="10">
        <f t="shared" si="5"/>
        <v>0</v>
      </c>
      <c r="G11" s="4">
        <f t="shared" si="0"/>
        <v>1</v>
      </c>
      <c r="H11" s="10">
        <f t="shared" si="7"/>
        <v>1.0083200000000001</v>
      </c>
      <c r="I11" s="10">
        <f t="shared" si="1"/>
        <v>2.0083200000000003</v>
      </c>
      <c r="J11" s="10">
        <f t="shared" si="2"/>
        <v>2.0083200000000003</v>
      </c>
      <c r="K11" s="10">
        <f t="shared" si="6"/>
        <v>0</v>
      </c>
      <c r="M11" s="6">
        <f t="shared" si="3"/>
        <v>18.074880000000004</v>
      </c>
      <c r="N11" s="6">
        <f t="shared" si="4"/>
        <v>5.7604000000000006</v>
      </c>
    </row>
    <row r="12" spans="1:14" x14ac:dyDescent="0.2">
      <c r="D12" s="4">
        <v>7</v>
      </c>
      <c r="E12" s="4">
        <v>200</v>
      </c>
      <c r="F12" s="10">
        <f t="shared" si="5"/>
        <v>0</v>
      </c>
      <c r="G12" s="4">
        <f t="shared" si="0"/>
        <v>1</v>
      </c>
      <c r="H12" s="10">
        <f t="shared" si="7"/>
        <v>1.1219840000000001</v>
      </c>
      <c r="I12" s="10">
        <f t="shared" si="1"/>
        <v>2.1219840000000003</v>
      </c>
      <c r="J12" s="10">
        <f t="shared" si="2"/>
        <v>2.1219840000000003</v>
      </c>
      <c r="K12" s="10">
        <f t="shared" si="6"/>
        <v>0</v>
      </c>
      <c r="M12" s="6">
        <f t="shared" si="3"/>
        <v>19.097856000000004</v>
      </c>
      <c r="N12" s="6">
        <f t="shared" si="4"/>
        <v>5.9024800000000006</v>
      </c>
    </row>
    <row r="13" spans="1:14" x14ac:dyDescent="0.2">
      <c r="A13" s="1" t="s">
        <v>20</v>
      </c>
      <c r="B13" s="9">
        <v>1</v>
      </c>
      <c r="D13" s="4">
        <v>8</v>
      </c>
      <c r="E13" s="4">
        <v>200</v>
      </c>
      <c r="F13" s="10">
        <f t="shared" si="5"/>
        <v>0</v>
      </c>
      <c r="G13" s="4">
        <f t="shared" si="0"/>
        <v>1</v>
      </c>
      <c r="H13" s="10">
        <f t="shared" si="7"/>
        <v>1.2007808000000002</v>
      </c>
      <c r="I13" s="10">
        <f t="shared" si="1"/>
        <v>2.2007808000000004</v>
      </c>
      <c r="J13" s="10">
        <f t="shared" si="2"/>
        <v>2.2007808000000004</v>
      </c>
      <c r="K13" s="10">
        <f t="shared" si="6"/>
        <v>0</v>
      </c>
      <c r="M13" s="6">
        <f t="shared" si="3"/>
        <v>19.807027200000004</v>
      </c>
      <c r="N13" s="6">
        <f t="shared" si="4"/>
        <v>6.0009760000000005</v>
      </c>
    </row>
    <row r="14" spans="1:14" x14ac:dyDescent="0.2">
      <c r="D14" s="4">
        <v>9</v>
      </c>
      <c r="E14" s="4">
        <v>200</v>
      </c>
      <c r="F14" s="10">
        <f t="shared" si="5"/>
        <v>0</v>
      </c>
      <c r="G14" s="4">
        <f t="shared" si="0"/>
        <v>1</v>
      </c>
      <c r="H14" s="10">
        <f t="shared" si="7"/>
        <v>1.2662169600000004</v>
      </c>
      <c r="I14" s="10">
        <f t="shared" si="1"/>
        <v>2.2662169600000004</v>
      </c>
      <c r="J14" s="10">
        <f t="shared" si="2"/>
        <v>2.2662169600000004</v>
      </c>
      <c r="K14" s="10">
        <f t="shared" si="6"/>
        <v>0</v>
      </c>
      <c r="M14" s="6">
        <f t="shared" si="3"/>
        <v>20.395952640000004</v>
      </c>
      <c r="N14" s="6">
        <f t="shared" si="4"/>
        <v>6.0827712000000007</v>
      </c>
    </row>
    <row r="15" spans="1:14" x14ac:dyDescent="0.2">
      <c r="D15" s="4">
        <v>10</v>
      </c>
      <c r="E15" s="4">
        <v>200</v>
      </c>
      <c r="F15" s="10">
        <f t="shared" si="5"/>
        <v>0</v>
      </c>
      <c r="G15" s="4">
        <f t="shared" si="0"/>
        <v>1</v>
      </c>
      <c r="H15" s="10">
        <f t="shared" si="7"/>
        <v>1.3177963520000002</v>
      </c>
      <c r="I15" s="10">
        <f t="shared" si="1"/>
        <v>2.3177963520000002</v>
      </c>
      <c r="J15" s="10">
        <f t="shared" si="2"/>
        <v>2.3177963520000002</v>
      </c>
      <c r="K15" s="10">
        <f t="shared" si="6"/>
        <v>0</v>
      </c>
      <c r="M15" s="6">
        <f t="shared" si="3"/>
        <v>20.860167168000004</v>
      </c>
      <c r="N15" s="6">
        <f t="shared" si="4"/>
        <v>6.1472454400000007</v>
      </c>
    </row>
    <row r="16" spans="1:14" x14ac:dyDescent="0.2">
      <c r="D16" s="4">
        <v>11</v>
      </c>
      <c r="E16" s="4">
        <v>300</v>
      </c>
      <c r="F16" s="10">
        <f t="shared" si="5"/>
        <v>0</v>
      </c>
      <c r="G16" s="4">
        <f t="shared" si="0"/>
        <v>1</v>
      </c>
      <c r="H16" s="10">
        <f t="shared" si="7"/>
        <v>1.3569588224000002</v>
      </c>
      <c r="I16" s="10">
        <f t="shared" si="1"/>
        <v>2.3569588224000002</v>
      </c>
      <c r="J16" s="10">
        <f t="shared" si="2"/>
        <v>2.3569588224000002</v>
      </c>
      <c r="K16" s="10">
        <f t="shared" si="6"/>
        <v>0</v>
      </c>
      <c r="M16" s="6">
        <f t="shared" si="3"/>
        <v>21.212629401600001</v>
      </c>
      <c r="N16" s="6">
        <f t="shared" si="4"/>
        <v>6.196198528</v>
      </c>
    </row>
    <row r="17" spans="4:14" x14ac:dyDescent="0.2">
      <c r="D17" s="4">
        <v>12</v>
      </c>
      <c r="E17" s="4">
        <v>300</v>
      </c>
      <c r="F17" s="10">
        <f t="shared" si="5"/>
        <v>0</v>
      </c>
      <c r="G17" s="4">
        <f t="shared" si="0"/>
        <v>1</v>
      </c>
      <c r="H17" s="10">
        <f t="shared" si="7"/>
        <v>1.3881944268800002</v>
      </c>
      <c r="I17" s="10">
        <f t="shared" si="1"/>
        <v>2.3881944268800002</v>
      </c>
      <c r="J17" s="10">
        <f t="shared" si="2"/>
        <v>2.3881944268800002</v>
      </c>
      <c r="K17" s="10">
        <f t="shared" si="6"/>
        <v>0</v>
      </c>
      <c r="M17" s="6">
        <f t="shared" si="3"/>
        <v>21.49374984192</v>
      </c>
      <c r="N17" s="6">
        <f t="shared" si="4"/>
        <v>6.2352430335999998</v>
      </c>
    </row>
    <row r="18" spans="4:14" x14ac:dyDescent="0.2">
      <c r="D18" s="4">
        <v>13</v>
      </c>
      <c r="E18" s="4">
        <v>300</v>
      </c>
      <c r="F18" s="10">
        <f t="shared" si="5"/>
        <v>0</v>
      </c>
      <c r="G18" s="4">
        <f t="shared" si="0"/>
        <v>1</v>
      </c>
      <c r="H18" s="10">
        <f t="shared" si="7"/>
        <v>1.4125899202560002</v>
      </c>
      <c r="I18" s="10">
        <f t="shared" si="1"/>
        <v>2.4125899202559999</v>
      </c>
      <c r="J18" s="10">
        <f t="shared" si="2"/>
        <v>2.4125899202559999</v>
      </c>
      <c r="K18" s="10">
        <f t="shared" si="6"/>
        <v>0</v>
      </c>
      <c r="M18" s="6">
        <f t="shared" si="3"/>
        <v>21.713309282303999</v>
      </c>
      <c r="N18" s="6">
        <f t="shared" si="4"/>
        <v>6.2657374003199999</v>
      </c>
    </row>
    <row r="19" spans="4:14" x14ac:dyDescent="0.2">
      <c r="D19" s="4">
        <v>14</v>
      </c>
      <c r="E19" s="4">
        <v>300</v>
      </c>
      <c r="F19" s="10">
        <f t="shared" si="5"/>
        <v>0</v>
      </c>
      <c r="G19" s="4">
        <f t="shared" si="0"/>
        <v>1</v>
      </c>
      <c r="H19" s="10">
        <f t="shared" si="7"/>
        <v>1.4315486339072001</v>
      </c>
      <c r="I19" s="10">
        <f t="shared" si="1"/>
        <v>2.4315486339071999</v>
      </c>
      <c r="J19" s="10">
        <f t="shared" si="2"/>
        <v>2.4315486339071999</v>
      </c>
      <c r="K19" s="10">
        <f t="shared" si="6"/>
        <v>0</v>
      </c>
      <c r="M19" s="6">
        <f t="shared" si="3"/>
        <v>21.883937705164797</v>
      </c>
      <c r="N19" s="6">
        <f t="shared" si="4"/>
        <v>6.2894357923840003</v>
      </c>
    </row>
    <row r="20" spans="4:14" x14ac:dyDescent="0.2">
      <c r="D20" s="4">
        <v>15</v>
      </c>
      <c r="E20" s="4">
        <v>300</v>
      </c>
      <c r="F20" s="10">
        <f t="shared" si="5"/>
        <v>0</v>
      </c>
      <c r="G20" s="4">
        <f t="shared" si="0"/>
        <v>1</v>
      </c>
      <c r="H20" s="10">
        <f t="shared" si="7"/>
        <v>1.44646659620864</v>
      </c>
      <c r="I20" s="10">
        <f t="shared" si="1"/>
        <v>2.4464665962086398</v>
      </c>
      <c r="J20" s="10">
        <f t="shared" si="2"/>
        <v>2.4464665962086398</v>
      </c>
      <c r="K20" s="10">
        <f t="shared" si="6"/>
        <v>0</v>
      </c>
      <c r="M20" s="6">
        <f t="shared" si="3"/>
        <v>22.018199365877759</v>
      </c>
      <c r="N20" s="6">
        <f t="shared" si="4"/>
        <v>6.3080832452608</v>
      </c>
    </row>
    <row r="21" spans="4:14" x14ac:dyDescent="0.2">
      <c r="D21" s="4">
        <v>16</v>
      </c>
      <c r="E21" s="4">
        <v>300</v>
      </c>
      <c r="F21" s="10">
        <f t="shared" si="5"/>
        <v>0</v>
      </c>
      <c r="G21" s="4">
        <f t="shared" si="0"/>
        <v>1</v>
      </c>
      <c r="H21" s="10">
        <f t="shared" si="7"/>
        <v>1.4581210300743681</v>
      </c>
      <c r="I21" s="10">
        <f t="shared" si="1"/>
        <v>2.4581210300743681</v>
      </c>
      <c r="J21" s="10">
        <f t="shared" si="2"/>
        <v>2.4581210300743681</v>
      </c>
      <c r="K21" s="10">
        <f t="shared" si="6"/>
        <v>0</v>
      </c>
      <c r="M21" s="6">
        <f t="shared" si="3"/>
        <v>22.123089270669311</v>
      </c>
      <c r="N21" s="6">
        <f t="shared" si="4"/>
        <v>6.3226512875929597</v>
      </c>
    </row>
    <row r="22" spans="4:14" x14ac:dyDescent="0.2">
      <c r="D22" s="4">
        <v>17</v>
      </c>
      <c r="E22" s="4">
        <v>300</v>
      </c>
      <c r="F22" s="10">
        <f t="shared" si="5"/>
        <v>0</v>
      </c>
      <c r="G22" s="4">
        <f t="shared" si="0"/>
        <v>1</v>
      </c>
      <c r="H22" s="10">
        <f t="shared" si="7"/>
        <v>1.4672272520380416</v>
      </c>
      <c r="I22" s="10">
        <f t="shared" si="1"/>
        <v>2.4672272520380414</v>
      </c>
      <c r="J22" s="10">
        <f t="shared" si="2"/>
        <v>2.4672272520380414</v>
      </c>
      <c r="K22" s="10">
        <f t="shared" si="6"/>
        <v>0</v>
      </c>
      <c r="M22" s="6">
        <f t="shared" si="3"/>
        <v>22.205045268342374</v>
      </c>
      <c r="N22" s="6">
        <f t="shared" si="4"/>
        <v>6.3340340650475522</v>
      </c>
    </row>
    <row r="23" spans="4:14" x14ac:dyDescent="0.2">
      <c r="D23" s="4">
        <v>18</v>
      </c>
      <c r="E23" s="4">
        <v>300</v>
      </c>
      <c r="F23" s="10">
        <f t="shared" si="5"/>
        <v>0</v>
      </c>
      <c r="G23" s="4">
        <f t="shared" si="0"/>
        <v>1</v>
      </c>
      <c r="H23" s="10">
        <f t="shared" si="7"/>
        <v>1.47436297566421</v>
      </c>
      <c r="I23" s="10">
        <f t="shared" si="1"/>
        <v>2.47436297566421</v>
      </c>
      <c r="J23" s="10">
        <f t="shared" si="2"/>
        <v>2.47436297566421</v>
      </c>
      <c r="K23" s="10">
        <f t="shared" si="6"/>
        <v>0</v>
      </c>
      <c r="M23" s="6">
        <f t="shared" si="3"/>
        <v>22.26926678097789</v>
      </c>
      <c r="N23" s="6">
        <f t="shared" si="4"/>
        <v>6.3429537195802626</v>
      </c>
    </row>
    <row r="24" spans="4:14" x14ac:dyDescent="0.2">
      <c r="D24" s="4">
        <v>19</v>
      </c>
      <c r="E24" s="4">
        <v>300</v>
      </c>
      <c r="F24" s="10">
        <f t="shared" si="5"/>
        <v>0</v>
      </c>
      <c r="G24" s="4">
        <f t="shared" si="0"/>
        <v>1</v>
      </c>
      <c r="H24" s="10">
        <f t="shared" si="7"/>
        <v>1.479942251555324</v>
      </c>
      <c r="I24" s="10">
        <f t="shared" si="1"/>
        <v>2.479942251555324</v>
      </c>
      <c r="J24" s="10">
        <f t="shared" si="2"/>
        <v>2.479942251555324</v>
      </c>
      <c r="K24" s="10">
        <f t="shared" si="6"/>
        <v>0</v>
      </c>
      <c r="M24" s="6">
        <f t="shared" si="3"/>
        <v>22.319480263997917</v>
      </c>
      <c r="N24" s="6">
        <f t="shared" si="4"/>
        <v>6.3499278144441549</v>
      </c>
    </row>
    <row r="25" spans="4:14" x14ac:dyDescent="0.2">
      <c r="D25" s="4">
        <v>20</v>
      </c>
      <c r="E25" s="4">
        <v>300</v>
      </c>
      <c r="F25" s="10">
        <f t="shared" si="5"/>
        <v>0</v>
      </c>
      <c r="G25" s="4">
        <f t="shared" si="0"/>
        <v>1</v>
      </c>
      <c r="H25" s="10">
        <f t="shared" si="7"/>
        <v>1.4843064958515151</v>
      </c>
      <c r="I25" s="10">
        <f t="shared" si="1"/>
        <v>2.4843064958515151</v>
      </c>
      <c r="J25" s="10">
        <f t="shared" si="2"/>
        <v>2.4843064958515151</v>
      </c>
      <c r="K25" s="10">
        <f t="shared" si="6"/>
        <v>0</v>
      </c>
      <c r="M25" s="6">
        <f t="shared" si="3"/>
        <v>22.358758462663637</v>
      </c>
      <c r="N25" s="6">
        <f t="shared" si="4"/>
        <v>6.3553831198143937</v>
      </c>
    </row>
    <row r="27" spans="4:14" x14ac:dyDescent="0.2">
      <c r="M27" s="1" t="s">
        <v>8</v>
      </c>
      <c r="N27" s="6">
        <f>SUM(M6:M25)</f>
        <v>383.00774865151772</v>
      </c>
    </row>
    <row r="28" spans="4:14" x14ac:dyDescent="0.2">
      <c r="M28" s="1" t="s">
        <v>9</v>
      </c>
      <c r="N28" s="6">
        <f>SUM(N6:N25)</f>
        <v>118.19552064604413</v>
      </c>
    </row>
    <row r="29" spans="4:14" x14ac:dyDescent="0.2">
      <c r="M29" s="1" t="s">
        <v>10</v>
      </c>
      <c r="N29" s="6">
        <f>N27-N28</f>
        <v>264.81222800547357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SixObservations</vt:lpstr>
      <vt:lpstr>20pct_3pds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2022-05-02T02:48:34Z</dcterms:created>
  <dcterms:modified xsi:type="dcterms:W3CDTF">2022-05-02T12:10:36Z</dcterms:modified>
</cp:coreProperties>
</file>