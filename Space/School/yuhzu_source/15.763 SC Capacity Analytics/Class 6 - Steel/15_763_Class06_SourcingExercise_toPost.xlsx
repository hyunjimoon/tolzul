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f2e75999e4bb43dd/MIT SDM Course/Spring 2022/15.763 SC Capacity Analytics/Class 6 - Steel/"/>
    </mc:Choice>
  </mc:AlternateContent>
  <xr:revisionPtr revIDLastSave="11" documentId="13_ncr:1_{823560A1-A692-8340-8165-DAAF6FB31BD7}" xr6:coauthVersionLast="47" xr6:coauthVersionMax="47" xr10:uidLastSave="{9E6BCCAE-7437-47E6-9EE2-FEA80112FFA3}"/>
  <bookViews>
    <workbookView xWindow="-108" yWindow="-108" windowWidth="23256" windowHeight="12456" tabRatio="500" xr2:uid="{00000000-000D-0000-FFFF-FFFF00000000}"/>
  </bookViews>
  <sheets>
    <sheet name="Assignment" sheetId="13" r:id="rId1"/>
  </sheets>
  <definedNames>
    <definedName name="OpenSolver_ChosenSolver" localSheetId="0" hidden="1">CBC</definedName>
    <definedName name="OpenSolver_DualsNewSheet" localSheetId="0" hidden="1">0</definedName>
    <definedName name="OpenSolver_LinearityCheck" localSheetId="0" hidden="1">1</definedName>
    <definedName name="OpenSolver_UpdateSensitivity" localSheetId="0" hidden="1">1</definedName>
    <definedName name="_xlnm.Print_Area" localSheetId="0">Assignment!$A$1:$R$34</definedName>
    <definedName name="solver_adj" localSheetId="0" hidden="1">Assignment!$X$3:$Y$7,Assignment!$V$11:$Y$12,Assignment!$V$19:$X$23,Assignment!$V$27:$Y$31,Assignment!$AC$15,Assignment!$AC$23,Assignment!$AC$31,Assignment!$AC$7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Assignment!$AC$24</definedName>
    <definedName name="solver_lhs10" localSheetId="0" hidden="1">Assignment!$AC$7</definedName>
    <definedName name="solver_lhs11" localSheetId="0" hidden="1">Assignment!$AC$8</definedName>
    <definedName name="solver_lhs12" localSheetId="0" hidden="1">Assignment!#REF!</definedName>
    <definedName name="solver_lhs13" localSheetId="0" hidden="1">Assignment!#REF!</definedName>
    <definedName name="solver_lhs14" localSheetId="0" hidden="1">Assignment!#REF!</definedName>
    <definedName name="solver_lhs15" localSheetId="0" hidden="1">Assignment!#REF!</definedName>
    <definedName name="solver_lhs16" localSheetId="0" hidden="1">Assignment!#REF!</definedName>
    <definedName name="solver_lhs17" localSheetId="0" hidden="1">Assignment!#REF!</definedName>
    <definedName name="solver_lhs18" localSheetId="0" hidden="1">Assignment!#REF!</definedName>
    <definedName name="solver_lhs19" localSheetId="0" hidden="1">Assignment!#REF!</definedName>
    <definedName name="solver_lhs2" localSheetId="0" hidden="1">Assignment!$AC$16</definedName>
    <definedName name="solver_lhs20" localSheetId="0" hidden="1">Assignment!#REF!</definedName>
    <definedName name="solver_lhs21" localSheetId="0" hidden="1">Assignment!#REF!</definedName>
    <definedName name="solver_lhs22" localSheetId="0" hidden="1">Assignment!#REF!</definedName>
    <definedName name="solver_lhs23" localSheetId="0" hidden="1">Assignment!#REF!</definedName>
    <definedName name="solver_lhs24" localSheetId="0" hidden="1">Assignment!#REF!</definedName>
    <definedName name="solver_lhs25" localSheetId="0" hidden="1">Assignment!#REF!</definedName>
    <definedName name="solver_lhs26" localSheetId="0" hidden="1">Assignment!#REF!</definedName>
    <definedName name="solver_lhs27" localSheetId="0" hidden="1">Assignment!#REF!</definedName>
    <definedName name="solver_lhs28" localSheetId="0" hidden="1">Assignment!#REF!</definedName>
    <definedName name="solver_lhs29" localSheetId="0" hidden="1">Assignment!#REF!</definedName>
    <definedName name="solver_lhs3" localSheetId="0" hidden="1">Assignment!$AC$31</definedName>
    <definedName name="solver_lhs30" localSheetId="0" hidden="1">Assignment!#REF!</definedName>
    <definedName name="solver_lhs31" localSheetId="0" hidden="1">Assignment!#REF!</definedName>
    <definedName name="solver_lhs32" localSheetId="0" hidden="1">Assignment!#REF!</definedName>
    <definedName name="solver_lhs33" localSheetId="0" hidden="1">Assignment!#REF!</definedName>
    <definedName name="solver_lhs34" localSheetId="0" hidden="1">Assignment!#REF!</definedName>
    <definedName name="solver_lhs35" localSheetId="0" hidden="1">Assignment!#REF!</definedName>
    <definedName name="solver_lhs36" localSheetId="0" hidden="1">Assignment!#REF!</definedName>
    <definedName name="solver_lhs37" localSheetId="0" hidden="1">Assignment!#REF!</definedName>
    <definedName name="solver_lhs38" localSheetId="0" hidden="1">Assignment!#REF!</definedName>
    <definedName name="solver_lhs39" localSheetId="0" hidden="1">Assignment!#REF!</definedName>
    <definedName name="solver_lhs4" localSheetId="0" hidden="1">Assignment!$AC$34</definedName>
    <definedName name="solver_lhs40" localSheetId="0" hidden="1">Assignment!#REF!</definedName>
    <definedName name="solver_lhs41" localSheetId="0" hidden="1">Assignment!#REF!</definedName>
    <definedName name="solver_lhs42" localSheetId="0" hidden="1">Assignment!#REF!</definedName>
    <definedName name="solver_lhs43" localSheetId="0" hidden="1">Assignment!#REF!</definedName>
    <definedName name="solver_lhs44" localSheetId="0" hidden="1">Assignment!#REF!</definedName>
    <definedName name="solver_lhs45" localSheetId="0" hidden="1">Assignment!#REF!</definedName>
    <definedName name="solver_lhs46" localSheetId="0" hidden="1">Assignment!#REF!</definedName>
    <definedName name="solver_lhs47" localSheetId="0" hidden="1">Assignment!#REF!</definedName>
    <definedName name="solver_lhs48" localSheetId="0" hidden="1">Assignment!#REF!</definedName>
    <definedName name="solver_lhs49" localSheetId="0" hidden="1">Assignment!#REF!</definedName>
    <definedName name="solver_lhs5" localSheetId="0" hidden="1">Assignment!$AC$32</definedName>
    <definedName name="solver_lhs50" localSheetId="0" hidden="1">Assignment!#REF!</definedName>
    <definedName name="solver_lhs6" localSheetId="0" hidden="1">Assignment!$AC$23</definedName>
    <definedName name="solver_lhs7" localSheetId="0" hidden="1">Assignment!$AC$34</definedName>
    <definedName name="solver_lhs8" localSheetId="0" hidden="1">Assignment!$AC$15</definedName>
    <definedName name="solver_lhs9" localSheetId="0" hidden="1">Assignment!$K$27:$N$31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11</definedName>
    <definedName name="solver_nwt" localSheetId="0" hidden="1">1</definedName>
    <definedName name="solver_opt" localSheetId="0" hidden="1">Assignment!$AA$33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10" localSheetId="0" hidden="1">5</definedName>
    <definedName name="solver_rel11" localSheetId="0" hidden="1">3</definedName>
    <definedName name="solver_rel12" localSheetId="0" hidden="1">2</definedName>
    <definedName name="solver_rel13" localSheetId="0" hidden="1">2</definedName>
    <definedName name="solver_rel14" localSheetId="0" hidden="1">2</definedName>
    <definedName name="solver_rel15" localSheetId="0" hidden="1">1</definedName>
    <definedName name="solver_rel16" localSheetId="0" hidden="1">1</definedName>
    <definedName name="solver_rel17" localSheetId="0" hidden="1">1</definedName>
    <definedName name="solver_rel18" localSheetId="0" hidden="1">1</definedName>
    <definedName name="solver_rel19" localSheetId="0" hidden="1">1</definedName>
    <definedName name="solver_rel2" localSheetId="0" hidden="1">3</definedName>
    <definedName name="solver_rel20" localSheetId="0" hidden="1">1</definedName>
    <definedName name="solver_rel21" localSheetId="0" hidden="1">1</definedName>
    <definedName name="solver_rel22" localSheetId="0" hidden="1">1</definedName>
    <definedName name="solver_rel23" localSheetId="0" hidden="1">1</definedName>
    <definedName name="solver_rel24" localSheetId="0" hidden="1">1</definedName>
    <definedName name="solver_rel25" localSheetId="0" hidden="1">1</definedName>
    <definedName name="solver_rel26" localSheetId="0" hidden="1">1</definedName>
    <definedName name="solver_rel27" localSheetId="0" hidden="1">1</definedName>
    <definedName name="solver_rel28" localSheetId="0" hidden="1">5</definedName>
    <definedName name="solver_rel29" localSheetId="0" hidden="1">1</definedName>
    <definedName name="solver_rel3" localSheetId="0" hidden="1">5</definedName>
    <definedName name="solver_rel30" localSheetId="0" hidden="1">1</definedName>
    <definedName name="solver_rel31" localSheetId="0" hidden="1">1</definedName>
    <definedName name="solver_rel32" localSheetId="0" hidden="1">1</definedName>
    <definedName name="solver_rel33" localSheetId="0" hidden="1">5</definedName>
    <definedName name="solver_rel34" localSheetId="0" hidden="1">5</definedName>
    <definedName name="solver_rel35" localSheetId="0" hidden="1">5</definedName>
    <definedName name="solver_rel36" localSheetId="0" hidden="1">5</definedName>
    <definedName name="solver_rel37" localSheetId="0" hidden="1">5</definedName>
    <definedName name="solver_rel38" localSheetId="0" hidden="1">5</definedName>
    <definedName name="solver_rel39" localSheetId="0" hidden="1">5</definedName>
    <definedName name="solver_rel4" localSheetId="0" hidden="1">1</definedName>
    <definedName name="solver_rel40" localSheetId="0" hidden="1">5</definedName>
    <definedName name="solver_rel41" localSheetId="0" hidden="1">5</definedName>
    <definedName name="solver_rel42" localSheetId="0" hidden="1">5</definedName>
    <definedName name="solver_rel43" localSheetId="0" hidden="1">5</definedName>
    <definedName name="solver_rel44" localSheetId="0" hidden="1">5</definedName>
    <definedName name="solver_rel45" localSheetId="0" hidden="1">5</definedName>
    <definedName name="solver_rel46" localSheetId="0" hidden="1">5</definedName>
    <definedName name="solver_rel47" localSheetId="0" hidden="1">5</definedName>
    <definedName name="solver_rel48" localSheetId="0" hidden="1">5</definedName>
    <definedName name="solver_rel49" localSheetId="0" hidden="1">5</definedName>
    <definedName name="solver_rel5" localSheetId="0" hidden="1">3</definedName>
    <definedName name="solver_rel50" localSheetId="0" hidden="1">5</definedName>
    <definedName name="solver_rel6" localSheetId="0" hidden="1">5</definedName>
    <definedName name="solver_rel7" localSheetId="0" hidden="1">1</definedName>
    <definedName name="solver_rel8" localSheetId="0" hidden="1">5</definedName>
    <definedName name="solver_rel9" localSheetId="0" hidden="1">3</definedName>
    <definedName name="solver_rhs1" localSheetId="0" hidden="1">Assignment!$AB$23</definedName>
    <definedName name="solver_rhs10" localSheetId="0" hidden="1">"binary"</definedName>
    <definedName name="solver_rhs11" localSheetId="0" hidden="1">Assignment!$AB$7</definedName>
    <definedName name="solver_rhs12" localSheetId="0" hidden="1">1</definedName>
    <definedName name="solver_rhs13" localSheetId="0" hidden="1">1</definedName>
    <definedName name="solver_rhs14" localSheetId="0" hidden="1">1</definedName>
    <definedName name="solver_rhs15" localSheetId="0" hidden="1">0</definedName>
    <definedName name="solver_rhs16" localSheetId="0" hidden="1">0</definedName>
    <definedName name="solver_rhs17" localSheetId="0" hidden="1">0</definedName>
    <definedName name="solver_rhs18" localSheetId="0" hidden="1">0</definedName>
    <definedName name="solver_rhs19" localSheetId="0" hidden="1">0</definedName>
    <definedName name="solver_rhs2" localSheetId="0" hidden="1">Assignment!$AB$15</definedName>
    <definedName name="solver_rhs20" localSheetId="0" hidden="1">0</definedName>
    <definedName name="solver_rhs21" localSheetId="0" hidden="1">0</definedName>
    <definedName name="solver_rhs22" localSheetId="0" hidden="1">0</definedName>
    <definedName name="solver_rhs23" localSheetId="0" hidden="1">Assignment!#REF!</definedName>
    <definedName name="solver_rhs24" localSheetId="0" hidden="1">1</definedName>
    <definedName name="solver_rhs25" localSheetId="0" hidden="1">1</definedName>
    <definedName name="solver_rhs26" localSheetId="0" hidden="1">1</definedName>
    <definedName name="solver_rhs27" localSheetId="0" hidden="1">1</definedName>
    <definedName name="solver_rhs28" localSheetId="0" hidden="1">binary</definedName>
    <definedName name="solver_rhs29" localSheetId="0" hidden="1">0</definedName>
    <definedName name="solver_rhs3" localSheetId="0" hidden="1">"binary"</definedName>
    <definedName name="solver_rhs30" localSheetId="0" hidden="1">0</definedName>
    <definedName name="solver_rhs31" localSheetId="0" hidden="1">0</definedName>
    <definedName name="solver_rhs32" localSheetId="0" hidden="1">0</definedName>
    <definedName name="solver_rhs33" localSheetId="0" hidden="1">binary</definedName>
    <definedName name="solver_rhs34" localSheetId="0" hidden="1">binary</definedName>
    <definedName name="solver_rhs35" localSheetId="0" hidden="1">binary</definedName>
    <definedName name="solver_rhs36" localSheetId="0" hidden="1">binary</definedName>
    <definedName name="solver_rhs37" localSheetId="0" hidden="1">binary</definedName>
    <definedName name="solver_rhs38" localSheetId="0" hidden="1">binary</definedName>
    <definedName name="solver_rhs39" localSheetId="0" hidden="1">binary</definedName>
    <definedName name="solver_rhs4" localSheetId="0" hidden="1">Assignment!$AC$36</definedName>
    <definedName name="solver_rhs40" localSheetId="0" hidden="1">binary</definedName>
    <definedName name="solver_rhs41" localSheetId="0" hidden="1">binary</definedName>
    <definedName name="solver_rhs42" localSheetId="0" hidden="1">binary</definedName>
    <definedName name="solver_rhs43" localSheetId="0" hidden="1">binary</definedName>
    <definedName name="solver_rhs44" localSheetId="0" hidden="1">binary</definedName>
    <definedName name="solver_rhs45" localSheetId="0" hidden="1">binary</definedName>
    <definedName name="solver_rhs46" localSheetId="0" hidden="1">binary</definedName>
    <definedName name="solver_rhs47" localSheetId="0" hidden="1">binary</definedName>
    <definedName name="solver_rhs48" localSheetId="0" hidden="1">binary</definedName>
    <definedName name="solver_rhs49" localSheetId="0" hidden="1">binary</definedName>
    <definedName name="solver_rhs5" localSheetId="0" hidden="1">Assignment!$AB$31</definedName>
    <definedName name="solver_rhs50" localSheetId="0" hidden="1">binary</definedName>
    <definedName name="solver_rhs6" localSheetId="0" hidden="1">"binary"</definedName>
    <definedName name="solver_rhs7" localSheetId="0" hidden="1">Assignment!$AC$36</definedName>
    <definedName name="solver_rhs8" localSheetId="0" hidden="1">"binary"</definedName>
    <definedName name="solver_rhs9" localSheetId="0" hidden="1">Assignment!$K$7:$N$11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0.05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C34" i="13" l="1"/>
  <c r="AC32" i="13"/>
  <c r="AC24" i="13"/>
  <c r="AC16" i="13"/>
  <c r="AC8" i="13"/>
  <c r="AA31" i="13"/>
  <c r="AA30" i="13"/>
  <c r="AA29" i="13"/>
  <c r="AA28" i="13"/>
  <c r="AA27" i="13"/>
  <c r="AA23" i="13"/>
  <c r="AA22" i="13"/>
  <c r="AA21" i="13"/>
  <c r="AA20" i="13"/>
  <c r="AA19" i="13"/>
  <c r="AA15" i="13"/>
  <c r="AA14" i="13"/>
  <c r="AA13" i="13"/>
  <c r="AA12" i="13"/>
  <c r="AA11" i="13"/>
  <c r="AA7" i="13"/>
  <c r="AA6" i="13"/>
  <c r="AA5" i="13"/>
  <c r="AA4" i="13"/>
  <c r="AA3" i="13"/>
  <c r="L27" i="13"/>
  <c r="M27" i="13"/>
  <c r="N27" i="13"/>
  <c r="L28" i="13"/>
  <c r="M28" i="13"/>
  <c r="N28" i="13"/>
  <c r="L29" i="13"/>
  <c r="M29" i="13"/>
  <c r="N29" i="13"/>
  <c r="L30" i="13"/>
  <c r="M30" i="13"/>
  <c r="N30" i="13"/>
  <c r="L31" i="13"/>
  <c r="M31" i="13"/>
  <c r="N31" i="13"/>
  <c r="K28" i="13"/>
  <c r="K29" i="13"/>
  <c r="K30" i="13"/>
  <c r="K31" i="13"/>
  <c r="K27" i="13"/>
  <c r="AB15" i="13" l="1"/>
  <c r="AB7" i="13"/>
  <c r="AB31" i="13"/>
  <c r="AB23" i="13"/>
  <c r="AA33" i="13"/>
</calcChain>
</file>

<file path=xl/sharedStrings.xml><?xml version="1.0" encoding="utf-8"?>
<sst xmlns="http://schemas.openxmlformats.org/spreadsheetml/2006/main" count="99" uniqueCount="35">
  <si>
    <t>Size</t>
  </si>
  <si>
    <t>grade</t>
  </si>
  <si>
    <t>A</t>
  </si>
  <si>
    <t>B</t>
  </si>
  <si>
    <t>C</t>
  </si>
  <si>
    <t>D</t>
  </si>
  <si>
    <t>E</t>
  </si>
  <si>
    <t>Consider yourself in the role of a procurement anlyst that is buying paper for a publishing company</t>
  </si>
  <si>
    <t>The publisher prints lots of things (magazines, newspapers, flyers) and requires many kinds of paper.</t>
  </si>
  <si>
    <t>There are four suppliers that you can buy from (alpha, beta, gamma, delta)</t>
  </si>
  <si>
    <t xml:space="preserve">     If a cell is blank, the supplier does not produce that type of paper.</t>
  </si>
  <si>
    <t xml:space="preserve">     Make any assumptions you think are necessary to make</t>
  </si>
  <si>
    <t xml:space="preserve">     What is the total cost of your solution?</t>
  </si>
  <si>
    <t>Annual Demand</t>
  </si>
  <si>
    <t xml:space="preserve">The price per unit from each supplier is in the matrices to the left.  </t>
  </si>
  <si>
    <t xml:space="preserve">     Under normal operating conditions, all suppliers have enough capacity to satisfy demand</t>
  </si>
  <si>
    <t xml:space="preserve">     In times of shortage, it is only possible to procure additional supply from suppliers you are </t>
  </si>
  <si>
    <t xml:space="preserve">          already buying something from</t>
  </si>
  <si>
    <t>Your Solution</t>
  </si>
  <si>
    <t>Which supplier should be selected for each type of paper?  Specify the suppliers in the matrix below</t>
  </si>
  <si>
    <t>Alpha</t>
  </si>
  <si>
    <t>Beta</t>
  </si>
  <si>
    <t>Gamma</t>
  </si>
  <si>
    <t>Delta</t>
  </si>
  <si>
    <t>Paper comes in grades and sizes.  The firm's annual demands are in the matrix below.</t>
  </si>
  <si>
    <t xml:space="preserve">     That is, the firm needs 10 units of paper type A4, B2, B4, C2, D3, E1, and E4.</t>
  </si>
  <si>
    <t xml:space="preserve">     It does not need any of the blank cells (for example, it requires no A1)</t>
  </si>
  <si>
    <t xml:space="preserve">     The paper types can not be substituted.  We can't buy 70 A4 to fill satisfy all demand</t>
  </si>
  <si>
    <t xml:space="preserve">     Your company is a large consumer of paper, but still consumes less than 5% of total supply</t>
  </si>
  <si>
    <t xml:space="preserve">     Can you formulate this problem as a math program?</t>
  </si>
  <si>
    <t>y1</t>
  </si>
  <si>
    <t>y2</t>
  </si>
  <si>
    <t>y3</t>
  </si>
  <si>
    <t>y4</t>
  </si>
  <si>
    <t>&lt;=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</si>
</sst>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6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0" xfId="0" applyFill="1" applyBorder="1" applyAlignment="1"/>
    <xf numFmtId="0" fontId="0" fillId="0" borderId="0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6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D7964-47B1-9049-8830-A22F4C173080}">
  <sheetPr>
    <pageSetUpPr fitToPage="1"/>
  </sheetPr>
  <dimension ref="A1:CD56"/>
  <sheetViews>
    <sheetView showGridLines="0" tabSelected="1" topLeftCell="A10" zoomScale="85" zoomScaleNormal="85" workbookViewId="0">
      <selection activeCell="AC36" sqref="AC36"/>
    </sheetView>
  </sheetViews>
  <sheetFormatPr defaultColWidth="11.19921875" defaultRowHeight="15.6" x14ac:dyDescent="0.3"/>
  <cols>
    <col min="1" max="7" width="4.296875" customWidth="1"/>
    <col min="8" max="21" width="7.796875" customWidth="1"/>
    <col min="22" max="25" width="5.796875" customWidth="1"/>
    <col min="26" max="27" width="7.796875" customWidth="1"/>
    <col min="28" max="28" width="7.69921875" customWidth="1"/>
    <col min="29" max="33" width="7.796875" customWidth="1"/>
    <col min="37" max="37" width="8" customWidth="1"/>
  </cols>
  <sheetData>
    <row r="1" spans="1:29" x14ac:dyDescent="0.3">
      <c r="A1" s="2" t="s">
        <v>20</v>
      </c>
      <c r="C1" t="s">
        <v>0</v>
      </c>
      <c r="H1" t="s">
        <v>7</v>
      </c>
      <c r="T1" s="2" t="s">
        <v>20</v>
      </c>
      <c r="V1" t="s">
        <v>0</v>
      </c>
    </row>
    <row r="2" spans="1:29" x14ac:dyDescent="0.3">
      <c r="B2" s="8"/>
      <c r="C2" s="8">
        <v>1</v>
      </c>
      <c r="D2" s="8">
        <v>2</v>
      </c>
      <c r="E2" s="8">
        <v>3</v>
      </c>
      <c r="F2" s="8">
        <v>4</v>
      </c>
      <c r="G2" s="8"/>
      <c r="H2" t="s">
        <v>8</v>
      </c>
      <c r="U2" s="8"/>
      <c r="V2" s="8">
        <v>1</v>
      </c>
      <c r="W2" s="8">
        <v>2</v>
      </c>
      <c r="X2" s="8">
        <v>3</v>
      </c>
      <c r="Y2" s="8">
        <v>4</v>
      </c>
    </row>
    <row r="3" spans="1:29" x14ac:dyDescent="0.3">
      <c r="A3" t="s">
        <v>1</v>
      </c>
      <c r="B3" s="8" t="s">
        <v>2</v>
      </c>
      <c r="C3" s="7"/>
      <c r="D3" s="7"/>
      <c r="E3" s="1">
        <v>49</v>
      </c>
      <c r="F3" s="1">
        <v>59</v>
      </c>
      <c r="G3" s="8"/>
      <c r="H3" t="s">
        <v>24</v>
      </c>
      <c r="T3" t="s">
        <v>1</v>
      </c>
      <c r="U3" s="8" t="s">
        <v>2</v>
      </c>
      <c r="V3" s="7"/>
      <c r="W3" s="7"/>
      <c r="X3" s="1">
        <v>0</v>
      </c>
      <c r="Y3" s="1">
        <v>0</v>
      </c>
      <c r="AA3">
        <f>SUMPRODUCT(C3:F3,V3:Y3)</f>
        <v>0</v>
      </c>
    </row>
    <row r="4" spans="1:29" x14ac:dyDescent="0.3">
      <c r="B4" s="8" t="s">
        <v>3</v>
      </c>
      <c r="C4" s="7"/>
      <c r="D4" s="7"/>
      <c r="E4" s="1">
        <v>41</v>
      </c>
      <c r="F4" s="1">
        <v>49</v>
      </c>
      <c r="G4" s="8"/>
      <c r="U4" s="8" t="s">
        <v>3</v>
      </c>
      <c r="V4" s="7"/>
      <c r="W4" s="7"/>
      <c r="X4" s="1">
        <v>0</v>
      </c>
      <c r="Y4" s="1">
        <v>3.3928415632544784E-13</v>
      </c>
      <c r="AA4">
        <f t="shared" ref="AA4:AA7" si="0">SUMPRODUCT(C4:F4,V4:Y4)</f>
        <v>1.6624923659946944E-11</v>
      </c>
    </row>
    <row r="5" spans="1:29" x14ac:dyDescent="0.3">
      <c r="B5" s="8" t="s">
        <v>4</v>
      </c>
      <c r="C5" s="7"/>
      <c r="D5" s="7"/>
      <c r="E5" s="1">
        <v>34</v>
      </c>
      <c r="F5" s="1">
        <v>41</v>
      </c>
      <c r="G5" s="8"/>
      <c r="I5" s="2" t="s">
        <v>13</v>
      </c>
      <c r="K5" t="s">
        <v>0</v>
      </c>
      <c r="U5" s="8" t="s">
        <v>4</v>
      </c>
      <c r="V5" s="7"/>
      <c r="W5" s="7"/>
      <c r="X5" s="1">
        <v>0</v>
      </c>
      <c r="Y5" s="1">
        <v>0</v>
      </c>
      <c r="AA5">
        <f t="shared" si="0"/>
        <v>0</v>
      </c>
    </row>
    <row r="6" spans="1:29" x14ac:dyDescent="0.3">
      <c r="B6" s="8" t="s">
        <v>5</v>
      </c>
      <c r="C6" s="7"/>
      <c r="D6" s="7"/>
      <c r="E6" s="1">
        <v>28</v>
      </c>
      <c r="F6" s="1">
        <v>34</v>
      </c>
      <c r="G6" s="8"/>
      <c r="J6" s="8"/>
      <c r="K6" s="8">
        <v>1</v>
      </c>
      <c r="L6" s="8">
        <v>2</v>
      </c>
      <c r="M6" s="8">
        <v>3</v>
      </c>
      <c r="N6" s="8">
        <v>4</v>
      </c>
      <c r="U6" s="8" t="s">
        <v>5</v>
      </c>
      <c r="V6" s="7"/>
      <c r="W6" s="7"/>
      <c r="X6" s="1">
        <v>0</v>
      </c>
      <c r="Y6" s="1">
        <v>0</v>
      </c>
      <c r="AA6">
        <f t="shared" si="0"/>
        <v>0</v>
      </c>
      <c r="AC6" t="s">
        <v>30</v>
      </c>
    </row>
    <row r="7" spans="1:29" x14ac:dyDescent="0.3">
      <c r="B7" s="8" t="s">
        <v>6</v>
      </c>
      <c r="C7" s="7"/>
      <c r="D7" s="7"/>
      <c r="E7" s="4">
        <v>23</v>
      </c>
      <c r="F7" s="1">
        <v>28</v>
      </c>
      <c r="G7" s="8"/>
      <c r="I7" t="s">
        <v>1</v>
      </c>
      <c r="J7" s="8" t="s">
        <v>2</v>
      </c>
      <c r="K7" s="1">
        <v>0</v>
      </c>
      <c r="L7" s="1">
        <v>0</v>
      </c>
      <c r="M7" s="1">
        <v>0</v>
      </c>
      <c r="N7" s="1">
        <v>10</v>
      </c>
      <c r="U7" s="8" t="s">
        <v>6</v>
      </c>
      <c r="V7" s="7"/>
      <c r="W7" s="7"/>
      <c r="X7" s="4">
        <v>0</v>
      </c>
      <c r="Y7" s="1">
        <v>0</v>
      </c>
      <c r="AA7">
        <f t="shared" si="0"/>
        <v>0</v>
      </c>
      <c r="AB7">
        <f>SUM(AA3:AA7)</f>
        <v>1.6624923659946944E-11</v>
      </c>
      <c r="AC7">
        <v>0</v>
      </c>
    </row>
    <row r="8" spans="1:29" x14ac:dyDescent="0.3">
      <c r="C8" s="3"/>
      <c r="D8" s="3"/>
      <c r="E8" s="3"/>
      <c r="F8" s="3"/>
      <c r="J8" s="8" t="s">
        <v>3</v>
      </c>
      <c r="K8" s="1">
        <v>0</v>
      </c>
      <c r="L8" s="1">
        <v>10</v>
      </c>
      <c r="M8" s="1">
        <v>0</v>
      </c>
      <c r="N8" s="1">
        <v>10</v>
      </c>
      <c r="V8" s="3"/>
      <c r="W8" s="3"/>
      <c r="X8" s="3"/>
      <c r="Y8" s="3"/>
      <c r="AC8">
        <f>50000*AC7</f>
        <v>0</v>
      </c>
    </row>
    <row r="9" spans="1:29" x14ac:dyDescent="0.3">
      <c r="A9" s="2" t="s">
        <v>21</v>
      </c>
      <c r="C9" s="3" t="s">
        <v>0</v>
      </c>
      <c r="D9" s="3"/>
      <c r="E9" s="3"/>
      <c r="F9" s="3"/>
      <c r="J9" s="8" t="s">
        <v>4</v>
      </c>
      <c r="K9" s="1">
        <v>0</v>
      </c>
      <c r="L9" s="1">
        <v>10</v>
      </c>
      <c r="M9" s="1">
        <v>0</v>
      </c>
      <c r="N9" s="1">
        <v>0</v>
      </c>
      <c r="T9" s="2" t="s">
        <v>21</v>
      </c>
      <c r="V9" s="3"/>
      <c r="W9" s="3"/>
      <c r="X9" s="3"/>
      <c r="Y9" s="3"/>
    </row>
    <row r="10" spans="1:29" x14ac:dyDescent="0.3">
      <c r="B10" s="8"/>
      <c r="C10" s="8">
        <v>1</v>
      </c>
      <c r="D10" s="8">
        <v>2</v>
      </c>
      <c r="E10" s="8">
        <v>3</v>
      </c>
      <c r="F10" s="8">
        <v>4</v>
      </c>
      <c r="G10" s="8"/>
      <c r="J10" s="8" t="s">
        <v>5</v>
      </c>
      <c r="K10" s="1">
        <v>0</v>
      </c>
      <c r="L10" s="1">
        <v>0</v>
      </c>
      <c r="M10" s="1">
        <v>10</v>
      </c>
      <c r="N10" s="1">
        <v>0</v>
      </c>
      <c r="U10" s="8"/>
      <c r="V10" s="8"/>
      <c r="W10" s="8"/>
      <c r="X10" s="8"/>
      <c r="Y10" s="8"/>
    </row>
    <row r="11" spans="1:29" x14ac:dyDescent="0.3">
      <c r="A11" t="s">
        <v>1</v>
      </c>
      <c r="B11" s="8" t="s">
        <v>2</v>
      </c>
      <c r="C11" s="1">
        <v>33</v>
      </c>
      <c r="D11" s="1">
        <v>39</v>
      </c>
      <c r="E11" s="1">
        <v>46</v>
      </c>
      <c r="F11" s="1">
        <v>54</v>
      </c>
      <c r="G11" s="8"/>
      <c r="J11" s="8" t="s">
        <v>6</v>
      </c>
      <c r="K11" s="1">
        <v>10</v>
      </c>
      <c r="L11" s="1">
        <v>0</v>
      </c>
      <c r="M11" s="1">
        <v>0</v>
      </c>
      <c r="N11" s="1">
        <v>10</v>
      </c>
      <c r="T11" t="s">
        <v>1</v>
      </c>
      <c r="U11" s="8" t="s">
        <v>2</v>
      </c>
      <c r="V11" s="1">
        <v>0</v>
      </c>
      <c r="W11" s="1">
        <v>0</v>
      </c>
      <c r="X11" s="1">
        <v>0</v>
      </c>
      <c r="Y11" s="1">
        <v>0</v>
      </c>
      <c r="AA11">
        <f t="shared" ref="AA11:AA15" si="1">SUMPRODUCT(C11:F11,V11:Y11)</f>
        <v>0</v>
      </c>
    </row>
    <row r="12" spans="1:29" x14ac:dyDescent="0.3">
      <c r="B12" s="8" t="s">
        <v>3</v>
      </c>
      <c r="C12" s="4">
        <v>28</v>
      </c>
      <c r="D12" s="1">
        <v>33</v>
      </c>
      <c r="E12" s="1">
        <v>39</v>
      </c>
      <c r="F12" s="1">
        <v>46</v>
      </c>
      <c r="G12" s="8"/>
      <c r="U12" s="8" t="s">
        <v>3</v>
      </c>
      <c r="V12" s="4">
        <v>0</v>
      </c>
      <c r="W12" s="1">
        <v>0</v>
      </c>
      <c r="X12" s="1">
        <v>0</v>
      </c>
      <c r="Y12" s="1">
        <v>0</v>
      </c>
      <c r="AA12">
        <f t="shared" si="1"/>
        <v>0</v>
      </c>
    </row>
    <row r="13" spans="1:29" x14ac:dyDescent="0.3">
      <c r="B13" s="8" t="s">
        <v>4</v>
      </c>
      <c r="C13" s="7"/>
      <c r="D13" s="7"/>
      <c r="E13" s="7"/>
      <c r="F13" s="7"/>
      <c r="G13" s="9"/>
      <c r="H13" t="s">
        <v>25</v>
      </c>
      <c r="U13" s="8" t="s">
        <v>4</v>
      </c>
      <c r="V13" s="7"/>
      <c r="W13" s="7"/>
      <c r="X13" s="7"/>
      <c r="Y13" s="7"/>
      <c r="AA13">
        <f t="shared" si="1"/>
        <v>0</v>
      </c>
    </row>
    <row r="14" spans="1:29" x14ac:dyDescent="0.3">
      <c r="B14" s="8" t="s">
        <v>5</v>
      </c>
      <c r="C14" s="7"/>
      <c r="D14" s="7"/>
      <c r="E14" s="7"/>
      <c r="F14" s="7"/>
      <c r="G14" s="8"/>
      <c r="H14" t="s">
        <v>26</v>
      </c>
      <c r="U14" s="8" t="s">
        <v>5</v>
      </c>
      <c r="V14" s="7"/>
      <c r="W14" s="7"/>
      <c r="X14" s="7"/>
      <c r="Y14" s="7"/>
      <c r="AA14">
        <f t="shared" si="1"/>
        <v>0</v>
      </c>
      <c r="AC14" t="s">
        <v>31</v>
      </c>
    </row>
    <row r="15" spans="1:29" x14ac:dyDescent="0.3">
      <c r="B15" s="8" t="s">
        <v>6</v>
      </c>
      <c r="C15" s="7"/>
      <c r="D15" s="7"/>
      <c r="E15" s="7"/>
      <c r="F15" s="7"/>
      <c r="G15" s="8"/>
      <c r="H15" t="s">
        <v>27</v>
      </c>
      <c r="U15" s="8" t="s">
        <v>6</v>
      </c>
      <c r="V15" s="7"/>
      <c r="W15" s="7"/>
      <c r="X15" s="7"/>
      <c r="Y15" s="7"/>
      <c r="AA15">
        <f t="shared" si="1"/>
        <v>0</v>
      </c>
      <c r="AB15">
        <f>SUM(AA11:AA15)</f>
        <v>0</v>
      </c>
      <c r="AC15">
        <v>0</v>
      </c>
    </row>
    <row r="16" spans="1:29" x14ac:dyDescent="0.3">
      <c r="C16" s="3"/>
      <c r="D16" s="3"/>
      <c r="E16" s="3"/>
      <c r="F16" s="3"/>
      <c r="H16" t="s">
        <v>9</v>
      </c>
      <c r="V16" s="3"/>
      <c r="W16" s="3"/>
      <c r="X16" s="3"/>
      <c r="Y16" s="3"/>
      <c r="AC16">
        <f>50000*AC15</f>
        <v>0</v>
      </c>
    </row>
    <row r="17" spans="1:29" x14ac:dyDescent="0.3">
      <c r="A17" s="2" t="s">
        <v>22</v>
      </c>
      <c r="C17" s="3" t="s">
        <v>0</v>
      </c>
      <c r="D17" s="3"/>
      <c r="E17" s="3"/>
      <c r="F17" s="3"/>
      <c r="H17" t="s">
        <v>14</v>
      </c>
      <c r="T17" s="2" t="s">
        <v>22</v>
      </c>
      <c r="V17" s="3"/>
      <c r="W17" s="3"/>
      <c r="X17" s="3"/>
      <c r="Y17" s="3"/>
    </row>
    <row r="18" spans="1:29" x14ac:dyDescent="0.3">
      <c r="B18" s="8"/>
      <c r="C18" s="8">
        <v>1</v>
      </c>
      <c r="D18" s="8">
        <v>2</v>
      </c>
      <c r="E18" s="8">
        <v>3</v>
      </c>
      <c r="F18" s="8">
        <v>4</v>
      </c>
      <c r="G18" s="8"/>
      <c r="H18" t="s">
        <v>10</v>
      </c>
      <c r="U18" s="8"/>
      <c r="V18" s="8"/>
      <c r="W18" s="8"/>
      <c r="X18" s="8"/>
      <c r="Y18" s="8"/>
    </row>
    <row r="19" spans="1:29" x14ac:dyDescent="0.3">
      <c r="A19" t="s">
        <v>1</v>
      </c>
      <c r="B19" s="8" t="s">
        <v>2</v>
      </c>
      <c r="C19" s="1">
        <v>35</v>
      </c>
      <c r="D19" s="1">
        <v>46</v>
      </c>
      <c r="E19" s="1">
        <v>60</v>
      </c>
      <c r="F19" s="7"/>
      <c r="G19" s="8"/>
      <c r="H19" t="s">
        <v>15</v>
      </c>
      <c r="T19" t="s">
        <v>1</v>
      </c>
      <c r="U19" s="8" t="s">
        <v>2</v>
      </c>
      <c r="V19" s="1">
        <v>0</v>
      </c>
      <c r="W19" s="1">
        <v>0</v>
      </c>
      <c r="X19" s="1">
        <v>0</v>
      </c>
      <c r="Y19" s="7"/>
      <c r="AA19">
        <f t="shared" ref="AA19:AA23" si="2">SUMPRODUCT(C19:F19,V19:Y19)</f>
        <v>0</v>
      </c>
    </row>
    <row r="20" spans="1:29" x14ac:dyDescent="0.3">
      <c r="B20" s="8" t="s">
        <v>3</v>
      </c>
      <c r="C20" s="1">
        <v>27</v>
      </c>
      <c r="D20" s="1">
        <v>35</v>
      </c>
      <c r="E20" s="1">
        <v>46</v>
      </c>
      <c r="F20" s="7"/>
      <c r="G20" s="8"/>
      <c r="H20" t="s">
        <v>28</v>
      </c>
      <c r="U20" s="8" t="s">
        <v>3</v>
      </c>
      <c r="V20" s="1">
        <v>0</v>
      </c>
      <c r="W20" s="1">
        <v>0</v>
      </c>
      <c r="X20" s="1">
        <v>0</v>
      </c>
      <c r="Y20" s="7"/>
      <c r="AA20">
        <f t="shared" si="2"/>
        <v>0</v>
      </c>
    </row>
    <row r="21" spans="1:29" x14ac:dyDescent="0.3">
      <c r="B21" s="8" t="s">
        <v>4</v>
      </c>
      <c r="C21" s="1">
        <v>21</v>
      </c>
      <c r="D21" s="1">
        <v>27</v>
      </c>
      <c r="E21" s="1">
        <v>35</v>
      </c>
      <c r="F21" s="7"/>
      <c r="G21" s="8"/>
      <c r="H21" s="5" t="s">
        <v>16</v>
      </c>
      <c r="U21" s="8" t="s">
        <v>4</v>
      </c>
      <c r="V21" s="1">
        <v>0</v>
      </c>
      <c r="W21" s="1">
        <v>0</v>
      </c>
      <c r="X21" s="1">
        <v>0</v>
      </c>
      <c r="Y21" s="7"/>
      <c r="AA21">
        <f t="shared" si="2"/>
        <v>0</v>
      </c>
    </row>
    <row r="22" spans="1:29" x14ac:dyDescent="0.3">
      <c r="B22" s="8" t="s">
        <v>5</v>
      </c>
      <c r="C22" s="1">
        <v>16</v>
      </c>
      <c r="D22" s="1">
        <v>21</v>
      </c>
      <c r="E22" s="1">
        <v>27</v>
      </c>
      <c r="F22" s="7"/>
      <c r="G22" s="8"/>
      <c r="H22" s="6" t="s">
        <v>17</v>
      </c>
      <c r="U22" s="8" t="s">
        <v>5</v>
      </c>
      <c r="V22" s="1">
        <v>0</v>
      </c>
      <c r="W22" s="1">
        <v>0</v>
      </c>
      <c r="X22" s="1">
        <v>0</v>
      </c>
      <c r="Y22" s="7"/>
      <c r="AA22">
        <f t="shared" si="2"/>
        <v>0</v>
      </c>
      <c r="AC22" t="s">
        <v>32</v>
      </c>
    </row>
    <row r="23" spans="1:29" x14ac:dyDescent="0.3">
      <c r="B23" s="8" t="s">
        <v>6</v>
      </c>
      <c r="C23" s="4">
        <v>12</v>
      </c>
      <c r="D23" s="1">
        <v>16</v>
      </c>
      <c r="E23" s="1">
        <v>21</v>
      </c>
      <c r="F23" s="7"/>
      <c r="G23" s="10"/>
      <c r="H23" t="s">
        <v>19</v>
      </c>
      <c r="U23" s="8" t="s">
        <v>6</v>
      </c>
      <c r="V23" s="4">
        <v>0</v>
      </c>
      <c r="W23" s="1">
        <v>0</v>
      </c>
      <c r="X23" s="1">
        <v>0</v>
      </c>
      <c r="Y23" s="7"/>
      <c r="AA23">
        <f t="shared" si="2"/>
        <v>0</v>
      </c>
      <c r="AB23">
        <f>SUM(AA19:AA23)</f>
        <v>0</v>
      </c>
      <c r="AC23">
        <v>0</v>
      </c>
    </row>
    <row r="24" spans="1:29" x14ac:dyDescent="0.3">
      <c r="C24" s="3"/>
      <c r="D24" s="3"/>
      <c r="E24" s="3"/>
      <c r="F24" s="3"/>
      <c r="V24" s="3"/>
      <c r="W24" s="3"/>
      <c r="X24" s="3"/>
      <c r="Y24" s="3"/>
      <c r="AC24">
        <f>50000*AC23</f>
        <v>0</v>
      </c>
    </row>
    <row r="25" spans="1:29" x14ac:dyDescent="0.3">
      <c r="A25" s="2" t="s">
        <v>23</v>
      </c>
      <c r="C25" s="3" t="s">
        <v>0</v>
      </c>
      <c r="D25" s="3"/>
      <c r="E25" s="3"/>
      <c r="F25" s="3"/>
      <c r="I25" s="2" t="s">
        <v>18</v>
      </c>
      <c r="K25" s="3" t="s">
        <v>0</v>
      </c>
      <c r="L25" s="3"/>
      <c r="M25" s="3"/>
      <c r="N25" s="3"/>
      <c r="T25" s="2" t="s">
        <v>23</v>
      </c>
      <c r="V25" s="3"/>
      <c r="W25" s="3"/>
      <c r="X25" s="3"/>
      <c r="Y25" s="3"/>
    </row>
    <row r="26" spans="1:29" x14ac:dyDescent="0.3">
      <c r="B26" s="8"/>
      <c r="C26" s="8">
        <v>1</v>
      </c>
      <c r="D26" s="8">
        <v>2</v>
      </c>
      <c r="E26" s="8">
        <v>3</v>
      </c>
      <c r="F26" s="8">
        <v>4</v>
      </c>
      <c r="G26" s="8"/>
      <c r="J26" s="8"/>
      <c r="K26" s="8">
        <v>1</v>
      </c>
      <c r="L26" s="8">
        <v>2</v>
      </c>
      <c r="M26" s="8">
        <v>3</v>
      </c>
      <c r="N26" s="8">
        <v>4</v>
      </c>
      <c r="U26" s="8"/>
      <c r="V26" s="8"/>
      <c r="W26" s="8"/>
      <c r="X26" s="8"/>
      <c r="Y26" s="8"/>
    </row>
    <row r="27" spans="1:29" x14ac:dyDescent="0.3">
      <c r="A27" t="s">
        <v>1</v>
      </c>
      <c r="B27" s="8" t="s">
        <v>2</v>
      </c>
      <c r="C27" s="1">
        <v>38</v>
      </c>
      <c r="D27" s="1">
        <v>49</v>
      </c>
      <c r="E27" s="1">
        <v>64</v>
      </c>
      <c r="F27" s="1">
        <v>73</v>
      </c>
      <c r="G27" s="8"/>
      <c r="I27" t="s">
        <v>1</v>
      </c>
      <c r="J27" s="8" t="s">
        <v>2</v>
      </c>
      <c r="K27" s="1">
        <f>V27+V19+V11+V3</f>
        <v>0</v>
      </c>
      <c r="L27" s="1">
        <f t="shared" ref="L27:N31" si="3">W27+W19+W11+W3</f>
        <v>3.5527136788005009E-15</v>
      </c>
      <c r="M27" s="1">
        <f t="shared" si="3"/>
        <v>1.7763568394002505E-15</v>
      </c>
      <c r="N27" s="1">
        <f t="shared" si="3"/>
        <v>9.9999999999998934</v>
      </c>
      <c r="T27" t="s">
        <v>1</v>
      </c>
      <c r="U27" s="8" t="s">
        <v>2</v>
      </c>
      <c r="V27" s="1">
        <v>0</v>
      </c>
      <c r="W27" s="1">
        <v>3.5527136788005009E-15</v>
      </c>
      <c r="X27" s="1">
        <v>1.7763568394002505E-15</v>
      </c>
      <c r="Y27" s="1">
        <v>9.9999999999998934</v>
      </c>
      <c r="AA27">
        <f t="shared" ref="AA27:AA31" si="4">SUMPRODUCT(C27:F27,V27:Y27)</f>
        <v>729.99999999999261</v>
      </c>
    </row>
    <row r="28" spans="1:29" x14ac:dyDescent="0.3">
      <c r="B28" s="8" t="s">
        <v>3</v>
      </c>
      <c r="C28" s="1">
        <v>29</v>
      </c>
      <c r="D28" s="1">
        <v>38</v>
      </c>
      <c r="E28" s="1">
        <v>49</v>
      </c>
      <c r="F28" s="1">
        <v>64</v>
      </c>
      <c r="G28" s="8"/>
      <c r="J28" s="8" t="s">
        <v>3</v>
      </c>
      <c r="K28" s="1">
        <f t="shared" ref="K28:K31" si="5">V28+V20+V12+V4</f>
        <v>0</v>
      </c>
      <c r="L28" s="1">
        <f t="shared" si="3"/>
        <v>10.000000000000004</v>
      </c>
      <c r="M28" s="1">
        <f t="shared" si="3"/>
        <v>0</v>
      </c>
      <c r="N28" s="1">
        <f t="shared" si="3"/>
        <v>10.000000000000126</v>
      </c>
      <c r="U28" s="8" t="s">
        <v>3</v>
      </c>
      <c r="V28" s="1">
        <v>0</v>
      </c>
      <c r="W28" s="1">
        <v>10.000000000000004</v>
      </c>
      <c r="X28" s="1">
        <v>0</v>
      </c>
      <c r="Y28" s="1">
        <v>9.9999999999997868</v>
      </c>
      <c r="AA28">
        <f t="shared" si="4"/>
        <v>1019.9999999999865</v>
      </c>
    </row>
    <row r="29" spans="1:29" x14ac:dyDescent="0.3">
      <c r="B29" s="8" t="s">
        <v>4</v>
      </c>
      <c r="C29" s="1">
        <v>22</v>
      </c>
      <c r="D29" s="1">
        <v>29</v>
      </c>
      <c r="E29" s="1">
        <v>38</v>
      </c>
      <c r="F29" s="1">
        <v>49</v>
      </c>
      <c r="G29" s="8"/>
      <c r="J29" s="8" t="s">
        <v>4</v>
      </c>
      <c r="K29" s="1">
        <f t="shared" si="5"/>
        <v>0</v>
      </c>
      <c r="L29" s="1">
        <f t="shared" si="3"/>
        <v>10</v>
      </c>
      <c r="M29" s="1">
        <f t="shared" si="3"/>
        <v>0</v>
      </c>
      <c r="N29" s="1">
        <f t="shared" si="3"/>
        <v>0</v>
      </c>
      <c r="U29" s="8" t="s">
        <v>4</v>
      </c>
      <c r="V29" s="1">
        <v>0</v>
      </c>
      <c r="W29" s="1">
        <v>10</v>
      </c>
      <c r="X29" s="1">
        <v>0</v>
      </c>
      <c r="Y29" s="1">
        <v>0</v>
      </c>
      <c r="AA29">
        <f t="shared" si="4"/>
        <v>290</v>
      </c>
    </row>
    <row r="30" spans="1:29" x14ac:dyDescent="0.3">
      <c r="B30" s="8" t="s">
        <v>5</v>
      </c>
      <c r="C30" s="1">
        <v>17</v>
      </c>
      <c r="D30" s="1">
        <v>22</v>
      </c>
      <c r="E30" s="1">
        <v>29</v>
      </c>
      <c r="F30" s="1">
        <v>38</v>
      </c>
      <c r="G30" s="8"/>
      <c r="J30" s="8" t="s">
        <v>5</v>
      </c>
      <c r="K30" s="1">
        <f t="shared" si="5"/>
        <v>0</v>
      </c>
      <c r="L30" s="1">
        <f t="shared" si="3"/>
        <v>1.4210854715202004E-14</v>
      </c>
      <c r="M30" s="1">
        <f t="shared" si="3"/>
        <v>10.000000000000213</v>
      </c>
      <c r="N30" s="1">
        <f t="shared" si="3"/>
        <v>0</v>
      </c>
      <c r="U30" s="8" t="s">
        <v>5</v>
      </c>
      <c r="V30" s="1">
        <v>0</v>
      </c>
      <c r="W30" s="1">
        <v>1.4210854715202004E-14</v>
      </c>
      <c r="X30" s="1">
        <v>10.000000000000213</v>
      </c>
      <c r="Y30" s="1">
        <v>0</v>
      </c>
      <c r="AA30">
        <f t="shared" si="4"/>
        <v>290.00000000000648</v>
      </c>
      <c r="AC30" t="s">
        <v>33</v>
      </c>
    </row>
    <row r="31" spans="1:29" x14ac:dyDescent="0.3">
      <c r="B31" s="8" t="s">
        <v>6</v>
      </c>
      <c r="C31" s="4">
        <v>13</v>
      </c>
      <c r="D31" s="1">
        <v>17</v>
      </c>
      <c r="E31" s="1">
        <v>22</v>
      </c>
      <c r="F31" s="1">
        <v>29</v>
      </c>
      <c r="G31" s="8"/>
      <c r="J31" s="8" t="s">
        <v>6</v>
      </c>
      <c r="K31" s="1">
        <f t="shared" si="5"/>
        <v>10.000000000000014</v>
      </c>
      <c r="L31" s="1">
        <f t="shared" si="3"/>
        <v>1.4210854715202004E-14</v>
      </c>
      <c r="M31" s="1">
        <f t="shared" si="3"/>
        <v>0</v>
      </c>
      <c r="N31" s="1">
        <f t="shared" si="3"/>
        <v>9.9999999999997868</v>
      </c>
      <c r="U31" s="8" t="s">
        <v>6</v>
      </c>
      <c r="V31" s="4">
        <v>10.000000000000014</v>
      </c>
      <c r="W31" s="1">
        <v>1.4210854715202004E-14</v>
      </c>
      <c r="X31" s="1">
        <v>0</v>
      </c>
      <c r="Y31" s="1">
        <v>9.9999999999997868</v>
      </c>
      <c r="AA31">
        <f t="shared" si="4"/>
        <v>419.9999999999942</v>
      </c>
      <c r="AB31">
        <f>SUM(AA27:AA31)</f>
        <v>2749.9999999999795</v>
      </c>
      <c r="AC31">
        <v>1</v>
      </c>
    </row>
    <row r="32" spans="1:29" x14ac:dyDescent="0.3">
      <c r="AC32">
        <f>50000*AC31</f>
        <v>50000</v>
      </c>
    </row>
    <row r="33" spans="8:29" x14ac:dyDescent="0.3">
      <c r="H33" t="s">
        <v>12</v>
      </c>
      <c r="AA33">
        <f>SUM(AA3:AA31)</f>
        <v>2749.9999999999964</v>
      </c>
    </row>
    <row r="34" spans="8:29" x14ac:dyDescent="0.3">
      <c r="H34" t="s">
        <v>11</v>
      </c>
      <c r="AC34">
        <f>SUM(AC31+AC23+AC15+AC7)</f>
        <v>1</v>
      </c>
    </row>
    <row r="35" spans="8:29" x14ac:dyDescent="0.3">
      <c r="H35" t="s">
        <v>29</v>
      </c>
      <c r="AC35" t="s">
        <v>34</v>
      </c>
    </row>
    <row r="36" spans="8:29" x14ac:dyDescent="0.3">
      <c r="AC36">
        <v>1</v>
      </c>
    </row>
    <row r="49" spans="79:82" x14ac:dyDescent="0.3">
      <c r="CA49">
        <v>0</v>
      </c>
      <c r="CB49">
        <v>0</v>
      </c>
      <c r="CC49">
        <v>0</v>
      </c>
      <c r="CD49">
        <v>0</v>
      </c>
    </row>
    <row r="52" spans="79:82" x14ac:dyDescent="0.3">
      <c r="CA52">
        <v>0</v>
      </c>
      <c r="CB52">
        <v>0</v>
      </c>
      <c r="CC52">
        <v>0</v>
      </c>
      <c r="CD52">
        <v>0</v>
      </c>
    </row>
    <row r="53" spans="79:82" x14ac:dyDescent="0.3">
      <c r="CA53">
        <v>0</v>
      </c>
      <c r="CB53">
        <v>0</v>
      </c>
      <c r="CC53">
        <v>0</v>
      </c>
      <c r="CD53">
        <v>0</v>
      </c>
    </row>
    <row r="54" spans="79:82" x14ac:dyDescent="0.3">
      <c r="CA54">
        <v>0</v>
      </c>
      <c r="CB54">
        <v>0</v>
      </c>
      <c r="CC54">
        <v>0</v>
      </c>
      <c r="CD54">
        <v>0</v>
      </c>
    </row>
    <row r="55" spans="79:82" x14ac:dyDescent="0.3">
      <c r="CA55">
        <v>0</v>
      </c>
      <c r="CB55">
        <v>0</v>
      </c>
      <c r="CC55">
        <v>0</v>
      </c>
      <c r="CD55">
        <v>0</v>
      </c>
    </row>
    <row r="56" spans="79:82" x14ac:dyDescent="0.3">
      <c r="CA56">
        <v>0</v>
      </c>
      <c r="CB56">
        <v>0</v>
      </c>
      <c r="CC56">
        <v>0</v>
      </c>
      <c r="CD56">
        <v>0</v>
      </c>
    </row>
  </sheetData>
  <pageMargins left="0.5" right="0.5" top="0.75" bottom="0.75" header="0.5" footer="0.5"/>
  <pageSetup scale="87" orientation="landscape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Assignment</vt:lpstr>
      <vt:lpstr>Assignment!Print_Area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Anup Sreekumar</cp:lastModifiedBy>
  <cp:lastPrinted>2018-04-23T12:06:45Z</cp:lastPrinted>
  <dcterms:created xsi:type="dcterms:W3CDTF">2015-05-01T20:43:53Z</dcterms:created>
  <dcterms:modified xsi:type="dcterms:W3CDTF">2022-04-13T13:53:17Z</dcterms:modified>
</cp:coreProperties>
</file>