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p/Dropbox (MIT)/_Teaching/Courses/15.763/Spring 2022/Class 11 - Supply Chain Resiliency/___GroupExercise/"/>
    </mc:Choice>
  </mc:AlternateContent>
  <xr:revisionPtr revIDLastSave="0" documentId="13_ncr:1_{2B8262D0-1346-364F-8AED-0056D46A9B80}" xr6:coauthVersionLast="47" xr6:coauthVersionMax="47" xr10:uidLastSave="{00000000-0000-0000-0000-000000000000}"/>
  <bookViews>
    <workbookView xWindow="0" yWindow="760" windowWidth="34560" windowHeight="20020" xr2:uid="{9F64951F-ADC8-0C46-BF32-35AC844EA915}"/>
  </bookViews>
  <sheets>
    <sheet name="BaseCase" sheetId="1" r:id="rId1"/>
    <sheet name="DemandAggregation" sheetId="2" r:id="rId2"/>
    <sheet name="Foil" sheetId="6" r:id="rId3"/>
  </sheets>
  <definedNames>
    <definedName name="OpenSolver_ChosenSolver" localSheetId="0" hidden="1">CBC</definedName>
    <definedName name="OpenSolver_ChosenSolver" localSheetId="1" hidden="1">CBC</definedName>
    <definedName name="OpenSolver_ChosenSolver" localSheetId="2" hidden="1">CBC</definedName>
    <definedName name="OpenSolver_DualsNewSheet" localSheetId="0" hidden="1">0</definedName>
    <definedName name="OpenSolver_DualsNewSheet" localSheetId="1" hidden="1">0</definedName>
    <definedName name="OpenSolver_DualsNewSheet" localSheetId="2" hidden="1">0</definedName>
    <definedName name="OpenSolver_LinearityCheck" localSheetId="0" hidden="1">1</definedName>
    <definedName name="OpenSolver_LinearityCheck" localSheetId="1" hidden="1">1</definedName>
    <definedName name="OpenSolver_LinearityCheck" localSheetId="2" hidden="1">1</definedName>
    <definedName name="OpenSolver_UpdateSensitivity" localSheetId="0" hidden="1">1</definedName>
    <definedName name="OpenSolver_UpdateSensitivity" localSheetId="1" hidden="1">1</definedName>
    <definedName name="OpenSolver_UpdateSensitivity" localSheetId="2" hidden="1">1</definedName>
    <definedName name="solver_adj" localSheetId="0" hidden="1">BaseCase!$L$2:$L$13,BaseCase!$N$2:$N$13</definedName>
    <definedName name="solver_adj" localSheetId="1" hidden="1">DemandAggregation!$L$2:$L$13,DemandAggregation!$N$2:$N$13</definedName>
    <definedName name="solver_adj" localSheetId="2" hidden="1">Foil!$L$2:$L$13,Foil!$N$2:$N$13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BaseCase!$D$16:$D$19</definedName>
    <definedName name="solver_lhs1" localSheetId="1" hidden="1">DemandAggregation!$D$16:$D$19</definedName>
    <definedName name="solver_lhs1" localSheetId="2" hidden="1">Foil!$D$16:$D$19</definedName>
    <definedName name="solver_lhs2" localSheetId="0" hidden="1">BaseCase!$N$2:$N$13</definedName>
    <definedName name="solver_lhs2" localSheetId="1" hidden="1">DemandAggregation!$L$2:$L$13</definedName>
    <definedName name="solver_lhs2" localSheetId="2" hidden="1">Foil!$L$2:$L$13</definedName>
    <definedName name="solver_lhs3" localSheetId="0" hidden="1">BaseCase!$L$2:$L$13</definedName>
    <definedName name="solver_lhs3" localSheetId="1" hidden="1">DemandAggregation!$N$2:$N$13</definedName>
    <definedName name="solver_lhs3" localSheetId="2" hidden="1">Foil!$N$2:$N$13</definedName>
    <definedName name="solver_lhs4" localSheetId="0" hidden="1">BaseCase!$N$2:$N$13</definedName>
    <definedName name="solver_lhs4" localSheetId="1" hidden="1">DemandAggregation!$E$26</definedName>
    <definedName name="solver_lhs4" localSheetId="2" hidden="1">Foil!$E$26</definedName>
    <definedName name="solver_lhs5" localSheetId="0" hidden="1">BaseCase!$E$26</definedName>
    <definedName name="solver_lhs5" localSheetId="1" hidden="1">DemandAggregation!$E$25</definedName>
    <definedName name="solver_lhs5" localSheetId="2" hidden="1">Foil!$E$25</definedName>
    <definedName name="solver_lhs6" localSheetId="0" hidden="1">BaseCase!$E$25</definedName>
    <definedName name="solver_lhs6" localSheetId="1" hidden="1">DemandAggregation!$J$16:$J$18</definedName>
    <definedName name="solver_lhs6" localSheetId="2" hidden="1">Foil!$J$16:$J$18</definedName>
    <definedName name="solver_lhs7" localSheetId="1" hidden="1">DemandAggregation!$J$22:$J$23</definedName>
    <definedName name="solver_lhs7" localSheetId="2" hidden="1">Foil!$J$22:$J$23</definedName>
    <definedName name="solver_lhs8" localSheetId="2" hidden="1">Foil!$M$16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um" localSheetId="0" hidden="1">6</definedName>
    <definedName name="solver_num" localSheetId="1" hidden="1">7</definedName>
    <definedName name="solver_num" localSheetId="2" hidden="1">8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BaseCase!$H$18</definedName>
    <definedName name="solver_opt" localSheetId="1" hidden="1">DemandAggregation!$H$18</definedName>
    <definedName name="solver_opt" localSheetId="2" hidden="1">Foil!$H$18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1</definedName>
    <definedName name="solver_rel2" localSheetId="1" hidden="1">5</definedName>
    <definedName name="solver_rel2" localSheetId="2" hidden="1">5</definedName>
    <definedName name="solver_rel3" localSheetId="0" hidden="1">5</definedName>
    <definedName name="solver_rel3" localSheetId="1" hidden="1">1</definedName>
    <definedName name="solver_rel3" localSheetId="2" hidden="1">1</definedName>
    <definedName name="solver_rel4" localSheetId="0" hidden="1">1</definedName>
    <definedName name="solver_rel4" localSheetId="1" hidden="1">1</definedName>
    <definedName name="solver_rel4" localSheetId="2" hidden="1">1</definedName>
    <definedName name="solver_rel5" localSheetId="0" hidden="1">1</definedName>
    <definedName name="solver_rel5" localSheetId="1" hidden="1">1</definedName>
    <definedName name="solver_rel5" localSheetId="2" hidden="1">1</definedName>
    <definedName name="solver_rel6" localSheetId="0" hidden="1">1</definedName>
    <definedName name="solver_rel6" localSheetId="1" hidden="1">1</definedName>
    <definedName name="solver_rel6" localSheetId="2" hidden="1">1</definedName>
    <definedName name="solver_rel7" localSheetId="1" hidden="1">1</definedName>
    <definedName name="solver_rel7" localSheetId="2" hidden="1">1</definedName>
    <definedName name="solver_rel8" localSheetId="2" hidden="1">1</definedName>
    <definedName name="solver_rhs1" localSheetId="0" hidden="1">BaseCase!$C$16:$C$19</definedName>
    <definedName name="solver_rhs1" localSheetId="1" hidden="1">DemandAggregation!$C$16:$C$19</definedName>
    <definedName name="solver_rhs1" localSheetId="2" hidden="1">Foil!$C$16:$C$19</definedName>
    <definedName name="solver_rhs2" localSheetId="0" hidden="1">BaseCase!$K$2:$K$13</definedName>
    <definedName name="solver_rhs2" localSheetId="1" hidden="1">binary</definedName>
    <definedName name="solver_rhs2" localSheetId="2" hidden="1">binary</definedName>
    <definedName name="solver_rhs3" localSheetId="0" hidden="1">binary</definedName>
    <definedName name="solver_rhs3" localSheetId="1" hidden="1">DemandAggregation!$M$2:$M$13</definedName>
    <definedName name="solver_rhs3" localSheetId="2" hidden="1">Foil!$M$2:$M$13</definedName>
    <definedName name="solver_rhs4" localSheetId="0" hidden="1">BaseCase!$M$2:$M$13</definedName>
    <definedName name="solver_rhs4" localSheetId="1" hidden="1">DemandAggregation!$B$26</definedName>
    <definedName name="solver_rhs4" localSheetId="2" hidden="1">Foil!$B$26</definedName>
    <definedName name="solver_rhs5" localSheetId="0" hidden="1">BaseCase!$B$26</definedName>
    <definedName name="solver_rhs5" localSheetId="1" hidden="1">DemandAggregation!$E$24</definedName>
    <definedName name="solver_rhs5" localSheetId="2" hidden="1">Foil!$E$24</definedName>
    <definedName name="solver_rhs6" localSheetId="0" hidden="1">BaseCase!$E$24</definedName>
    <definedName name="solver_rhs6" localSheetId="1" hidden="1">DemandAggregation!$K$16:$K$18</definedName>
    <definedName name="solver_rhs6" localSheetId="2" hidden="1">Foil!$K$16:$K$18</definedName>
    <definedName name="solver_rhs7" localSheetId="1" hidden="1">DemandAggregation!$K$22:$K$23</definedName>
    <definedName name="solver_rhs7" localSheetId="2" hidden="1">Foil!$K$22:$K$23</definedName>
    <definedName name="solver_rhs8" localSheetId="2" hidden="1">Foil!$N$16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ho" localSheetId="0" hidden="1">0</definedName>
    <definedName name="solver_sho" localSheetId="1" hidden="1">0</definedName>
    <definedName name="solver_sho" localSheetId="2" hidden="1">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0.05</definedName>
    <definedName name="solver_tol" localSheetId="1" hidden="1">0.05</definedName>
    <definedName name="solver_tol" localSheetId="2" hidden="1">0.05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2" l="1"/>
  <c r="M12" i="2"/>
  <c r="M11" i="2"/>
  <c r="M10" i="2"/>
  <c r="M9" i="2"/>
  <c r="M8" i="2"/>
  <c r="M7" i="2"/>
  <c r="M6" i="2"/>
  <c r="M5" i="2"/>
  <c r="M4" i="2"/>
  <c r="M3" i="2"/>
  <c r="M2" i="2"/>
  <c r="F2" i="6"/>
  <c r="H2" i="6" s="1"/>
  <c r="J2" i="6" s="1"/>
  <c r="O2" i="6"/>
  <c r="H16" i="6" s="1"/>
  <c r="F3" i="6"/>
  <c r="H3" i="6"/>
  <c r="J3" i="6"/>
  <c r="O3" i="6"/>
  <c r="F4" i="6"/>
  <c r="H4" i="6" s="1"/>
  <c r="J4" i="6" s="1"/>
  <c r="O4" i="6"/>
  <c r="F5" i="6"/>
  <c r="H5" i="6"/>
  <c r="J5" i="6"/>
  <c r="O5" i="6"/>
  <c r="F6" i="6"/>
  <c r="H6" i="6" s="1"/>
  <c r="J6" i="6" s="1"/>
  <c r="O6" i="6"/>
  <c r="F7" i="6"/>
  <c r="H7" i="6"/>
  <c r="J7" i="6"/>
  <c r="O7" i="6"/>
  <c r="F8" i="6"/>
  <c r="H8" i="6" s="1"/>
  <c r="J8" i="6" s="1"/>
  <c r="O8" i="6"/>
  <c r="F9" i="6"/>
  <c r="H9" i="6"/>
  <c r="J9" i="6"/>
  <c r="M9" i="6"/>
  <c r="O9" i="6"/>
  <c r="F10" i="6"/>
  <c r="H10" i="6" s="1"/>
  <c r="J10" i="6" s="1"/>
  <c r="O10" i="6"/>
  <c r="F11" i="6"/>
  <c r="H11" i="6"/>
  <c r="J11" i="6"/>
  <c r="O11" i="6"/>
  <c r="F12" i="6"/>
  <c r="H12" i="6" s="1"/>
  <c r="J12" i="6" s="1"/>
  <c r="O12" i="6"/>
  <c r="F13" i="6"/>
  <c r="H13" i="6"/>
  <c r="J13" i="6"/>
  <c r="O13" i="6"/>
  <c r="D16" i="6"/>
  <c r="E16" i="6" s="1"/>
  <c r="H17" i="6" s="1"/>
  <c r="J16" i="6"/>
  <c r="K16" i="6"/>
  <c r="M16" i="6"/>
  <c r="N16" i="6"/>
  <c r="C17" i="6"/>
  <c r="D17" i="6"/>
  <c r="E17" i="6" s="1"/>
  <c r="J17" i="6"/>
  <c r="K17" i="6"/>
  <c r="C18" i="6"/>
  <c r="D18" i="6"/>
  <c r="E18" i="6"/>
  <c r="J18" i="6"/>
  <c r="K18" i="6"/>
  <c r="C19" i="6"/>
  <c r="D19" i="6"/>
  <c r="E19" i="6" s="1"/>
  <c r="H20" i="6"/>
  <c r="J22" i="6"/>
  <c r="K22" i="6"/>
  <c r="J23" i="6"/>
  <c r="K23" i="6"/>
  <c r="E25" i="6"/>
  <c r="B26" i="6"/>
  <c r="M5" i="6" s="1"/>
  <c r="E26" i="6"/>
  <c r="H18" i="6" l="1"/>
  <c r="M11" i="6"/>
  <c r="M12" i="6"/>
  <c r="M10" i="6"/>
  <c r="M8" i="6"/>
  <c r="M6" i="6"/>
  <c r="M4" i="6"/>
  <c r="M2" i="6"/>
  <c r="M7" i="6"/>
  <c r="M13" i="6"/>
  <c r="M3" i="6"/>
  <c r="D19" i="1" l="1"/>
  <c r="E19" i="1" s="1"/>
  <c r="D18" i="1"/>
  <c r="E18" i="1" s="1"/>
  <c r="D17" i="1"/>
  <c r="E17" i="1" s="1"/>
  <c r="D16" i="1"/>
  <c r="E16" i="1" s="1"/>
  <c r="F13" i="1"/>
  <c r="F12" i="1"/>
  <c r="H12" i="1" s="1"/>
  <c r="F11" i="1"/>
  <c r="H11" i="1" s="1"/>
  <c r="F10" i="1"/>
  <c r="F9" i="1"/>
  <c r="F8" i="1"/>
  <c r="H8" i="1" s="1"/>
  <c r="F7" i="1"/>
  <c r="H7" i="1" s="1"/>
  <c r="F6" i="1"/>
  <c r="F5" i="1"/>
  <c r="H5" i="1" s="1"/>
  <c r="F4" i="1"/>
  <c r="F3" i="1"/>
  <c r="F2" i="1"/>
  <c r="H10" i="1"/>
  <c r="H13" i="1"/>
  <c r="D19" i="2"/>
  <c r="E19" i="2" s="1"/>
  <c r="D18" i="2"/>
  <c r="E18" i="2" s="1"/>
  <c r="D17" i="2"/>
  <c r="E17" i="2" s="1"/>
  <c r="D16" i="2"/>
  <c r="E16" i="2" s="1"/>
  <c r="K23" i="2"/>
  <c r="K22" i="2"/>
  <c r="J23" i="2"/>
  <c r="J22" i="2"/>
  <c r="K18" i="2"/>
  <c r="K17" i="2"/>
  <c r="K16" i="2"/>
  <c r="J18" i="2"/>
  <c r="J17" i="2"/>
  <c r="J16" i="2"/>
  <c r="F13" i="2"/>
  <c r="F12" i="2"/>
  <c r="F11" i="2"/>
  <c r="H11" i="2" s="1"/>
  <c r="F10" i="2"/>
  <c r="H10" i="2" s="1"/>
  <c r="F9" i="2"/>
  <c r="H9" i="2" s="1"/>
  <c r="F8" i="2"/>
  <c r="H8" i="2" s="1"/>
  <c r="F7" i="2"/>
  <c r="H7" i="2" s="1"/>
  <c r="F6" i="2"/>
  <c r="H6" i="2" s="1"/>
  <c r="F5" i="2"/>
  <c r="H5" i="2" s="1"/>
  <c r="F4" i="2"/>
  <c r="H4" i="2" s="1"/>
  <c r="F3" i="2"/>
  <c r="H3" i="2" s="1"/>
  <c r="F2" i="2"/>
  <c r="H2" i="2" s="1"/>
  <c r="H6" i="1"/>
  <c r="C19" i="1"/>
  <c r="C18" i="1"/>
  <c r="C17" i="1"/>
  <c r="C16" i="1"/>
  <c r="C16" i="2"/>
  <c r="C19" i="2"/>
  <c r="C18" i="2"/>
  <c r="C17" i="2"/>
  <c r="B26" i="2"/>
  <c r="E25" i="2"/>
  <c r="E26" i="2" s="1"/>
  <c r="H20" i="2"/>
  <c r="O8" i="2"/>
  <c r="H13" i="2"/>
  <c r="H12" i="2"/>
  <c r="J12" i="2" s="1"/>
  <c r="O6" i="2"/>
  <c r="O4" i="2"/>
  <c r="B26" i="1"/>
  <c r="M6" i="1" s="1"/>
  <c r="H20" i="1"/>
  <c r="M3" i="1"/>
  <c r="E25" i="1"/>
  <c r="E26" i="1" s="1"/>
  <c r="H9" i="1"/>
  <c r="H4" i="1"/>
  <c r="H3" i="1"/>
  <c r="H2" i="1"/>
  <c r="O13" i="1"/>
  <c r="O9" i="1"/>
  <c r="O6" i="1"/>
  <c r="M5" i="1" l="1"/>
  <c r="M4" i="1"/>
  <c r="M2" i="1"/>
  <c r="M12" i="1"/>
  <c r="M11" i="1"/>
  <c r="M9" i="1"/>
  <c r="M7" i="1"/>
  <c r="M13" i="1"/>
  <c r="M10" i="1"/>
  <c r="M8" i="1"/>
  <c r="J7" i="2"/>
  <c r="O7" i="2"/>
  <c r="H17" i="2"/>
  <c r="J10" i="2"/>
  <c r="O10" i="2"/>
  <c r="J9" i="2"/>
  <c r="O9" i="2"/>
  <c r="J8" i="2"/>
  <c r="O2" i="2"/>
  <c r="J2" i="2"/>
  <c r="J13" i="2"/>
  <c r="O13" i="2"/>
  <c r="O12" i="2"/>
  <c r="J6" i="2"/>
  <c r="J4" i="2"/>
  <c r="J9" i="1"/>
  <c r="J13" i="1"/>
  <c r="J6" i="1"/>
  <c r="H17" i="1"/>
  <c r="J8" i="1" l="1"/>
  <c r="O8" i="1"/>
  <c r="J10" i="1"/>
  <c r="O10" i="1"/>
  <c r="O4" i="1"/>
  <c r="J4" i="1"/>
  <c r="J11" i="1"/>
  <c r="O11" i="1"/>
  <c r="O5" i="1"/>
  <c r="J5" i="1"/>
  <c r="J3" i="1"/>
  <c r="O3" i="1"/>
  <c r="J2" i="1"/>
  <c r="O2" i="1"/>
  <c r="J12" i="1"/>
  <c r="O12" i="1"/>
  <c r="J7" i="1"/>
  <c r="O7" i="1"/>
  <c r="O11" i="2" l="1"/>
  <c r="J11" i="2"/>
  <c r="O3" i="2"/>
  <c r="J3" i="2"/>
  <c r="O5" i="2"/>
  <c r="J5" i="2"/>
  <c r="H16" i="1"/>
  <c r="H18" i="1" s="1"/>
  <c r="H16" i="2" l="1"/>
  <c r="H18" i="2" s="1"/>
</calcChain>
</file>

<file path=xl/sharedStrings.xml><?xml version="1.0" encoding="utf-8"?>
<sst xmlns="http://schemas.openxmlformats.org/spreadsheetml/2006/main" count="247" uniqueCount="62">
  <si>
    <t>Unscented</t>
  </si>
  <si>
    <t>Fresh</t>
  </si>
  <si>
    <t>Tropical</t>
  </si>
  <si>
    <t>SKU ID</t>
  </si>
  <si>
    <t>Product Fragrance</t>
  </si>
  <si>
    <t>Quantity Per Box</t>
  </si>
  <si>
    <t>Sales Price</t>
  </si>
  <si>
    <t>Weekly Demand</t>
  </si>
  <si>
    <t>Foil</t>
  </si>
  <si>
    <t>Liquid</t>
  </si>
  <si>
    <t>Cardboard</t>
  </si>
  <si>
    <t>Resin</t>
  </si>
  <si>
    <t>Cost Per Unit</t>
  </si>
  <si>
    <t>Cost Per Box</t>
  </si>
  <si>
    <t>Gross Margin</t>
  </si>
  <si>
    <t>Production Quantity</t>
  </si>
  <si>
    <t>Material Multiplier</t>
  </si>
  <si>
    <t>UOM Available</t>
  </si>
  <si>
    <t>UOM Required</t>
  </si>
  <si>
    <t>Sales Revenue</t>
  </si>
  <si>
    <t>Material Cost</t>
  </si>
  <si>
    <t>Total Sales Revenue</t>
  </si>
  <si>
    <t>Total Cost</t>
  </si>
  <si>
    <t>Gross Profit</t>
  </si>
  <si>
    <t>Time Available</t>
  </si>
  <si>
    <t>Time Required</t>
  </si>
  <si>
    <t>SKU Produced</t>
  </si>
  <si>
    <t>SKU Upper Bound</t>
  </si>
  <si>
    <t>Unmet Demand</t>
  </si>
  <si>
    <t>Cost Per Base Unit</t>
  </si>
  <si>
    <t>Base Foil Required</t>
  </si>
  <si>
    <t>Days per week</t>
  </si>
  <si>
    <t>Shifts per day</t>
  </si>
  <si>
    <t>Hours per shift</t>
  </si>
  <si>
    <t>Uptime %</t>
  </si>
  <si>
    <t>Min per hour</t>
  </si>
  <si>
    <t>Run Time (min/unit)</t>
  </si>
  <si>
    <t>Setup Time (min/SKU)</t>
  </si>
  <si>
    <t>Maximum Allowed Setups</t>
  </si>
  <si>
    <t>Actual Number Setups</t>
  </si>
  <si>
    <t>Actual</t>
  </si>
  <si>
    <t>Maximum Sales</t>
  </si>
  <si>
    <t>Actual Production</t>
  </si>
  <si>
    <t>Production</t>
  </si>
  <si>
    <t>Maximum</t>
  </si>
  <si>
    <t>Sales</t>
  </si>
  <si>
    <t>Total</t>
  </si>
  <si>
    <t>Cleaning Purpose</t>
  </si>
  <si>
    <t>Heavy Duty</t>
  </si>
  <si>
    <t>SKU_H_U_20</t>
  </si>
  <si>
    <t>SKU_H_U_60</t>
  </si>
  <si>
    <t>SKU_H_F_32</t>
  </si>
  <si>
    <t>SKU_H_F_60</t>
  </si>
  <si>
    <t>Basic</t>
  </si>
  <si>
    <t>SKU_B_U_20</t>
  </si>
  <si>
    <t>SKU_B_U_60</t>
  </si>
  <si>
    <t>SKU_B_F_32</t>
  </si>
  <si>
    <t>SKU_B_F_60</t>
  </si>
  <si>
    <t>SKU_B_T_32</t>
  </si>
  <si>
    <t>SKU_B_T_60</t>
  </si>
  <si>
    <t>SKU_H_T_32</t>
  </si>
  <si>
    <t>SKU_H_T_60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</si>
</sst>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urier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8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6" fontId="2" fillId="0" borderId="0" xfId="0" applyNumberFormat="1" applyFont="1" applyBorder="1" applyAlignment="1">
      <alignment horizontal="center"/>
    </xf>
    <xf numFmtId="9" fontId="2" fillId="0" borderId="1" xfId="1" applyNumberFormat="1" applyFont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6" fontId="2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12</xdr:col>
      <xdr:colOff>0</xdr:colOff>
      <xdr:row>13</xdr:row>
      <xdr:rowOff>0</xdr:rowOff>
    </xdr:to>
    <xdr:sp macro="" textlink="">
      <xdr:nvSpPr>
        <xdr:cNvPr id="128" name="OpenSolver1">
          <a:extLst>
            <a:ext uri="{FF2B5EF4-FFF2-40B4-BE49-F238E27FC236}">
              <a16:creationId xmlns:a16="http://schemas.microsoft.com/office/drawing/2014/main" id="{1B63B0E9-7CC4-FED1-C02E-404B45FD27AE}"/>
            </a:ext>
          </a:extLst>
        </xdr:cNvPr>
        <xdr:cNvSpPr/>
      </xdr:nvSpPr>
      <xdr:spPr>
        <a:xfrm>
          <a:off x="11938000" y="431800"/>
          <a:ext cx="1054100" cy="24384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14</xdr:col>
      <xdr:colOff>0</xdr:colOff>
      <xdr:row>13</xdr:row>
      <xdr:rowOff>0</xdr:rowOff>
    </xdr:to>
    <xdr:sp macro="" textlink="">
      <xdr:nvSpPr>
        <xdr:cNvPr id="129" name="OpenSolver2">
          <a:extLst>
            <a:ext uri="{FF2B5EF4-FFF2-40B4-BE49-F238E27FC236}">
              <a16:creationId xmlns:a16="http://schemas.microsoft.com/office/drawing/2014/main" id="{4A193A24-1463-59AC-8237-8825916F0EB8}"/>
            </a:ext>
          </a:extLst>
        </xdr:cNvPr>
        <xdr:cNvSpPr/>
      </xdr:nvSpPr>
      <xdr:spPr>
        <a:xfrm>
          <a:off x="14046200" y="431800"/>
          <a:ext cx="1054100" cy="24384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130" name="OpenSolver3">
          <a:extLst>
            <a:ext uri="{FF2B5EF4-FFF2-40B4-BE49-F238E27FC236}">
              <a16:creationId xmlns:a16="http://schemas.microsoft.com/office/drawing/2014/main" id="{68524F1D-7860-504E-0E70-AF3A33182E4F}"/>
            </a:ext>
          </a:extLst>
        </xdr:cNvPr>
        <xdr:cNvSpPr/>
      </xdr:nvSpPr>
      <xdr:spPr>
        <a:xfrm>
          <a:off x="7721600" y="3911600"/>
          <a:ext cx="1054100" cy="2032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6</xdr:col>
      <xdr:colOff>1041400</xdr:colOff>
      <xdr:row>16</xdr:row>
      <xdr:rowOff>127000</xdr:rowOff>
    </xdr:from>
    <xdr:to>
      <xdr:col>7</xdr:col>
      <xdr:colOff>236535</xdr:colOff>
      <xdr:row>17</xdr:row>
      <xdr:rowOff>50800</xdr:rowOff>
    </xdr:to>
    <xdr:sp macro="" textlink="">
      <xdr:nvSpPr>
        <xdr:cNvPr id="131" name="OpenSolver4">
          <a:extLst>
            <a:ext uri="{FF2B5EF4-FFF2-40B4-BE49-F238E27FC236}">
              <a16:creationId xmlns:a16="http://schemas.microsoft.com/office/drawing/2014/main" id="{D47698CD-1DE5-B017-5B2E-6D82F0F8CF3D}"/>
            </a:ext>
          </a:extLst>
        </xdr:cNvPr>
        <xdr:cNvSpPr/>
      </xdr:nvSpPr>
      <xdr:spPr>
        <a:xfrm>
          <a:off x="7708900" y="38354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132" name="OpenSolver5">
          <a:extLst>
            <a:ext uri="{FF2B5EF4-FFF2-40B4-BE49-F238E27FC236}">
              <a16:creationId xmlns:a16="http://schemas.microsoft.com/office/drawing/2014/main" id="{FD959DDF-AD4D-AC66-FB06-395160627DCD}"/>
            </a:ext>
          </a:extLst>
        </xdr:cNvPr>
        <xdr:cNvSpPr/>
      </xdr:nvSpPr>
      <xdr:spPr>
        <a:xfrm>
          <a:off x="2451100" y="3505200"/>
          <a:ext cx="1054100" cy="812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133" name="OpenSolver6">
          <a:extLst>
            <a:ext uri="{FF2B5EF4-FFF2-40B4-BE49-F238E27FC236}">
              <a16:creationId xmlns:a16="http://schemas.microsoft.com/office/drawing/2014/main" id="{32759627-8A53-F38E-E115-CEF830A0F019}"/>
            </a:ext>
          </a:extLst>
        </xdr:cNvPr>
        <xdr:cNvSpPr/>
      </xdr:nvSpPr>
      <xdr:spPr>
        <a:xfrm>
          <a:off x="3505200" y="3505200"/>
          <a:ext cx="1054100" cy="812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134" name="OpenSolver7">
          <a:extLst>
            <a:ext uri="{FF2B5EF4-FFF2-40B4-BE49-F238E27FC236}">
              <a16:creationId xmlns:a16="http://schemas.microsoft.com/office/drawing/2014/main" id="{F953FFF2-54AB-E1D5-6264-F4F33B71350A}"/>
            </a:ext>
          </a:extLst>
        </xdr:cNvPr>
        <xdr:cNvCxnSpPr>
          <a:stCxn id="132" idx="3"/>
          <a:endCxn id="133" idx="1"/>
        </xdr:cNvCxnSpPr>
      </xdr:nvCxnSpPr>
      <xdr:spPr>
        <a:xfrm>
          <a:off x="3505200" y="3911600"/>
          <a:ext cx="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863600</xdr:colOff>
      <xdr:row>16</xdr:row>
      <xdr:rowOff>76200</xdr:rowOff>
    </xdr:from>
    <xdr:to>
      <xdr:col>3</xdr:col>
      <xdr:colOff>190500</xdr:colOff>
      <xdr:row>17</xdr:row>
      <xdr:rowOff>127000</xdr:rowOff>
    </xdr:to>
    <xdr:sp macro="" textlink="">
      <xdr:nvSpPr>
        <xdr:cNvPr id="135" name="OpenSolver8">
          <a:extLst>
            <a:ext uri="{FF2B5EF4-FFF2-40B4-BE49-F238E27FC236}">
              <a16:creationId xmlns:a16="http://schemas.microsoft.com/office/drawing/2014/main" id="{8DDA355E-03F2-D98B-1454-19C98416C2E5}"/>
            </a:ext>
          </a:extLst>
        </xdr:cNvPr>
        <xdr:cNvSpPr/>
      </xdr:nvSpPr>
      <xdr:spPr>
        <a:xfrm>
          <a:off x="3314700" y="3784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1</xdr:row>
      <xdr:rowOff>0</xdr:rowOff>
    </xdr:from>
    <xdr:to>
      <xdr:col>11</xdr:col>
      <xdr:colOff>0</xdr:colOff>
      <xdr:row>13</xdr:row>
      <xdr:rowOff>0</xdr:rowOff>
    </xdr:to>
    <xdr:sp macro="" textlink="">
      <xdr:nvSpPr>
        <xdr:cNvPr id="136" name="OpenSolver9">
          <a:extLst>
            <a:ext uri="{FF2B5EF4-FFF2-40B4-BE49-F238E27FC236}">
              <a16:creationId xmlns:a16="http://schemas.microsoft.com/office/drawing/2014/main" id="{8077055D-DDBC-186A-A62D-3237A15C1280}"/>
            </a:ext>
          </a:extLst>
        </xdr:cNvPr>
        <xdr:cNvSpPr/>
      </xdr:nvSpPr>
      <xdr:spPr>
        <a:xfrm>
          <a:off x="10883900" y="431800"/>
          <a:ext cx="1054100" cy="24384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13</xdr:col>
      <xdr:colOff>12700</xdr:colOff>
      <xdr:row>1</xdr:row>
      <xdr:rowOff>12700</xdr:rowOff>
    </xdr:from>
    <xdr:to>
      <xdr:col>14</xdr:col>
      <xdr:colOff>0</xdr:colOff>
      <xdr:row>13</xdr:row>
      <xdr:rowOff>0</xdr:rowOff>
    </xdr:to>
    <xdr:sp macro="" textlink="">
      <xdr:nvSpPr>
        <xdr:cNvPr id="137" name="OpenSolver10">
          <a:extLst>
            <a:ext uri="{FF2B5EF4-FFF2-40B4-BE49-F238E27FC236}">
              <a16:creationId xmlns:a16="http://schemas.microsoft.com/office/drawing/2014/main" id="{7A3A2CDC-F3BE-DB9E-BEC7-4951906531F7}"/>
            </a:ext>
          </a:extLst>
        </xdr:cNvPr>
        <xdr:cNvSpPr/>
      </xdr:nvSpPr>
      <xdr:spPr>
        <a:xfrm>
          <a:off x="14058900" y="444500"/>
          <a:ext cx="1041400" cy="24257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12700</xdr:colOff>
      <xdr:row>7</xdr:row>
      <xdr:rowOff>6350</xdr:rowOff>
    </xdr:to>
    <xdr:cxnSp macro="">
      <xdr:nvCxnSpPr>
        <xdr:cNvPr id="138" name="OpenSolver11">
          <a:extLst>
            <a:ext uri="{FF2B5EF4-FFF2-40B4-BE49-F238E27FC236}">
              <a16:creationId xmlns:a16="http://schemas.microsoft.com/office/drawing/2014/main" id="{D68C9C05-6699-450B-86E2-63F0984EC698}"/>
            </a:ext>
          </a:extLst>
        </xdr:cNvPr>
        <xdr:cNvCxnSpPr>
          <a:stCxn id="136" idx="3"/>
          <a:endCxn id="137" idx="1"/>
        </xdr:cNvCxnSpPr>
      </xdr:nvCxnSpPr>
      <xdr:spPr>
        <a:xfrm>
          <a:off x="11938000" y="1651000"/>
          <a:ext cx="2120900" cy="635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869950</xdr:colOff>
      <xdr:row>6</xdr:row>
      <xdr:rowOff>79375</xdr:rowOff>
    </xdr:from>
    <xdr:to>
      <xdr:col>12</xdr:col>
      <xdr:colOff>196850</xdr:colOff>
      <xdr:row>7</xdr:row>
      <xdr:rowOff>130175</xdr:rowOff>
    </xdr:to>
    <xdr:sp macro="" textlink="">
      <xdr:nvSpPr>
        <xdr:cNvPr id="139" name="OpenSolver12">
          <a:extLst>
            <a:ext uri="{FF2B5EF4-FFF2-40B4-BE49-F238E27FC236}">
              <a16:creationId xmlns:a16="http://schemas.microsoft.com/office/drawing/2014/main" id="{965A4F44-C954-8060-8A7E-73F92B85F2AC}"/>
            </a:ext>
          </a:extLst>
        </xdr:cNvPr>
        <xdr:cNvSpPr/>
      </xdr:nvSpPr>
      <xdr:spPr>
        <a:xfrm>
          <a:off x="12807950" y="152717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40" name="OpenSolver13">
          <a:extLst>
            <a:ext uri="{FF2B5EF4-FFF2-40B4-BE49-F238E27FC236}">
              <a16:creationId xmlns:a16="http://schemas.microsoft.com/office/drawing/2014/main" id="{9574AF77-E0BA-CE8E-9302-EBC2F38598AC}"/>
            </a:ext>
          </a:extLst>
        </xdr:cNvPr>
        <xdr:cNvSpPr/>
      </xdr:nvSpPr>
      <xdr:spPr>
        <a:xfrm>
          <a:off x="12992100" y="431800"/>
          <a:ext cx="1054100" cy="24384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13</xdr:col>
      <xdr:colOff>25400</xdr:colOff>
      <xdr:row>1</xdr:row>
      <xdr:rowOff>25400</xdr:rowOff>
    </xdr:from>
    <xdr:to>
      <xdr:col>14</xdr:col>
      <xdr:colOff>0</xdr:colOff>
      <xdr:row>13</xdr:row>
      <xdr:rowOff>0</xdr:rowOff>
    </xdr:to>
    <xdr:sp macro="" textlink="">
      <xdr:nvSpPr>
        <xdr:cNvPr id="141" name="OpenSolver14">
          <a:extLst>
            <a:ext uri="{FF2B5EF4-FFF2-40B4-BE49-F238E27FC236}">
              <a16:creationId xmlns:a16="http://schemas.microsoft.com/office/drawing/2014/main" id="{8B31B028-3290-303C-80D6-2C499BCCEBDE}"/>
            </a:ext>
          </a:extLst>
        </xdr:cNvPr>
        <xdr:cNvSpPr/>
      </xdr:nvSpPr>
      <xdr:spPr>
        <a:xfrm>
          <a:off x="14071600" y="457200"/>
          <a:ext cx="1028700" cy="24130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25400</xdr:colOff>
      <xdr:row>7</xdr:row>
      <xdr:rowOff>12700</xdr:rowOff>
    </xdr:to>
    <xdr:cxnSp macro="">
      <xdr:nvCxnSpPr>
        <xdr:cNvPr id="142" name="OpenSolver15">
          <a:extLst>
            <a:ext uri="{FF2B5EF4-FFF2-40B4-BE49-F238E27FC236}">
              <a16:creationId xmlns:a16="http://schemas.microsoft.com/office/drawing/2014/main" id="{FBC39578-2E82-FA75-46F7-DC63C904355C}"/>
            </a:ext>
          </a:extLst>
        </xdr:cNvPr>
        <xdr:cNvCxnSpPr>
          <a:stCxn id="140" idx="3"/>
          <a:endCxn id="141" idx="1"/>
        </xdr:cNvCxnSpPr>
      </xdr:nvCxnSpPr>
      <xdr:spPr>
        <a:xfrm>
          <a:off x="14046200" y="1651000"/>
          <a:ext cx="25400" cy="1270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876300</xdr:colOff>
      <xdr:row>6</xdr:row>
      <xdr:rowOff>82550</xdr:rowOff>
    </xdr:from>
    <xdr:to>
      <xdr:col>13</xdr:col>
      <xdr:colOff>203200</xdr:colOff>
      <xdr:row>7</xdr:row>
      <xdr:rowOff>133350</xdr:rowOff>
    </xdr:to>
    <xdr:sp macro="" textlink="">
      <xdr:nvSpPr>
        <xdr:cNvPr id="143" name="OpenSolver16">
          <a:extLst>
            <a:ext uri="{FF2B5EF4-FFF2-40B4-BE49-F238E27FC236}">
              <a16:creationId xmlns:a16="http://schemas.microsoft.com/office/drawing/2014/main" id="{DB11334E-6A49-F76A-4B47-30873EE134A4}"/>
            </a:ext>
          </a:extLst>
        </xdr:cNvPr>
        <xdr:cNvSpPr/>
      </xdr:nvSpPr>
      <xdr:spPr>
        <a:xfrm>
          <a:off x="13868400" y="153035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144" name="OpenSolver17">
          <a:extLst>
            <a:ext uri="{FF2B5EF4-FFF2-40B4-BE49-F238E27FC236}">
              <a16:creationId xmlns:a16="http://schemas.microsoft.com/office/drawing/2014/main" id="{EA8AFA78-49DA-3FF4-AD8C-2E422B6759C9}"/>
            </a:ext>
          </a:extLst>
        </xdr:cNvPr>
        <xdr:cNvSpPr/>
      </xdr:nvSpPr>
      <xdr:spPr>
        <a:xfrm>
          <a:off x="1397000" y="5537200"/>
          <a:ext cx="1054100" cy="203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45" name="OpenSolver18">
          <a:extLst>
            <a:ext uri="{FF2B5EF4-FFF2-40B4-BE49-F238E27FC236}">
              <a16:creationId xmlns:a16="http://schemas.microsoft.com/office/drawing/2014/main" id="{041E1502-AD32-4D51-3393-C475AD7DE997}"/>
            </a:ext>
          </a:extLst>
        </xdr:cNvPr>
        <xdr:cNvSpPr/>
      </xdr:nvSpPr>
      <xdr:spPr>
        <a:xfrm>
          <a:off x="4559300" y="5537200"/>
          <a:ext cx="1054100" cy="203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2</xdr:col>
      <xdr:colOff>0</xdr:colOff>
      <xdr:row>25</xdr:row>
      <xdr:rowOff>101600</xdr:rowOff>
    </xdr:from>
    <xdr:to>
      <xdr:col>4</xdr:col>
      <xdr:colOff>0</xdr:colOff>
      <xdr:row>25</xdr:row>
      <xdr:rowOff>101600</xdr:rowOff>
    </xdr:to>
    <xdr:cxnSp macro="">
      <xdr:nvCxnSpPr>
        <xdr:cNvPr id="146" name="OpenSolver19">
          <a:extLst>
            <a:ext uri="{FF2B5EF4-FFF2-40B4-BE49-F238E27FC236}">
              <a16:creationId xmlns:a16="http://schemas.microsoft.com/office/drawing/2014/main" id="{854A13D9-8DDB-5E1E-ADEB-7BEC52370106}"/>
            </a:ext>
          </a:extLst>
        </xdr:cNvPr>
        <xdr:cNvCxnSpPr>
          <a:stCxn id="144" idx="3"/>
          <a:endCxn id="145" idx="1"/>
        </xdr:cNvCxnSpPr>
      </xdr:nvCxnSpPr>
      <xdr:spPr>
        <a:xfrm>
          <a:off x="2451100" y="5638800"/>
          <a:ext cx="210820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863600</xdr:colOff>
      <xdr:row>24</xdr:row>
      <xdr:rowOff>177800</xdr:rowOff>
    </xdr:from>
    <xdr:to>
      <xdr:col>3</xdr:col>
      <xdr:colOff>190500</xdr:colOff>
      <xdr:row>26</xdr:row>
      <xdr:rowOff>25400</xdr:rowOff>
    </xdr:to>
    <xdr:sp macro="" textlink="">
      <xdr:nvSpPr>
        <xdr:cNvPr id="147" name="OpenSolver20">
          <a:extLst>
            <a:ext uri="{FF2B5EF4-FFF2-40B4-BE49-F238E27FC236}">
              <a16:creationId xmlns:a16="http://schemas.microsoft.com/office/drawing/2014/main" id="{9158A780-7D72-5CF3-548A-1E4C19A03B15}"/>
            </a:ext>
          </a:extLst>
        </xdr:cNvPr>
        <xdr:cNvSpPr/>
      </xdr:nvSpPr>
      <xdr:spPr>
        <a:xfrm>
          <a:off x="3314700" y="55118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48" name="OpenSolver21">
          <a:extLst>
            <a:ext uri="{FF2B5EF4-FFF2-40B4-BE49-F238E27FC236}">
              <a16:creationId xmlns:a16="http://schemas.microsoft.com/office/drawing/2014/main" id="{361A14CD-2A1D-8078-535A-26B8CA27FE88}"/>
            </a:ext>
          </a:extLst>
        </xdr:cNvPr>
        <xdr:cNvSpPr/>
      </xdr:nvSpPr>
      <xdr:spPr>
        <a:xfrm>
          <a:off x="4559300" y="5130800"/>
          <a:ext cx="1054100" cy="2032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sp macro="" textlink="">
      <xdr:nvSpPr>
        <xdr:cNvPr id="149" name="OpenSolver22">
          <a:extLst>
            <a:ext uri="{FF2B5EF4-FFF2-40B4-BE49-F238E27FC236}">
              <a16:creationId xmlns:a16="http://schemas.microsoft.com/office/drawing/2014/main" id="{CC0533F8-79ED-B737-3981-D9A3A277A5DD}"/>
            </a:ext>
          </a:extLst>
        </xdr:cNvPr>
        <xdr:cNvSpPr/>
      </xdr:nvSpPr>
      <xdr:spPr>
        <a:xfrm>
          <a:off x="4559300" y="5334000"/>
          <a:ext cx="1054100" cy="2032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CC33"/>
              </a:solidFill>
            </a:rPr>
            <a:t>≥</a:t>
          </a:r>
        </a:p>
      </xdr:txBody>
    </xdr:sp>
    <xdr:clientData/>
  </xdr:twoCellAnchor>
  <xdr:twoCellAnchor>
    <xdr:from>
      <xdr:col>4</xdr:col>
      <xdr:colOff>527050</xdr:colOff>
      <xdr:row>24</xdr:row>
      <xdr:rowOff>0</xdr:rowOff>
    </xdr:from>
    <xdr:to>
      <xdr:col>4</xdr:col>
      <xdr:colOff>527050</xdr:colOff>
      <xdr:row>24</xdr:row>
      <xdr:rowOff>0</xdr:rowOff>
    </xdr:to>
    <xdr:cxnSp macro="">
      <xdr:nvCxnSpPr>
        <xdr:cNvPr id="150" name="OpenSolver23">
          <a:extLst>
            <a:ext uri="{FF2B5EF4-FFF2-40B4-BE49-F238E27FC236}">
              <a16:creationId xmlns:a16="http://schemas.microsoft.com/office/drawing/2014/main" id="{3A329F4F-533A-1915-5ACD-29B59885367F}"/>
            </a:ext>
          </a:extLst>
        </xdr:cNvPr>
        <xdr:cNvCxnSpPr>
          <a:stCxn id="148" idx="2"/>
          <a:endCxn id="149" idx="0"/>
        </xdr:cNvCxnSpPr>
      </xdr:nvCxnSpPr>
      <xdr:spPr>
        <a:xfrm>
          <a:off x="5086350" y="5334000"/>
          <a:ext cx="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336550</xdr:colOff>
      <xdr:row>23</xdr:row>
      <xdr:rowOff>76200</xdr:rowOff>
    </xdr:from>
    <xdr:to>
      <xdr:col>4</xdr:col>
      <xdr:colOff>717550</xdr:colOff>
      <xdr:row>24</xdr:row>
      <xdr:rowOff>127000</xdr:rowOff>
    </xdr:to>
    <xdr:sp macro="" textlink="">
      <xdr:nvSpPr>
        <xdr:cNvPr id="151" name="OpenSolver24">
          <a:extLst>
            <a:ext uri="{FF2B5EF4-FFF2-40B4-BE49-F238E27FC236}">
              <a16:creationId xmlns:a16="http://schemas.microsoft.com/office/drawing/2014/main" id="{19DD885E-266B-9B8F-0CAA-AD21E4D9CF02}"/>
            </a:ext>
          </a:extLst>
        </xdr:cNvPr>
        <xdr:cNvSpPr/>
      </xdr:nvSpPr>
      <xdr:spPr>
        <a:xfrm>
          <a:off x="4895850" y="52070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12700</xdr:colOff>
      <xdr:row>1</xdr:row>
      <xdr:rowOff>12700</xdr:rowOff>
    </xdr:from>
    <xdr:to>
      <xdr:col>11</xdr:col>
      <xdr:colOff>99006</xdr:colOff>
      <xdr:row>1</xdr:row>
      <xdr:rowOff>127000</xdr:rowOff>
    </xdr:to>
    <xdr:sp macro="" textlink="">
      <xdr:nvSpPr>
        <xdr:cNvPr id="152" name="OpenSolver25">
          <a:extLst>
            <a:ext uri="{FF2B5EF4-FFF2-40B4-BE49-F238E27FC236}">
              <a16:creationId xmlns:a16="http://schemas.microsoft.com/office/drawing/2014/main" id="{A618ADFF-4D3F-78DC-93A0-63BE35C27EF5}"/>
            </a:ext>
          </a:extLst>
        </xdr:cNvPr>
        <xdr:cNvSpPr/>
      </xdr:nvSpPr>
      <xdr:spPr>
        <a:xfrm>
          <a:off x="11950700" y="444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2</xdr:row>
      <xdr:rowOff>12700</xdr:rowOff>
    </xdr:from>
    <xdr:to>
      <xdr:col>11</xdr:col>
      <xdr:colOff>99006</xdr:colOff>
      <xdr:row>2</xdr:row>
      <xdr:rowOff>127000</xdr:rowOff>
    </xdr:to>
    <xdr:sp macro="" textlink="">
      <xdr:nvSpPr>
        <xdr:cNvPr id="153" name="OpenSolver26">
          <a:extLst>
            <a:ext uri="{FF2B5EF4-FFF2-40B4-BE49-F238E27FC236}">
              <a16:creationId xmlns:a16="http://schemas.microsoft.com/office/drawing/2014/main" id="{EEE48385-6598-8773-EB2D-CA257E96B8ED}"/>
            </a:ext>
          </a:extLst>
        </xdr:cNvPr>
        <xdr:cNvSpPr/>
      </xdr:nvSpPr>
      <xdr:spPr>
        <a:xfrm>
          <a:off x="11950700" y="647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3</xdr:row>
      <xdr:rowOff>12700</xdr:rowOff>
    </xdr:from>
    <xdr:to>
      <xdr:col>11</xdr:col>
      <xdr:colOff>99006</xdr:colOff>
      <xdr:row>3</xdr:row>
      <xdr:rowOff>127000</xdr:rowOff>
    </xdr:to>
    <xdr:sp macro="" textlink="">
      <xdr:nvSpPr>
        <xdr:cNvPr id="154" name="OpenSolver27">
          <a:extLst>
            <a:ext uri="{FF2B5EF4-FFF2-40B4-BE49-F238E27FC236}">
              <a16:creationId xmlns:a16="http://schemas.microsoft.com/office/drawing/2014/main" id="{F367E0B0-6DB3-F23E-0642-C6368940863B}"/>
            </a:ext>
          </a:extLst>
        </xdr:cNvPr>
        <xdr:cNvSpPr/>
      </xdr:nvSpPr>
      <xdr:spPr>
        <a:xfrm>
          <a:off x="11950700" y="850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4</xdr:row>
      <xdr:rowOff>12700</xdr:rowOff>
    </xdr:from>
    <xdr:to>
      <xdr:col>11</xdr:col>
      <xdr:colOff>99006</xdr:colOff>
      <xdr:row>4</xdr:row>
      <xdr:rowOff>127000</xdr:rowOff>
    </xdr:to>
    <xdr:sp macro="" textlink="">
      <xdr:nvSpPr>
        <xdr:cNvPr id="155" name="OpenSolver28">
          <a:extLst>
            <a:ext uri="{FF2B5EF4-FFF2-40B4-BE49-F238E27FC236}">
              <a16:creationId xmlns:a16="http://schemas.microsoft.com/office/drawing/2014/main" id="{98283C2C-FD15-983C-74EC-9A4E3226CC06}"/>
            </a:ext>
          </a:extLst>
        </xdr:cNvPr>
        <xdr:cNvSpPr/>
      </xdr:nvSpPr>
      <xdr:spPr>
        <a:xfrm>
          <a:off x="11950700" y="105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5</xdr:row>
      <xdr:rowOff>12700</xdr:rowOff>
    </xdr:from>
    <xdr:to>
      <xdr:col>11</xdr:col>
      <xdr:colOff>99006</xdr:colOff>
      <xdr:row>5</xdr:row>
      <xdr:rowOff>127000</xdr:rowOff>
    </xdr:to>
    <xdr:sp macro="" textlink="">
      <xdr:nvSpPr>
        <xdr:cNvPr id="156" name="OpenSolver29">
          <a:extLst>
            <a:ext uri="{FF2B5EF4-FFF2-40B4-BE49-F238E27FC236}">
              <a16:creationId xmlns:a16="http://schemas.microsoft.com/office/drawing/2014/main" id="{A527A562-28A9-166B-BD02-595DE13B9F2D}"/>
            </a:ext>
          </a:extLst>
        </xdr:cNvPr>
        <xdr:cNvSpPr/>
      </xdr:nvSpPr>
      <xdr:spPr>
        <a:xfrm>
          <a:off x="119507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6</xdr:row>
      <xdr:rowOff>12700</xdr:rowOff>
    </xdr:from>
    <xdr:to>
      <xdr:col>11</xdr:col>
      <xdr:colOff>99006</xdr:colOff>
      <xdr:row>6</xdr:row>
      <xdr:rowOff>127000</xdr:rowOff>
    </xdr:to>
    <xdr:sp macro="" textlink="">
      <xdr:nvSpPr>
        <xdr:cNvPr id="157" name="OpenSolver30">
          <a:extLst>
            <a:ext uri="{FF2B5EF4-FFF2-40B4-BE49-F238E27FC236}">
              <a16:creationId xmlns:a16="http://schemas.microsoft.com/office/drawing/2014/main" id="{6DA36534-F51D-68D9-E61B-C77C8F5B7E96}"/>
            </a:ext>
          </a:extLst>
        </xdr:cNvPr>
        <xdr:cNvSpPr/>
      </xdr:nvSpPr>
      <xdr:spPr>
        <a:xfrm>
          <a:off x="11950700" y="1460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7</xdr:row>
      <xdr:rowOff>12700</xdr:rowOff>
    </xdr:from>
    <xdr:to>
      <xdr:col>11</xdr:col>
      <xdr:colOff>99006</xdr:colOff>
      <xdr:row>7</xdr:row>
      <xdr:rowOff>127000</xdr:rowOff>
    </xdr:to>
    <xdr:sp macro="" textlink="">
      <xdr:nvSpPr>
        <xdr:cNvPr id="158" name="OpenSolver31">
          <a:extLst>
            <a:ext uri="{FF2B5EF4-FFF2-40B4-BE49-F238E27FC236}">
              <a16:creationId xmlns:a16="http://schemas.microsoft.com/office/drawing/2014/main" id="{CAC943DB-2889-AD39-F52B-B150DF276593}"/>
            </a:ext>
          </a:extLst>
        </xdr:cNvPr>
        <xdr:cNvSpPr/>
      </xdr:nvSpPr>
      <xdr:spPr>
        <a:xfrm>
          <a:off x="11950700" y="1663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8</xdr:row>
      <xdr:rowOff>12700</xdr:rowOff>
    </xdr:from>
    <xdr:to>
      <xdr:col>11</xdr:col>
      <xdr:colOff>99006</xdr:colOff>
      <xdr:row>8</xdr:row>
      <xdr:rowOff>127000</xdr:rowOff>
    </xdr:to>
    <xdr:sp macro="" textlink="">
      <xdr:nvSpPr>
        <xdr:cNvPr id="159" name="OpenSolver32">
          <a:extLst>
            <a:ext uri="{FF2B5EF4-FFF2-40B4-BE49-F238E27FC236}">
              <a16:creationId xmlns:a16="http://schemas.microsoft.com/office/drawing/2014/main" id="{37E7B2CB-A619-20E8-2515-3E5D339A9207}"/>
            </a:ext>
          </a:extLst>
        </xdr:cNvPr>
        <xdr:cNvSpPr/>
      </xdr:nvSpPr>
      <xdr:spPr>
        <a:xfrm>
          <a:off x="11950700" y="1866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9</xdr:row>
      <xdr:rowOff>12700</xdr:rowOff>
    </xdr:from>
    <xdr:to>
      <xdr:col>11</xdr:col>
      <xdr:colOff>99006</xdr:colOff>
      <xdr:row>9</xdr:row>
      <xdr:rowOff>127000</xdr:rowOff>
    </xdr:to>
    <xdr:sp macro="" textlink="">
      <xdr:nvSpPr>
        <xdr:cNvPr id="160" name="OpenSolver33">
          <a:extLst>
            <a:ext uri="{FF2B5EF4-FFF2-40B4-BE49-F238E27FC236}">
              <a16:creationId xmlns:a16="http://schemas.microsoft.com/office/drawing/2014/main" id="{58A8781B-B00B-ABB3-6306-228A746C7DDB}"/>
            </a:ext>
          </a:extLst>
        </xdr:cNvPr>
        <xdr:cNvSpPr/>
      </xdr:nvSpPr>
      <xdr:spPr>
        <a:xfrm>
          <a:off x="11950700" y="2070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10</xdr:row>
      <xdr:rowOff>12700</xdr:rowOff>
    </xdr:from>
    <xdr:to>
      <xdr:col>11</xdr:col>
      <xdr:colOff>99006</xdr:colOff>
      <xdr:row>10</xdr:row>
      <xdr:rowOff>127000</xdr:rowOff>
    </xdr:to>
    <xdr:sp macro="" textlink="">
      <xdr:nvSpPr>
        <xdr:cNvPr id="161" name="OpenSolver34">
          <a:extLst>
            <a:ext uri="{FF2B5EF4-FFF2-40B4-BE49-F238E27FC236}">
              <a16:creationId xmlns:a16="http://schemas.microsoft.com/office/drawing/2014/main" id="{981B9732-739E-8034-F8EE-7D60BC0C1C44}"/>
            </a:ext>
          </a:extLst>
        </xdr:cNvPr>
        <xdr:cNvSpPr/>
      </xdr:nvSpPr>
      <xdr:spPr>
        <a:xfrm>
          <a:off x="11950700" y="2273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11</xdr:row>
      <xdr:rowOff>12700</xdr:rowOff>
    </xdr:from>
    <xdr:to>
      <xdr:col>11</xdr:col>
      <xdr:colOff>99006</xdr:colOff>
      <xdr:row>11</xdr:row>
      <xdr:rowOff>127000</xdr:rowOff>
    </xdr:to>
    <xdr:sp macro="" textlink="">
      <xdr:nvSpPr>
        <xdr:cNvPr id="162" name="OpenSolver35">
          <a:extLst>
            <a:ext uri="{FF2B5EF4-FFF2-40B4-BE49-F238E27FC236}">
              <a16:creationId xmlns:a16="http://schemas.microsoft.com/office/drawing/2014/main" id="{60F73FDF-6490-BF09-4DBE-00A4A95C4FD4}"/>
            </a:ext>
          </a:extLst>
        </xdr:cNvPr>
        <xdr:cNvSpPr/>
      </xdr:nvSpPr>
      <xdr:spPr>
        <a:xfrm>
          <a:off x="11950700" y="2476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12</xdr:row>
      <xdr:rowOff>12700</xdr:rowOff>
    </xdr:from>
    <xdr:to>
      <xdr:col>11</xdr:col>
      <xdr:colOff>99006</xdr:colOff>
      <xdr:row>12</xdr:row>
      <xdr:rowOff>127000</xdr:rowOff>
    </xdr:to>
    <xdr:sp macro="" textlink="">
      <xdr:nvSpPr>
        <xdr:cNvPr id="163" name="OpenSolver36">
          <a:extLst>
            <a:ext uri="{FF2B5EF4-FFF2-40B4-BE49-F238E27FC236}">
              <a16:creationId xmlns:a16="http://schemas.microsoft.com/office/drawing/2014/main" id="{564DE74E-D5D4-5A16-9839-F0DDB94FB928}"/>
            </a:ext>
          </a:extLst>
        </xdr:cNvPr>
        <xdr:cNvSpPr/>
      </xdr:nvSpPr>
      <xdr:spPr>
        <a:xfrm>
          <a:off x="119507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12</xdr:col>
      <xdr:colOff>0</xdr:colOff>
      <xdr:row>13</xdr:row>
      <xdr:rowOff>0</xdr:rowOff>
    </xdr:to>
    <xdr:sp macro="" textlink="">
      <xdr:nvSpPr>
        <xdr:cNvPr id="2" name="OpenSolver1">
          <a:extLst>
            <a:ext uri="{FF2B5EF4-FFF2-40B4-BE49-F238E27FC236}">
              <a16:creationId xmlns:a16="http://schemas.microsoft.com/office/drawing/2014/main" id="{2514B757-9081-905E-23DE-3D2CBD8414AD}"/>
            </a:ext>
          </a:extLst>
        </xdr:cNvPr>
        <xdr:cNvSpPr/>
      </xdr:nvSpPr>
      <xdr:spPr>
        <a:xfrm>
          <a:off x="11557000" y="431800"/>
          <a:ext cx="1016000" cy="24384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14</xdr:col>
      <xdr:colOff>0</xdr:colOff>
      <xdr:row>13</xdr:row>
      <xdr:rowOff>0</xdr:rowOff>
    </xdr:to>
    <xdr:sp macro="" textlink="">
      <xdr:nvSpPr>
        <xdr:cNvPr id="3" name="OpenSolver2">
          <a:extLst>
            <a:ext uri="{FF2B5EF4-FFF2-40B4-BE49-F238E27FC236}">
              <a16:creationId xmlns:a16="http://schemas.microsoft.com/office/drawing/2014/main" id="{AFDC5CC6-B4E2-CF32-D2D9-4FA9EFA8FEB0}"/>
            </a:ext>
          </a:extLst>
        </xdr:cNvPr>
        <xdr:cNvSpPr/>
      </xdr:nvSpPr>
      <xdr:spPr>
        <a:xfrm>
          <a:off x="13589000" y="431800"/>
          <a:ext cx="1016000" cy="24384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" name="OpenSolver3">
          <a:extLst>
            <a:ext uri="{FF2B5EF4-FFF2-40B4-BE49-F238E27FC236}">
              <a16:creationId xmlns:a16="http://schemas.microsoft.com/office/drawing/2014/main" id="{F52DB58F-2106-E6B1-21E3-2E2359B65B4F}"/>
            </a:ext>
          </a:extLst>
        </xdr:cNvPr>
        <xdr:cNvSpPr/>
      </xdr:nvSpPr>
      <xdr:spPr>
        <a:xfrm>
          <a:off x="7493000" y="3911600"/>
          <a:ext cx="1016000" cy="2032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6</xdr:col>
      <xdr:colOff>1003300</xdr:colOff>
      <xdr:row>16</xdr:row>
      <xdr:rowOff>127000</xdr:rowOff>
    </xdr:from>
    <xdr:to>
      <xdr:col>7</xdr:col>
      <xdr:colOff>236535</xdr:colOff>
      <xdr:row>17</xdr:row>
      <xdr:rowOff>50800</xdr:rowOff>
    </xdr:to>
    <xdr:sp macro="" textlink="">
      <xdr:nvSpPr>
        <xdr:cNvPr id="5" name="OpenSolver4">
          <a:extLst>
            <a:ext uri="{FF2B5EF4-FFF2-40B4-BE49-F238E27FC236}">
              <a16:creationId xmlns:a16="http://schemas.microsoft.com/office/drawing/2014/main" id="{90876AD5-AEC2-A6F8-13DF-137DE1025960}"/>
            </a:ext>
          </a:extLst>
        </xdr:cNvPr>
        <xdr:cNvSpPr/>
      </xdr:nvSpPr>
      <xdr:spPr>
        <a:xfrm>
          <a:off x="7480300" y="38354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6" name="OpenSolver5">
          <a:extLst>
            <a:ext uri="{FF2B5EF4-FFF2-40B4-BE49-F238E27FC236}">
              <a16:creationId xmlns:a16="http://schemas.microsoft.com/office/drawing/2014/main" id="{5CF48642-3543-5E84-FF87-918344D7682B}"/>
            </a:ext>
          </a:extLst>
        </xdr:cNvPr>
        <xdr:cNvSpPr/>
      </xdr:nvSpPr>
      <xdr:spPr>
        <a:xfrm>
          <a:off x="2413000" y="3505200"/>
          <a:ext cx="1016000" cy="812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7" name="OpenSolver6">
          <a:extLst>
            <a:ext uri="{FF2B5EF4-FFF2-40B4-BE49-F238E27FC236}">
              <a16:creationId xmlns:a16="http://schemas.microsoft.com/office/drawing/2014/main" id="{6E22CA99-05E2-39E8-231C-AD2E07CC952D}"/>
            </a:ext>
          </a:extLst>
        </xdr:cNvPr>
        <xdr:cNvSpPr/>
      </xdr:nvSpPr>
      <xdr:spPr>
        <a:xfrm>
          <a:off x="3429000" y="3505200"/>
          <a:ext cx="1016000" cy="812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8" name="OpenSolver7">
          <a:extLst>
            <a:ext uri="{FF2B5EF4-FFF2-40B4-BE49-F238E27FC236}">
              <a16:creationId xmlns:a16="http://schemas.microsoft.com/office/drawing/2014/main" id="{443DF0A3-C768-BBE2-C952-77FCF15ACFED}"/>
            </a:ext>
          </a:extLst>
        </xdr:cNvPr>
        <xdr:cNvCxnSpPr>
          <a:stCxn id="6" idx="3"/>
          <a:endCxn id="7" idx="1"/>
        </xdr:cNvCxnSpPr>
      </xdr:nvCxnSpPr>
      <xdr:spPr>
        <a:xfrm>
          <a:off x="3429000" y="3911600"/>
          <a:ext cx="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825500</xdr:colOff>
      <xdr:row>16</xdr:row>
      <xdr:rowOff>76200</xdr:rowOff>
    </xdr:from>
    <xdr:to>
      <xdr:col>3</xdr:col>
      <xdr:colOff>190500</xdr:colOff>
      <xdr:row>17</xdr:row>
      <xdr:rowOff>127000</xdr:rowOff>
    </xdr:to>
    <xdr:sp macro="" textlink="">
      <xdr:nvSpPr>
        <xdr:cNvPr id="9" name="OpenSolver8">
          <a:extLst>
            <a:ext uri="{FF2B5EF4-FFF2-40B4-BE49-F238E27FC236}">
              <a16:creationId xmlns:a16="http://schemas.microsoft.com/office/drawing/2014/main" id="{0714FDCF-C51B-6DCE-ED02-0F969C1B27DE}"/>
            </a:ext>
          </a:extLst>
        </xdr:cNvPr>
        <xdr:cNvSpPr/>
      </xdr:nvSpPr>
      <xdr:spPr>
        <a:xfrm>
          <a:off x="3238500" y="3784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10" name="OpenSolver9">
          <a:extLst>
            <a:ext uri="{FF2B5EF4-FFF2-40B4-BE49-F238E27FC236}">
              <a16:creationId xmlns:a16="http://schemas.microsoft.com/office/drawing/2014/main" id="{28CC60D2-56A4-B7B9-1130-DAD4B2BA16C9}"/>
            </a:ext>
          </a:extLst>
        </xdr:cNvPr>
        <xdr:cNvSpPr/>
      </xdr:nvSpPr>
      <xdr:spPr>
        <a:xfrm>
          <a:off x="12573000" y="431800"/>
          <a:ext cx="1016000" cy="24384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13</xdr:col>
      <xdr:colOff>12700</xdr:colOff>
      <xdr:row>1</xdr:row>
      <xdr:rowOff>12700</xdr:rowOff>
    </xdr:from>
    <xdr:to>
      <xdr:col>14</xdr:col>
      <xdr:colOff>0</xdr:colOff>
      <xdr:row>13</xdr:row>
      <xdr:rowOff>0</xdr:rowOff>
    </xdr:to>
    <xdr:sp macro="" textlink="">
      <xdr:nvSpPr>
        <xdr:cNvPr id="11" name="OpenSolver10">
          <a:extLst>
            <a:ext uri="{FF2B5EF4-FFF2-40B4-BE49-F238E27FC236}">
              <a16:creationId xmlns:a16="http://schemas.microsoft.com/office/drawing/2014/main" id="{FCFD856D-4CB0-9216-D51E-5EB9AD61F463}"/>
            </a:ext>
          </a:extLst>
        </xdr:cNvPr>
        <xdr:cNvSpPr/>
      </xdr:nvSpPr>
      <xdr:spPr>
        <a:xfrm>
          <a:off x="13601700" y="444500"/>
          <a:ext cx="1003300" cy="24257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12700</xdr:colOff>
      <xdr:row>7</xdr:row>
      <xdr:rowOff>6350</xdr:rowOff>
    </xdr:to>
    <xdr:cxnSp macro="">
      <xdr:nvCxnSpPr>
        <xdr:cNvPr id="12" name="OpenSolver11">
          <a:extLst>
            <a:ext uri="{FF2B5EF4-FFF2-40B4-BE49-F238E27FC236}">
              <a16:creationId xmlns:a16="http://schemas.microsoft.com/office/drawing/2014/main" id="{CFE62A1F-B87B-F4FF-7C66-DC9B219B041F}"/>
            </a:ext>
          </a:extLst>
        </xdr:cNvPr>
        <xdr:cNvCxnSpPr>
          <a:stCxn id="10" idx="3"/>
          <a:endCxn id="11" idx="1"/>
        </xdr:cNvCxnSpPr>
      </xdr:nvCxnSpPr>
      <xdr:spPr>
        <a:xfrm>
          <a:off x="13589000" y="1651000"/>
          <a:ext cx="12700" cy="635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831850</xdr:colOff>
      <xdr:row>6</xdr:row>
      <xdr:rowOff>79375</xdr:rowOff>
    </xdr:from>
    <xdr:to>
      <xdr:col>13</xdr:col>
      <xdr:colOff>196850</xdr:colOff>
      <xdr:row>7</xdr:row>
      <xdr:rowOff>130175</xdr:rowOff>
    </xdr:to>
    <xdr:sp macro="" textlink="">
      <xdr:nvSpPr>
        <xdr:cNvPr id="13" name="OpenSolver12">
          <a:extLst>
            <a:ext uri="{FF2B5EF4-FFF2-40B4-BE49-F238E27FC236}">
              <a16:creationId xmlns:a16="http://schemas.microsoft.com/office/drawing/2014/main" id="{4AE4EF42-ACCC-6201-CD52-C4370F3DA823}"/>
            </a:ext>
          </a:extLst>
        </xdr:cNvPr>
        <xdr:cNvSpPr/>
      </xdr:nvSpPr>
      <xdr:spPr>
        <a:xfrm>
          <a:off x="13404850" y="152717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14" name="OpenSolver13">
          <a:extLst>
            <a:ext uri="{FF2B5EF4-FFF2-40B4-BE49-F238E27FC236}">
              <a16:creationId xmlns:a16="http://schemas.microsoft.com/office/drawing/2014/main" id="{B88E9D27-F523-4529-DB47-82A8AADF6A11}"/>
            </a:ext>
          </a:extLst>
        </xdr:cNvPr>
        <xdr:cNvSpPr/>
      </xdr:nvSpPr>
      <xdr:spPr>
        <a:xfrm>
          <a:off x="1397000" y="5537200"/>
          <a:ext cx="1016000" cy="203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15" name="OpenSolver14">
          <a:extLst>
            <a:ext uri="{FF2B5EF4-FFF2-40B4-BE49-F238E27FC236}">
              <a16:creationId xmlns:a16="http://schemas.microsoft.com/office/drawing/2014/main" id="{40AE4646-57E3-02DE-DD37-03F7CE27C295}"/>
            </a:ext>
          </a:extLst>
        </xdr:cNvPr>
        <xdr:cNvSpPr/>
      </xdr:nvSpPr>
      <xdr:spPr>
        <a:xfrm>
          <a:off x="4445000" y="5537200"/>
          <a:ext cx="1016000" cy="203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2</xdr:col>
      <xdr:colOff>0</xdr:colOff>
      <xdr:row>25</xdr:row>
      <xdr:rowOff>101600</xdr:rowOff>
    </xdr:from>
    <xdr:to>
      <xdr:col>4</xdr:col>
      <xdr:colOff>0</xdr:colOff>
      <xdr:row>25</xdr:row>
      <xdr:rowOff>101600</xdr:rowOff>
    </xdr:to>
    <xdr:cxnSp macro="">
      <xdr:nvCxnSpPr>
        <xdr:cNvPr id="16" name="OpenSolver15">
          <a:extLst>
            <a:ext uri="{FF2B5EF4-FFF2-40B4-BE49-F238E27FC236}">
              <a16:creationId xmlns:a16="http://schemas.microsoft.com/office/drawing/2014/main" id="{C8907CF5-B395-DD94-014C-B0C4AD7EB89F}"/>
            </a:ext>
          </a:extLst>
        </xdr:cNvPr>
        <xdr:cNvCxnSpPr>
          <a:stCxn id="14" idx="3"/>
          <a:endCxn id="15" idx="1"/>
        </xdr:cNvCxnSpPr>
      </xdr:nvCxnSpPr>
      <xdr:spPr>
        <a:xfrm>
          <a:off x="2413000" y="5638800"/>
          <a:ext cx="203200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825500</xdr:colOff>
      <xdr:row>24</xdr:row>
      <xdr:rowOff>177800</xdr:rowOff>
    </xdr:from>
    <xdr:to>
      <xdr:col>3</xdr:col>
      <xdr:colOff>190500</xdr:colOff>
      <xdr:row>26</xdr:row>
      <xdr:rowOff>25400</xdr:rowOff>
    </xdr:to>
    <xdr:sp macro="" textlink="">
      <xdr:nvSpPr>
        <xdr:cNvPr id="17" name="OpenSolver16">
          <a:extLst>
            <a:ext uri="{FF2B5EF4-FFF2-40B4-BE49-F238E27FC236}">
              <a16:creationId xmlns:a16="http://schemas.microsoft.com/office/drawing/2014/main" id="{EB5CED05-6DB6-B552-0197-57A0F707D31D}"/>
            </a:ext>
          </a:extLst>
        </xdr:cNvPr>
        <xdr:cNvSpPr/>
      </xdr:nvSpPr>
      <xdr:spPr>
        <a:xfrm>
          <a:off x="3238500" y="55118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18" name="OpenSolver17">
          <a:extLst>
            <a:ext uri="{FF2B5EF4-FFF2-40B4-BE49-F238E27FC236}">
              <a16:creationId xmlns:a16="http://schemas.microsoft.com/office/drawing/2014/main" id="{B48109E6-B3BE-0BA6-CA7F-A2BC75B5134A}"/>
            </a:ext>
          </a:extLst>
        </xdr:cNvPr>
        <xdr:cNvSpPr/>
      </xdr:nvSpPr>
      <xdr:spPr>
        <a:xfrm>
          <a:off x="4445000" y="5130800"/>
          <a:ext cx="1016000" cy="203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sp macro="" textlink="">
      <xdr:nvSpPr>
        <xdr:cNvPr id="19" name="OpenSolver18">
          <a:extLst>
            <a:ext uri="{FF2B5EF4-FFF2-40B4-BE49-F238E27FC236}">
              <a16:creationId xmlns:a16="http://schemas.microsoft.com/office/drawing/2014/main" id="{4107B2DB-F8E4-C55A-460F-A595724A6556}"/>
            </a:ext>
          </a:extLst>
        </xdr:cNvPr>
        <xdr:cNvSpPr/>
      </xdr:nvSpPr>
      <xdr:spPr>
        <a:xfrm>
          <a:off x="4445000" y="5334000"/>
          <a:ext cx="1016000" cy="203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4</xdr:col>
      <xdr:colOff>508000</xdr:colOff>
      <xdr:row>24</xdr:row>
      <xdr:rowOff>0</xdr:rowOff>
    </xdr:from>
    <xdr:to>
      <xdr:col>4</xdr:col>
      <xdr:colOff>508000</xdr:colOff>
      <xdr:row>24</xdr:row>
      <xdr:rowOff>0</xdr:rowOff>
    </xdr:to>
    <xdr:cxnSp macro="">
      <xdr:nvCxnSpPr>
        <xdr:cNvPr id="20" name="OpenSolver19">
          <a:extLst>
            <a:ext uri="{FF2B5EF4-FFF2-40B4-BE49-F238E27FC236}">
              <a16:creationId xmlns:a16="http://schemas.microsoft.com/office/drawing/2014/main" id="{C689E5D0-C118-93B6-C5F5-DE3851594092}"/>
            </a:ext>
          </a:extLst>
        </xdr:cNvPr>
        <xdr:cNvCxnSpPr>
          <a:stCxn id="18" idx="2"/>
          <a:endCxn id="19" idx="0"/>
        </xdr:cNvCxnSpPr>
      </xdr:nvCxnSpPr>
      <xdr:spPr>
        <a:xfrm>
          <a:off x="4953000" y="5334000"/>
          <a:ext cx="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23</xdr:row>
      <xdr:rowOff>76200</xdr:rowOff>
    </xdr:from>
    <xdr:to>
      <xdr:col>4</xdr:col>
      <xdr:colOff>698500</xdr:colOff>
      <xdr:row>24</xdr:row>
      <xdr:rowOff>127000</xdr:rowOff>
    </xdr:to>
    <xdr:sp macro="" textlink="">
      <xdr:nvSpPr>
        <xdr:cNvPr id="21" name="OpenSolver20">
          <a:extLst>
            <a:ext uri="{FF2B5EF4-FFF2-40B4-BE49-F238E27FC236}">
              <a16:creationId xmlns:a16="http://schemas.microsoft.com/office/drawing/2014/main" id="{3B5BDC4A-D7FD-6939-5FCD-B258BCF2F09E}"/>
            </a:ext>
          </a:extLst>
        </xdr:cNvPr>
        <xdr:cNvSpPr/>
      </xdr:nvSpPr>
      <xdr:spPr>
        <a:xfrm>
          <a:off x="4762500" y="52070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22" name="OpenSolver21">
          <a:extLst>
            <a:ext uri="{FF2B5EF4-FFF2-40B4-BE49-F238E27FC236}">
              <a16:creationId xmlns:a16="http://schemas.microsoft.com/office/drawing/2014/main" id="{A5DC812B-3920-8D8E-6A46-116744B7671E}"/>
            </a:ext>
          </a:extLst>
        </xdr:cNvPr>
        <xdr:cNvSpPr/>
      </xdr:nvSpPr>
      <xdr:spPr>
        <a:xfrm>
          <a:off x="9525000" y="3505200"/>
          <a:ext cx="1016000" cy="6096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0</xdr:colOff>
      <xdr:row>18</xdr:row>
      <xdr:rowOff>0</xdr:rowOff>
    </xdr:to>
    <xdr:sp macro="" textlink="">
      <xdr:nvSpPr>
        <xdr:cNvPr id="23" name="OpenSolver22">
          <a:extLst>
            <a:ext uri="{FF2B5EF4-FFF2-40B4-BE49-F238E27FC236}">
              <a16:creationId xmlns:a16="http://schemas.microsoft.com/office/drawing/2014/main" id="{68BA482A-8CB1-62FD-4A93-13A334607DCA}"/>
            </a:ext>
          </a:extLst>
        </xdr:cNvPr>
        <xdr:cNvSpPr/>
      </xdr:nvSpPr>
      <xdr:spPr>
        <a:xfrm>
          <a:off x="10541000" y="3505200"/>
          <a:ext cx="1016000" cy="6096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CC33"/>
              </a:solidFill>
            </a:rPr>
            <a:t>≤</a:t>
          </a:r>
        </a:p>
      </xdr:txBody>
    </xdr:sp>
    <xdr:clientData/>
  </xdr:twoCellAnchor>
  <xdr:twoCellAnchor>
    <xdr:from>
      <xdr:col>10</xdr:col>
      <xdr:colOff>0</xdr:colOff>
      <xdr:row>16</xdr:row>
      <xdr:rowOff>101600</xdr:rowOff>
    </xdr:from>
    <xdr:to>
      <xdr:col>10</xdr:col>
      <xdr:colOff>0</xdr:colOff>
      <xdr:row>16</xdr:row>
      <xdr:rowOff>101600</xdr:rowOff>
    </xdr:to>
    <xdr:cxnSp macro="">
      <xdr:nvCxnSpPr>
        <xdr:cNvPr id="24" name="OpenSolver23">
          <a:extLst>
            <a:ext uri="{FF2B5EF4-FFF2-40B4-BE49-F238E27FC236}">
              <a16:creationId xmlns:a16="http://schemas.microsoft.com/office/drawing/2014/main" id="{CFFE0233-384D-55DD-B795-BB3616EBBAA5}"/>
            </a:ext>
          </a:extLst>
        </xdr:cNvPr>
        <xdr:cNvCxnSpPr>
          <a:stCxn id="22" idx="3"/>
          <a:endCxn id="23" idx="1"/>
        </xdr:cNvCxnSpPr>
      </xdr:nvCxnSpPr>
      <xdr:spPr>
        <a:xfrm>
          <a:off x="10541000" y="3810000"/>
          <a:ext cx="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825500</xdr:colOff>
      <xdr:row>15</xdr:row>
      <xdr:rowOff>177800</xdr:rowOff>
    </xdr:from>
    <xdr:to>
      <xdr:col>10</xdr:col>
      <xdr:colOff>190500</xdr:colOff>
      <xdr:row>17</xdr:row>
      <xdr:rowOff>25400</xdr:rowOff>
    </xdr:to>
    <xdr:sp macro="" textlink="">
      <xdr:nvSpPr>
        <xdr:cNvPr id="25" name="OpenSolver24">
          <a:extLst>
            <a:ext uri="{FF2B5EF4-FFF2-40B4-BE49-F238E27FC236}">
              <a16:creationId xmlns:a16="http://schemas.microsoft.com/office/drawing/2014/main" id="{47C5204D-C8F6-D1E0-8E81-DA1C14187F37}"/>
            </a:ext>
          </a:extLst>
        </xdr:cNvPr>
        <xdr:cNvSpPr/>
      </xdr:nvSpPr>
      <xdr:spPr>
        <a:xfrm>
          <a:off x="10350500" y="36830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26" name="OpenSolver25">
          <a:extLst>
            <a:ext uri="{FF2B5EF4-FFF2-40B4-BE49-F238E27FC236}">
              <a16:creationId xmlns:a16="http://schemas.microsoft.com/office/drawing/2014/main" id="{6EED1048-8768-5FA6-C5F6-66B17E68FD68}"/>
            </a:ext>
          </a:extLst>
        </xdr:cNvPr>
        <xdr:cNvSpPr/>
      </xdr:nvSpPr>
      <xdr:spPr>
        <a:xfrm>
          <a:off x="9525000" y="4724400"/>
          <a:ext cx="1016000" cy="4064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27" name="OpenSolver26">
          <a:extLst>
            <a:ext uri="{FF2B5EF4-FFF2-40B4-BE49-F238E27FC236}">
              <a16:creationId xmlns:a16="http://schemas.microsoft.com/office/drawing/2014/main" id="{E10BFAC0-9678-95C4-F65B-E778AE838313}"/>
            </a:ext>
          </a:extLst>
        </xdr:cNvPr>
        <xdr:cNvSpPr/>
      </xdr:nvSpPr>
      <xdr:spPr>
        <a:xfrm>
          <a:off x="10541000" y="4724400"/>
          <a:ext cx="1016000" cy="4064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0</xdr:colOff>
      <xdr:row>22</xdr:row>
      <xdr:rowOff>0</xdr:rowOff>
    </xdr:to>
    <xdr:cxnSp macro="">
      <xdr:nvCxnSpPr>
        <xdr:cNvPr id="28" name="OpenSolver27">
          <a:extLst>
            <a:ext uri="{FF2B5EF4-FFF2-40B4-BE49-F238E27FC236}">
              <a16:creationId xmlns:a16="http://schemas.microsoft.com/office/drawing/2014/main" id="{EAD12848-3271-DBCB-8C7D-84A951E8A41A}"/>
            </a:ext>
          </a:extLst>
        </xdr:cNvPr>
        <xdr:cNvCxnSpPr>
          <a:stCxn id="26" idx="3"/>
          <a:endCxn id="27" idx="1"/>
        </xdr:cNvCxnSpPr>
      </xdr:nvCxnSpPr>
      <xdr:spPr>
        <a:xfrm>
          <a:off x="10541000" y="4927600"/>
          <a:ext cx="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825500</xdr:colOff>
      <xdr:row>21</xdr:row>
      <xdr:rowOff>76200</xdr:rowOff>
    </xdr:from>
    <xdr:to>
      <xdr:col>10</xdr:col>
      <xdr:colOff>190500</xdr:colOff>
      <xdr:row>22</xdr:row>
      <xdr:rowOff>127000</xdr:rowOff>
    </xdr:to>
    <xdr:sp macro="" textlink="">
      <xdr:nvSpPr>
        <xdr:cNvPr id="29" name="OpenSolver28">
          <a:extLst>
            <a:ext uri="{FF2B5EF4-FFF2-40B4-BE49-F238E27FC236}">
              <a16:creationId xmlns:a16="http://schemas.microsoft.com/office/drawing/2014/main" id="{DE7F25B7-257E-EC09-3E2D-FABA4BFE2049}"/>
            </a:ext>
          </a:extLst>
        </xdr:cNvPr>
        <xdr:cNvSpPr/>
      </xdr:nvSpPr>
      <xdr:spPr>
        <a:xfrm>
          <a:off x="10350500" y="4800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12700</xdr:colOff>
      <xdr:row>1</xdr:row>
      <xdr:rowOff>12700</xdr:rowOff>
    </xdr:from>
    <xdr:to>
      <xdr:col>11</xdr:col>
      <xdr:colOff>99006</xdr:colOff>
      <xdr:row>1</xdr:row>
      <xdr:rowOff>127000</xdr:rowOff>
    </xdr:to>
    <xdr:sp macro="" textlink="">
      <xdr:nvSpPr>
        <xdr:cNvPr id="30" name="OpenSolver29">
          <a:extLst>
            <a:ext uri="{FF2B5EF4-FFF2-40B4-BE49-F238E27FC236}">
              <a16:creationId xmlns:a16="http://schemas.microsoft.com/office/drawing/2014/main" id="{20EE30AD-1CB6-2029-F28A-EC5C69744A70}"/>
            </a:ext>
          </a:extLst>
        </xdr:cNvPr>
        <xdr:cNvSpPr/>
      </xdr:nvSpPr>
      <xdr:spPr>
        <a:xfrm>
          <a:off x="11569700" y="444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2</xdr:row>
      <xdr:rowOff>12700</xdr:rowOff>
    </xdr:from>
    <xdr:to>
      <xdr:col>11</xdr:col>
      <xdr:colOff>99006</xdr:colOff>
      <xdr:row>2</xdr:row>
      <xdr:rowOff>127000</xdr:rowOff>
    </xdr:to>
    <xdr:sp macro="" textlink="">
      <xdr:nvSpPr>
        <xdr:cNvPr id="31" name="OpenSolver30">
          <a:extLst>
            <a:ext uri="{FF2B5EF4-FFF2-40B4-BE49-F238E27FC236}">
              <a16:creationId xmlns:a16="http://schemas.microsoft.com/office/drawing/2014/main" id="{A80D73D2-BFA3-95FE-71BE-201D2BBCE89C}"/>
            </a:ext>
          </a:extLst>
        </xdr:cNvPr>
        <xdr:cNvSpPr/>
      </xdr:nvSpPr>
      <xdr:spPr>
        <a:xfrm>
          <a:off x="11569700" y="647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3</xdr:row>
      <xdr:rowOff>12700</xdr:rowOff>
    </xdr:from>
    <xdr:to>
      <xdr:col>11</xdr:col>
      <xdr:colOff>99006</xdr:colOff>
      <xdr:row>3</xdr:row>
      <xdr:rowOff>127000</xdr:rowOff>
    </xdr:to>
    <xdr:sp macro="" textlink="">
      <xdr:nvSpPr>
        <xdr:cNvPr id="32" name="OpenSolver31">
          <a:extLst>
            <a:ext uri="{FF2B5EF4-FFF2-40B4-BE49-F238E27FC236}">
              <a16:creationId xmlns:a16="http://schemas.microsoft.com/office/drawing/2014/main" id="{9CC878F7-9E09-8FE3-78E7-1E9D594C9296}"/>
            </a:ext>
          </a:extLst>
        </xdr:cNvPr>
        <xdr:cNvSpPr/>
      </xdr:nvSpPr>
      <xdr:spPr>
        <a:xfrm>
          <a:off x="11569700" y="850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4</xdr:row>
      <xdr:rowOff>12700</xdr:rowOff>
    </xdr:from>
    <xdr:to>
      <xdr:col>11</xdr:col>
      <xdr:colOff>99006</xdr:colOff>
      <xdr:row>4</xdr:row>
      <xdr:rowOff>127000</xdr:rowOff>
    </xdr:to>
    <xdr:sp macro="" textlink="">
      <xdr:nvSpPr>
        <xdr:cNvPr id="33" name="OpenSolver32">
          <a:extLst>
            <a:ext uri="{FF2B5EF4-FFF2-40B4-BE49-F238E27FC236}">
              <a16:creationId xmlns:a16="http://schemas.microsoft.com/office/drawing/2014/main" id="{3F9D6044-4648-6B1C-80A5-AB24C4C1914A}"/>
            </a:ext>
          </a:extLst>
        </xdr:cNvPr>
        <xdr:cNvSpPr/>
      </xdr:nvSpPr>
      <xdr:spPr>
        <a:xfrm>
          <a:off x="11569700" y="105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5</xdr:row>
      <xdr:rowOff>12700</xdr:rowOff>
    </xdr:from>
    <xdr:to>
      <xdr:col>11</xdr:col>
      <xdr:colOff>99006</xdr:colOff>
      <xdr:row>5</xdr:row>
      <xdr:rowOff>127000</xdr:rowOff>
    </xdr:to>
    <xdr:sp macro="" textlink="">
      <xdr:nvSpPr>
        <xdr:cNvPr id="34" name="OpenSolver33">
          <a:extLst>
            <a:ext uri="{FF2B5EF4-FFF2-40B4-BE49-F238E27FC236}">
              <a16:creationId xmlns:a16="http://schemas.microsoft.com/office/drawing/2014/main" id="{EF792223-E8B8-B746-86BA-1E02BE69AAE7}"/>
            </a:ext>
          </a:extLst>
        </xdr:cNvPr>
        <xdr:cNvSpPr/>
      </xdr:nvSpPr>
      <xdr:spPr>
        <a:xfrm>
          <a:off x="115697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6</xdr:row>
      <xdr:rowOff>12700</xdr:rowOff>
    </xdr:from>
    <xdr:to>
      <xdr:col>11</xdr:col>
      <xdr:colOff>99006</xdr:colOff>
      <xdr:row>6</xdr:row>
      <xdr:rowOff>127000</xdr:rowOff>
    </xdr:to>
    <xdr:sp macro="" textlink="">
      <xdr:nvSpPr>
        <xdr:cNvPr id="35" name="OpenSolver34">
          <a:extLst>
            <a:ext uri="{FF2B5EF4-FFF2-40B4-BE49-F238E27FC236}">
              <a16:creationId xmlns:a16="http://schemas.microsoft.com/office/drawing/2014/main" id="{0CB3D2F9-CDD1-44A3-FDB7-3810E2233D4A}"/>
            </a:ext>
          </a:extLst>
        </xdr:cNvPr>
        <xdr:cNvSpPr/>
      </xdr:nvSpPr>
      <xdr:spPr>
        <a:xfrm>
          <a:off x="11569700" y="1460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7</xdr:row>
      <xdr:rowOff>12700</xdr:rowOff>
    </xdr:from>
    <xdr:to>
      <xdr:col>11</xdr:col>
      <xdr:colOff>99006</xdr:colOff>
      <xdr:row>7</xdr:row>
      <xdr:rowOff>127000</xdr:rowOff>
    </xdr:to>
    <xdr:sp macro="" textlink="">
      <xdr:nvSpPr>
        <xdr:cNvPr id="36" name="OpenSolver35">
          <a:extLst>
            <a:ext uri="{FF2B5EF4-FFF2-40B4-BE49-F238E27FC236}">
              <a16:creationId xmlns:a16="http://schemas.microsoft.com/office/drawing/2014/main" id="{7540AEC8-2508-3596-AC4F-3D12F7ACDF8E}"/>
            </a:ext>
          </a:extLst>
        </xdr:cNvPr>
        <xdr:cNvSpPr/>
      </xdr:nvSpPr>
      <xdr:spPr>
        <a:xfrm>
          <a:off x="11569700" y="1663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8</xdr:row>
      <xdr:rowOff>12700</xdr:rowOff>
    </xdr:from>
    <xdr:to>
      <xdr:col>11</xdr:col>
      <xdr:colOff>99006</xdr:colOff>
      <xdr:row>8</xdr:row>
      <xdr:rowOff>127000</xdr:rowOff>
    </xdr:to>
    <xdr:sp macro="" textlink="">
      <xdr:nvSpPr>
        <xdr:cNvPr id="37" name="OpenSolver36">
          <a:extLst>
            <a:ext uri="{FF2B5EF4-FFF2-40B4-BE49-F238E27FC236}">
              <a16:creationId xmlns:a16="http://schemas.microsoft.com/office/drawing/2014/main" id="{1E736B73-CC91-3C93-936D-30D7B81CC18C}"/>
            </a:ext>
          </a:extLst>
        </xdr:cNvPr>
        <xdr:cNvSpPr/>
      </xdr:nvSpPr>
      <xdr:spPr>
        <a:xfrm>
          <a:off x="11569700" y="1866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9</xdr:row>
      <xdr:rowOff>12700</xdr:rowOff>
    </xdr:from>
    <xdr:to>
      <xdr:col>11</xdr:col>
      <xdr:colOff>99006</xdr:colOff>
      <xdr:row>9</xdr:row>
      <xdr:rowOff>127000</xdr:rowOff>
    </xdr:to>
    <xdr:sp macro="" textlink="">
      <xdr:nvSpPr>
        <xdr:cNvPr id="38" name="OpenSolver37">
          <a:extLst>
            <a:ext uri="{FF2B5EF4-FFF2-40B4-BE49-F238E27FC236}">
              <a16:creationId xmlns:a16="http://schemas.microsoft.com/office/drawing/2014/main" id="{57FC7BEC-A38E-E5BB-6BD6-09CDB8CE0169}"/>
            </a:ext>
          </a:extLst>
        </xdr:cNvPr>
        <xdr:cNvSpPr/>
      </xdr:nvSpPr>
      <xdr:spPr>
        <a:xfrm>
          <a:off x="11569700" y="2070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10</xdr:row>
      <xdr:rowOff>12700</xdr:rowOff>
    </xdr:from>
    <xdr:to>
      <xdr:col>11</xdr:col>
      <xdr:colOff>99006</xdr:colOff>
      <xdr:row>10</xdr:row>
      <xdr:rowOff>127000</xdr:rowOff>
    </xdr:to>
    <xdr:sp macro="" textlink="">
      <xdr:nvSpPr>
        <xdr:cNvPr id="39" name="OpenSolver38">
          <a:extLst>
            <a:ext uri="{FF2B5EF4-FFF2-40B4-BE49-F238E27FC236}">
              <a16:creationId xmlns:a16="http://schemas.microsoft.com/office/drawing/2014/main" id="{EB8AA7EA-4027-FF52-836B-BFFCE0E3720D}"/>
            </a:ext>
          </a:extLst>
        </xdr:cNvPr>
        <xdr:cNvSpPr/>
      </xdr:nvSpPr>
      <xdr:spPr>
        <a:xfrm>
          <a:off x="11569700" y="2273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11</xdr:row>
      <xdr:rowOff>12700</xdr:rowOff>
    </xdr:from>
    <xdr:to>
      <xdr:col>11</xdr:col>
      <xdr:colOff>99006</xdr:colOff>
      <xdr:row>11</xdr:row>
      <xdr:rowOff>127000</xdr:rowOff>
    </xdr:to>
    <xdr:sp macro="" textlink="">
      <xdr:nvSpPr>
        <xdr:cNvPr id="40" name="OpenSolver39">
          <a:extLst>
            <a:ext uri="{FF2B5EF4-FFF2-40B4-BE49-F238E27FC236}">
              <a16:creationId xmlns:a16="http://schemas.microsoft.com/office/drawing/2014/main" id="{7A83B8B5-EF99-2EE7-B5A4-163D2ABB03DB}"/>
            </a:ext>
          </a:extLst>
        </xdr:cNvPr>
        <xdr:cNvSpPr/>
      </xdr:nvSpPr>
      <xdr:spPr>
        <a:xfrm>
          <a:off x="11569700" y="2476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12</xdr:row>
      <xdr:rowOff>12700</xdr:rowOff>
    </xdr:from>
    <xdr:to>
      <xdr:col>11</xdr:col>
      <xdr:colOff>99006</xdr:colOff>
      <xdr:row>12</xdr:row>
      <xdr:rowOff>127000</xdr:rowOff>
    </xdr:to>
    <xdr:sp macro="" textlink="">
      <xdr:nvSpPr>
        <xdr:cNvPr id="41" name="OpenSolver40">
          <a:extLst>
            <a:ext uri="{FF2B5EF4-FFF2-40B4-BE49-F238E27FC236}">
              <a16:creationId xmlns:a16="http://schemas.microsoft.com/office/drawing/2014/main" id="{AC9242CD-A7DB-DF85-A1DC-2ECF04AC0603}"/>
            </a:ext>
          </a:extLst>
        </xdr:cNvPr>
        <xdr:cNvSpPr/>
      </xdr:nvSpPr>
      <xdr:spPr>
        <a:xfrm>
          <a:off x="115697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12</xdr:col>
      <xdr:colOff>0</xdr:colOff>
      <xdr:row>13</xdr:row>
      <xdr:rowOff>0</xdr:rowOff>
    </xdr:to>
    <xdr:sp macro="" textlink="">
      <xdr:nvSpPr>
        <xdr:cNvPr id="46" name="OpenSolver1">
          <a:extLst>
            <a:ext uri="{FF2B5EF4-FFF2-40B4-BE49-F238E27FC236}">
              <a16:creationId xmlns:a16="http://schemas.microsoft.com/office/drawing/2014/main" id="{2ECF1CBE-45E3-B514-4F61-66ACF3DD97E1}"/>
            </a:ext>
          </a:extLst>
        </xdr:cNvPr>
        <xdr:cNvSpPr/>
      </xdr:nvSpPr>
      <xdr:spPr>
        <a:xfrm>
          <a:off x="11557000" y="431800"/>
          <a:ext cx="1016000" cy="24384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14</xdr:col>
      <xdr:colOff>0</xdr:colOff>
      <xdr:row>13</xdr:row>
      <xdr:rowOff>0</xdr:rowOff>
    </xdr:to>
    <xdr:sp macro="" textlink="">
      <xdr:nvSpPr>
        <xdr:cNvPr id="47" name="OpenSolver2">
          <a:extLst>
            <a:ext uri="{FF2B5EF4-FFF2-40B4-BE49-F238E27FC236}">
              <a16:creationId xmlns:a16="http://schemas.microsoft.com/office/drawing/2014/main" id="{139CF9F7-2611-06FB-5208-CD98048BFC90}"/>
            </a:ext>
          </a:extLst>
        </xdr:cNvPr>
        <xdr:cNvSpPr/>
      </xdr:nvSpPr>
      <xdr:spPr>
        <a:xfrm>
          <a:off x="13589000" y="431800"/>
          <a:ext cx="1016000" cy="2438400"/>
        </a:xfrm>
        <a:prstGeom prst="rect">
          <a:avLst/>
        </a:prstGeom>
        <a:solidFill>
          <a:srgbClr val="FF00FF">
            <a:alpha val="40000"/>
          </a:srgbClr>
        </a:solidFill>
        <a:ln w="12700" cap="flat" cmpd="sng" algn="ctr">
          <a:noFill/>
          <a:prstDash val="solid"/>
          <a:miter lim="800000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7</xdr:col>
      <xdr:colOff>0</xdr:colOff>
      <xdr:row>17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8" name="OpenSolver3">
          <a:extLst>
            <a:ext uri="{FF2B5EF4-FFF2-40B4-BE49-F238E27FC236}">
              <a16:creationId xmlns:a16="http://schemas.microsoft.com/office/drawing/2014/main" id="{B93A0527-FD6B-3C15-EA58-27BBC7372085}"/>
            </a:ext>
          </a:extLst>
        </xdr:cNvPr>
        <xdr:cNvSpPr/>
      </xdr:nvSpPr>
      <xdr:spPr>
        <a:xfrm>
          <a:off x="7493000" y="3911600"/>
          <a:ext cx="1016000" cy="203200"/>
        </a:xfrm>
        <a:prstGeom prst="rect">
          <a:avLst/>
        </a:prstGeom>
        <a:noFill/>
        <a:ln w="25400" cap="flat" cmpd="sng" algn="ctr">
          <a:solidFill>
            <a:srgbClr val="FF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00FF"/>
            </a:solidFill>
          </a:endParaRPr>
        </a:p>
      </xdr:txBody>
    </xdr:sp>
    <xdr:clientData/>
  </xdr:twoCellAnchor>
  <xdr:twoCellAnchor>
    <xdr:from>
      <xdr:col>6</xdr:col>
      <xdr:colOff>1003300</xdr:colOff>
      <xdr:row>16</xdr:row>
      <xdr:rowOff>127000</xdr:rowOff>
    </xdr:from>
    <xdr:to>
      <xdr:col>7</xdr:col>
      <xdr:colOff>236535</xdr:colOff>
      <xdr:row>17</xdr:row>
      <xdr:rowOff>50800</xdr:rowOff>
    </xdr:to>
    <xdr:sp macro="" textlink="">
      <xdr:nvSpPr>
        <xdr:cNvPr id="49" name="OpenSolver4">
          <a:extLst>
            <a:ext uri="{FF2B5EF4-FFF2-40B4-BE49-F238E27FC236}">
              <a16:creationId xmlns:a16="http://schemas.microsoft.com/office/drawing/2014/main" id="{CB2D4C58-387B-1AF4-9D0B-7A2D15ACCDF2}"/>
            </a:ext>
          </a:extLst>
        </xdr:cNvPr>
        <xdr:cNvSpPr/>
      </xdr:nvSpPr>
      <xdr:spPr>
        <a:xfrm>
          <a:off x="7480300" y="3835400"/>
          <a:ext cx="249235" cy="1270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max </a:t>
          </a:r>
        </a:p>
      </xdr:txBody>
    </xdr:sp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50" name="OpenSolver5">
          <a:extLst>
            <a:ext uri="{FF2B5EF4-FFF2-40B4-BE49-F238E27FC236}">
              <a16:creationId xmlns:a16="http://schemas.microsoft.com/office/drawing/2014/main" id="{9C7B0513-F25D-38BC-3F44-094ECD7BB7AF}"/>
            </a:ext>
          </a:extLst>
        </xdr:cNvPr>
        <xdr:cNvSpPr/>
      </xdr:nvSpPr>
      <xdr:spPr>
        <a:xfrm>
          <a:off x="2413000" y="3505200"/>
          <a:ext cx="1016000" cy="812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19</xdr:row>
      <xdr:rowOff>0</xdr:rowOff>
    </xdr:to>
    <xdr:sp macro="" textlink="">
      <xdr:nvSpPr>
        <xdr:cNvPr id="51" name="OpenSolver6">
          <a:extLst>
            <a:ext uri="{FF2B5EF4-FFF2-40B4-BE49-F238E27FC236}">
              <a16:creationId xmlns:a16="http://schemas.microsoft.com/office/drawing/2014/main" id="{1C5ED3C7-8018-D07C-39C4-39BA1C880E9D}"/>
            </a:ext>
          </a:extLst>
        </xdr:cNvPr>
        <xdr:cNvSpPr/>
      </xdr:nvSpPr>
      <xdr:spPr>
        <a:xfrm>
          <a:off x="3429000" y="3505200"/>
          <a:ext cx="1016000" cy="812800"/>
        </a:xfrm>
        <a:prstGeom prst="rect">
          <a:avLst/>
        </a:prstGeom>
        <a:noFill/>
        <a:ln w="25400" cap="flat" cmpd="sng" algn="ctr">
          <a:solidFill>
            <a:srgbClr val="0000FF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00FF"/>
              </a:solidFill>
            </a:rPr>
            <a:t>≥</a:t>
          </a:r>
        </a:p>
      </xdr:txBody>
    </xdr:sp>
    <xdr:clientData/>
  </xdr:twoCellAnchor>
  <xdr:twoCellAnchor>
    <xdr:from>
      <xdr:col>3</xdr:col>
      <xdr:colOff>0</xdr:colOff>
      <xdr:row>17</xdr:row>
      <xdr:rowOff>0</xdr:rowOff>
    </xdr:from>
    <xdr:to>
      <xdr:col>3</xdr:col>
      <xdr:colOff>0</xdr:colOff>
      <xdr:row>17</xdr:row>
      <xdr:rowOff>0</xdr:rowOff>
    </xdr:to>
    <xdr:cxnSp macro="">
      <xdr:nvCxnSpPr>
        <xdr:cNvPr id="52" name="OpenSolver7">
          <a:extLst>
            <a:ext uri="{FF2B5EF4-FFF2-40B4-BE49-F238E27FC236}">
              <a16:creationId xmlns:a16="http://schemas.microsoft.com/office/drawing/2014/main" id="{2B0416D9-B883-5012-F4CF-2FA3439ACB68}"/>
            </a:ext>
          </a:extLst>
        </xdr:cNvPr>
        <xdr:cNvCxnSpPr>
          <a:stCxn id="50" idx="3"/>
          <a:endCxn id="51" idx="1"/>
        </xdr:cNvCxnSpPr>
      </xdr:nvCxnSpPr>
      <xdr:spPr>
        <a:xfrm>
          <a:off x="3429000" y="3911600"/>
          <a:ext cx="0" cy="0"/>
        </a:xfrm>
        <a:prstGeom prst="straightConnector1">
          <a:avLst/>
        </a:prstGeom>
        <a:ln w="9525" cmpd="sng">
          <a:solidFill>
            <a:srgbClr val="0000FF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825500</xdr:colOff>
      <xdr:row>16</xdr:row>
      <xdr:rowOff>76200</xdr:rowOff>
    </xdr:from>
    <xdr:to>
      <xdr:col>3</xdr:col>
      <xdr:colOff>190500</xdr:colOff>
      <xdr:row>17</xdr:row>
      <xdr:rowOff>127000</xdr:rowOff>
    </xdr:to>
    <xdr:sp macro="" textlink="">
      <xdr:nvSpPr>
        <xdr:cNvPr id="53" name="OpenSolver8">
          <a:extLst>
            <a:ext uri="{FF2B5EF4-FFF2-40B4-BE49-F238E27FC236}">
              <a16:creationId xmlns:a16="http://schemas.microsoft.com/office/drawing/2014/main" id="{4D1F94E7-A25A-D9F9-5029-E2646F841658}"/>
            </a:ext>
          </a:extLst>
        </xdr:cNvPr>
        <xdr:cNvSpPr/>
      </xdr:nvSpPr>
      <xdr:spPr>
        <a:xfrm>
          <a:off x="3238500" y="3784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13</xdr:col>
      <xdr:colOff>0</xdr:colOff>
      <xdr:row>13</xdr:row>
      <xdr:rowOff>0</xdr:rowOff>
    </xdr:to>
    <xdr:sp macro="" textlink="">
      <xdr:nvSpPr>
        <xdr:cNvPr id="54" name="OpenSolver9">
          <a:extLst>
            <a:ext uri="{FF2B5EF4-FFF2-40B4-BE49-F238E27FC236}">
              <a16:creationId xmlns:a16="http://schemas.microsoft.com/office/drawing/2014/main" id="{D2EC42F7-7ED5-D55A-8E3C-5FA60FE66B23}"/>
            </a:ext>
          </a:extLst>
        </xdr:cNvPr>
        <xdr:cNvSpPr/>
      </xdr:nvSpPr>
      <xdr:spPr>
        <a:xfrm>
          <a:off x="12573000" y="431800"/>
          <a:ext cx="1016000" cy="24384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8000"/>
            </a:solidFill>
          </a:endParaRPr>
        </a:p>
      </xdr:txBody>
    </xdr:sp>
    <xdr:clientData/>
  </xdr:twoCellAnchor>
  <xdr:twoCellAnchor>
    <xdr:from>
      <xdr:col>13</xdr:col>
      <xdr:colOff>12700</xdr:colOff>
      <xdr:row>1</xdr:row>
      <xdr:rowOff>12700</xdr:rowOff>
    </xdr:from>
    <xdr:to>
      <xdr:col>14</xdr:col>
      <xdr:colOff>0</xdr:colOff>
      <xdr:row>13</xdr:row>
      <xdr:rowOff>0</xdr:rowOff>
    </xdr:to>
    <xdr:sp macro="" textlink="">
      <xdr:nvSpPr>
        <xdr:cNvPr id="55" name="OpenSolver10">
          <a:extLst>
            <a:ext uri="{FF2B5EF4-FFF2-40B4-BE49-F238E27FC236}">
              <a16:creationId xmlns:a16="http://schemas.microsoft.com/office/drawing/2014/main" id="{3C83868E-A868-8A81-315F-5F78A095F22E}"/>
            </a:ext>
          </a:extLst>
        </xdr:cNvPr>
        <xdr:cNvSpPr/>
      </xdr:nvSpPr>
      <xdr:spPr>
        <a:xfrm>
          <a:off x="13601700" y="444500"/>
          <a:ext cx="1003300" cy="2425700"/>
        </a:xfrm>
        <a:prstGeom prst="rect">
          <a:avLst/>
        </a:prstGeom>
        <a:noFill/>
        <a:ln w="25400" cap="flat" cmpd="sng" algn="ctr">
          <a:solidFill>
            <a:srgbClr val="008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8000"/>
              </a:solidFill>
            </a:rPr>
            <a:t>≥</a:t>
          </a:r>
        </a:p>
      </xdr:txBody>
    </xdr:sp>
    <xdr:clientData/>
  </xdr:twoCellAnchor>
  <xdr:twoCellAnchor>
    <xdr:from>
      <xdr:col>13</xdr:col>
      <xdr:colOff>0</xdr:colOff>
      <xdr:row>7</xdr:row>
      <xdr:rowOff>0</xdr:rowOff>
    </xdr:from>
    <xdr:to>
      <xdr:col>13</xdr:col>
      <xdr:colOff>12700</xdr:colOff>
      <xdr:row>7</xdr:row>
      <xdr:rowOff>6350</xdr:rowOff>
    </xdr:to>
    <xdr:cxnSp macro="">
      <xdr:nvCxnSpPr>
        <xdr:cNvPr id="56" name="OpenSolver11">
          <a:extLst>
            <a:ext uri="{FF2B5EF4-FFF2-40B4-BE49-F238E27FC236}">
              <a16:creationId xmlns:a16="http://schemas.microsoft.com/office/drawing/2014/main" id="{130E1259-9C27-BC31-2050-068B1F676C7A}"/>
            </a:ext>
          </a:extLst>
        </xdr:cNvPr>
        <xdr:cNvCxnSpPr>
          <a:stCxn id="54" idx="3"/>
          <a:endCxn id="55" idx="1"/>
        </xdr:cNvCxnSpPr>
      </xdr:nvCxnSpPr>
      <xdr:spPr>
        <a:xfrm>
          <a:off x="13589000" y="1651000"/>
          <a:ext cx="12700" cy="6350"/>
        </a:xfrm>
        <a:prstGeom prst="straightConnector1">
          <a:avLst/>
        </a:prstGeom>
        <a:ln w="9525" cmpd="sng">
          <a:solidFill>
            <a:srgbClr val="008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831850</xdr:colOff>
      <xdr:row>6</xdr:row>
      <xdr:rowOff>79375</xdr:rowOff>
    </xdr:from>
    <xdr:to>
      <xdr:col>13</xdr:col>
      <xdr:colOff>196850</xdr:colOff>
      <xdr:row>7</xdr:row>
      <xdr:rowOff>130175</xdr:rowOff>
    </xdr:to>
    <xdr:sp macro="" textlink="">
      <xdr:nvSpPr>
        <xdr:cNvPr id="57" name="OpenSolver12">
          <a:extLst>
            <a:ext uri="{FF2B5EF4-FFF2-40B4-BE49-F238E27FC236}">
              <a16:creationId xmlns:a16="http://schemas.microsoft.com/office/drawing/2014/main" id="{38A88310-F5E9-C732-48C4-33E4624B34B1}"/>
            </a:ext>
          </a:extLst>
        </xdr:cNvPr>
        <xdr:cNvSpPr/>
      </xdr:nvSpPr>
      <xdr:spPr>
        <a:xfrm>
          <a:off x="13404850" y="1527175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58" name="OpenSolver13">
          <a:extLst>
            <a:ext uri="{FF2B5EF4-FFF2-40B4-BE49-F238E27FC236}">
              <a16:creationId xmlns:a16="http://schemas.microsoft.com/office/drawing/2014/main" id="{903D3F46-A3CD-DD81-E518-417774B0BFEF}"/>
            </a:ext>
          </a:extLst>
        </xdr:cNvPr>
        <xdr:cNvSpPr/>
      </xdr:nvSpPr>
      <xdr:spPr>
        <a:xfrm>
          <a:off x="1397000" y="5537200"/>
          <a:ext cx="1016000" cy="203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9900CC"/>
            </a:solidFill>
          </a:endParaRPr>
        </a:p>
      </xdr:txBody>
    </xdr:sp>
    <xdr:clientData/>
  </xdr:twoCellAnchor>
  <xdr:twoCellAnchor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sp macro="" textlink="">
      <xdr:nvSpPr>
        <xdr:cNvPr id="59" name="OpenSolver14">
          <a:extLst>
            <a:ext uri="{FF2B5EF4-FFF2-40B4-BE49-F238E27FC236}">
              <a16:creationId xmlns:a16="http://schemas.microsoft.com/office/drawing/2014/main" id="{58E29E8B-D338-F09D-6959-CBE966FB7307}"/>
            </a:ext>
          </a:extLst>
        </xdr:cNvPr>
        <xdr:cNvSpPr/>
      </xdr:nvSpPr>
      <xdr:spPr>
        <a:xfrm>
          <a:off x="4445000" y="5537200"/>
          <a:ext cx="1016000" cy="203200"/>
        </a:xfrm>
        <a:prstGeom prst="rect">
          <a:avLst/>
        </a:prstGeom>
        <a:noFill/>
        <a:ln w="25400" cap="flat" cmpd="sng" algn="ctr">
          <a:solidFill>
            <a:srgbClr val="9900CC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9900CC"/>
              </a:solidFill>
            </a:rPr>
            <a:t>≥</a:t>
          </a:r>
        </a:p>
      </xdr:txBody>
    </xdr:sp>
    <xdr:clientData/>
  </xdr:twoCellAnchor>
  <xdr:twoCellAnchor>
    <xdr:from>
      <xdr:col>2</xdr:col>
      <xdr:colOff>0</xdr:colOff>
      <xdr:row>25</xdr:row>
      <xdr:rowOff>101600</xdr:rowOff>
    </xdr:from>
    <xdr:to>
      <xdr:col>4</xdr:col>
      <xdr:colOff>0</xdr:colOff>
      <xdr:row>25</xdr:row>
      <xdr:rowOff>101600</xdr:rowOff>
    </xdr:to>
    <xdr:cxnSp macro="">
      <xdr:nvCxnSpPr>
        <xdr:cNvPr id="60" name="OpenSolver15">
          <a:extLst>
            <a:ext uri="{FF2B5EF4-FFF2-40B4-BE49-F238E27FC236}">
              <a16:creationId xmlns:a16="http://schemas.microsoft.com/office/drawing/2014/main" id="{1793876A-DE2F-C8A8-9ABD-6D5533D03231}"/>
            </a:ext>
          </a:extLst>
        </xdr:cNvPr>
        <xdr:cNvCxnSpPr>
          <a:stCxn id="58" idx="3"/>
          <a:endCxn id="59" idx="1"/>
        </xdr:cNvCxnSpPr>
      </xdr:nvCxnSpPr>
      <xdr:spPr>
        <a:xfrm>
          <a:off x="2413000" y="5638800"/>
          <a:ext cx="2032000" cy="0"/>
        </a:xfrm>
        <a:prstGeom prst="straightConnector1">
          <a:avLst/>
        </a:prstGeom>
        <a:ln w="9525" cmpd="sng">
          <a:solidFill>
            <a:srgbClr val="9900CC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825500</xdr:colOff>
      <xdr:row>24</xdr:row>
      <xdr:rowOff>177800</xdr:rowOff>
    </xdr:from>
    <xdr:to>
      <xdr:col>3</xdr:col>
      <xdr:colOff>190500</xdr:colOff>
      <xdr:row>26</xdr:row>
      <xdr:rowOff>25400</xdr:rowOff>
    </xdr:to>
    <xdr:sp macro="" textlink="">
      <xdr:nvSpPr>
        <xdr:cNvPr id="61" name="OpenSolver16">
          <a:extLst>
            <a:ext uri="{FF2B5EF4-FFF2-40B4-BE49-F238E27FC236}">
              <a16:creationId xmlns:a16="http://schemas.microsoft.com/office/drawing/2014/main" id="{DAD229C2-CC46-154D-A0FC-AEEEFB8F4581}"/>
            </a:ext>
          </a:extLst>
        </xdr:cNvPr>
        <xdr:cNvSpPr/>
      </xdr:nvSpPr>
      <xdr:spPr>
        <a:xfrm>
          <a:off x="3238500" y="55118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sp macro="" textlink="">
      <xdr:nvSpPr>
        <xdr:cNvPr id="62" name="OpenSolver17">
          <a:extLst>
            <a:ext uri="{FF2B5EF4-FFF2-40B4-BE49-F238E27FC236}">
              <a16:creationId xmlns:a16="http://schemas.microsoft.com/office/drawing/2014/main" id="{6C32FEB7-41EC-33E5-C978-ECA1C3555FF2}"/>
            </a:ext>
          </a:extLst>
        </xdr:cNvPr>
        <xdr:cNvSpPr/>
      </xdr:nvSpPr>
      <xdr:spPr>
        <a:xfrm>
          <a:off x="4445000" y="5130800"/>
          <a:ext cx="1016000" cy="203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800000"/>
            </a:solidFill>
          </a:endParaRPr>
        </a:p>
      </xdr:txBody>
    </xdr:sp>
    <xdr:clientData/>
  </xdr:twoCellAnchor>
  <xdr:twoCellAnchor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sp macro="" textlink="">
      <xdr:nvSpPr>
        <xdr:cNvPr id="63" name="OpenSolver18">
          <a:extLst>
            <a:ext uri="{FF2B5EF4-FFF2-40B4-BE49-F238E27FC236}">
              <a16:creationId xmlns:a16="http://schemas.microsoft.com/office/drawing/2014/main" id="{BED9BB34-78A2-3315-E411-73A2D36FC944}"/>
            </a:ext>
          </a:extLst>
        </xdr:cNvPr>
        <xdr:cNvSpPr/>
      </xdr:nvSpPr>
      <xdr:spPr>
        <a:xfrm>
          <a:off x="4445000" y="5334000"/>
          <a:ext cx="1016000" cy="203200"/>
        </a:xfrm>
        <a:prstGeom prst="rect">
          <a:avLst/>
        </a:prstGeom>
        <a:noFill/>
        <a:ln w="25400" cap="flat" cmpd="sng" algn="ctr">
          <a:solidFill>
            <a:srgbClr val="8000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800000"/>
              </a:solidFill>
            </a:rPr>
            <a:t>≥</a:t>
          </a:r>
        </a:p>
      </xdr:txBody>
    </xdr:sp>
    <xdr:clientData/>
  </xdr:twoCellAnchor>
  <xdr:twoCellAnchor>
    <xdr:from>
      <xdr:col>4</xdr:col>
      <xdr:colOff>508000</xdr:colOff>
      <xdr:row>24</xdr:row>
      <xdr:rowOff>0</xdr:rowOff>
    </xdr:from>
    <xdr:to>
      <xdr:col>4</xdr:col>
      <xdr:colOff>508000</xdr:colOff>
      <xdr:row>24</xdr:row>
      <xdr:rowOff>0</xdr:rowOff>
    </xdr:to>
    <xdr:cxnSp macro="">
      <xdr:nvCxnSpPr>
        <xdr:cNvPr id="64" name="OpenSolver19">
          <a:extLst>
            <a:ext uri="{FF2B5EF4-FFF2-40B4-BE49-F238E27FC236}">
              <a16:creationId xmlns:a16="http://schemas.microsoft.com/office/drawing/2014/main" id="{800C2867-4282-4E3E-CAEF-A11F859BD4F6}"/>
            </a:ext>
          </a:extLst>
        </xdr:cNvPr>
        <xdr:cNvCxnSpPr>
          <a:stCxn id="62" idx="2"/>
          <a:endCxn id="63" idx="0"/>
        </xdr:cNvCxnSpPr>
      </xdr:nvCxnSpPr>
      <xdr:spPr>
        <a:xfrm>
          <a:off x="4953000" y="5334000"/>
          <a:ext cx="0" cy="0"/>
        </a:xfrm>
        <a:prstGeom prst="straightConnector1">
          <a:avLst/>
        </a:prstGeom>
        <a:ln w="9525" cmpd="sng">
          <a:solidFill>
            <a:srgbClr val="8000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317500</xdr:colOff>
      <xdr:row>23</xdr:row>
      <xdr:rowOff>76200</xdr:rowOff>
    </xdr:from>
    <xdr:to>
      <xdr:col>4</xdr:col>
      <xdr:colOff>698500</xdr:colOff>
      <xdr:row>24</xdr:row>
      <xdr:rowOff>127000</xdr:rowOff>
    </xdr:to>
    <xdr:sp macro="" textlink="">
      <xdr:nvSpPr>
        <xdr:cNvPr id="65" name="OpenSolver20">
          <a:extLst>
            <a:ext uri="{FF2B5EF4-FFF2-40B4-BE49-F238E27FC236}">
              <a16:creationId xmlns:a16="http://schemas.microsoft.com/office/drawing/2014/main" id="{81644A64-1442-8DCA-381C-4BAD7DF713D8}"/>
            </a:ext>
          </a:extLst>
        </xdr:cNvPr>
        <xdr:cNvSpPr/>
      </xdr:nvSpPr>
      <xdr:spPr>
        <a:xfrm>
          <a:off x="4762500" y="52070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10</xdr:col>
      <xdr:colOff>0</xdr:colOff>
      <xdr:row>18</xdr:row>
      <xdr:rowOff>0</xdr:rowOff>
    </xdr:to>
    <xdr:sp macro="" textlink="">
      <xdr:nvSpPr>
        <xdr:cNvPr id="66" name="OpenSolver21">
          <a:extLst>
            <a:ext uri="{FF2B5EF4-FFF2-40B4-BE49-F238E27FC236}">
              <a16:creationId xmlns:a16="http://schemas.microsoft.com/office/drawing/2014/main" id="{2097CB08-3994-839C-C3F2-955F1326D975}"/>
            </a:ext>
          </a:extLst>
        </xdr:cNvPr>
        <xdr:cNvSpPr/>
      </xdr:nvSpPr>
      <xdr:spPr>
        <a:xfrm>
          <a:off x="9525000" y="3505200"/>
          <a:ext cx="1016000" cy="6096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00CC33"/>
            </a:solidFill>
          </a:endParaRPr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0</xdr:colOff>
      <xdr:row>18</xdr:row>
      <xdr:rowOff>0</xdr:rowOff>
    </xdr:to>
    <xdr:sp macro="" textlink="">
      <xdr:nvSpPr>
        <xdr:cNvPr id="67" name="OpenSolver22">
          <a:extLst>
            <a:ext uri="{FF2B5EF4-FFF2-40B4-BE49-F238E27FC236}">
              <a16:creationId xmlns:a16="http://schemas.microsoft.com/office/drawing/2014/main" id="{16606BA8-7402-2078-EFED-15268BF0F178}"/>
            </a:ext>
          </a:extLst>
        </xdr:cNvPr>
        <xdr:cNvSpPr/>
      </xdr:nvSpPr>
      <xdr:spPr>
        <a:xfrm>
          <a:off x="10541000" y="3505200"/>
          <a:ext cx="1016000" cy="609600"/>
        </a:xfrm>
        <a:prstGeom prst="rect">
          <a:avLst/>
        </a:prstGeom>
        <a:noFill/>
        <a:ln w="25400" cap="flat" cmpd="sng" algn="ctr">
          <a:solidFill>
            <a:srgbClr val="00CC33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00CC33"/>
              </a:solidFill>
            </a:rPr>
            <a:t>≤</a:t>
          </a:r>
        </a:p>
      </xdr:txBody>
    </xdr:sp>
    <xdr:clientData/>
  </xdr:twoCellAnchor>
  <xdr:twoCellAnchor>
    <xdr:from>
      <xdr:col>10</xdr:col>
      <xdr:colOff>0</xdr:colOff>
      <xdr:row>16</xdr:row>
      <xdr:rowOff>101600</xdr:rowOff>
    </xdr:from>
    <xdr:to>
      <xdr:col>10</xdr:col>
      <xdr:colOff>0</xdr:colOff>
      <xdr:row>16</xdr:row>
      <xdr:rowOff>101600</xdr:rowOff>
    </xdr:to>
    <xdr:cxnSp macro="">
      <xdr:nvCxnSpPr>
        <xdr:cNvPr id="68" name="OpenSolver23">
          <a:extLst>
            <a:ext uri="{FF2B5EF4-FFF2-40B4-BE49-F238E27FC236}">
              <a16:creationId xmlns:a16="http://schemas.microsoft.com/office/drawing/2014/main" id="{AB48C468-2269-73C2-30F0-8AF1C934CC80}"/>
            </a:ext>
          </a:extLst>
        </xdr:cNvPr>
        <xdr:cNvCxnSpPr>
          <a:stCxn id="66" idx="3"/>
          <a:endCxn id="67" idx="1"/>
        </xdr:cNvCxnSpPr>
      </xdr:nvCxnSpPr>
      <xdr:spPr>
        <a:xfrm>
          <a:off x="10541000" y="3810000"/>
          <a:ext cx="0" cy="0"/>
        </a:xfrm>
        <a:prstGeom prst="straightConnector1">
          <a:avLst/>
        </a:prstGeom>
        <a:ln w="9525" cmpd="sng">
          <a:solidFill>
            <a:srgbClr val="00CC33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825500</xdr:colOff>
      <xdr:row>15</xdr:row>
      <xdr:rowOff>177800</xdr:rowOff>
    </xdr:from>
    <xdr:to>
      <xdr:col>10</xdr:col>
      <xdr:colOff>190500</xdr:colOff>
      <xdr:row>17</xdr:row>
      <xdr:rowOff>25400</xdr:rowOff>
    </xdr:to>
    <xdr:sp macro="" textlink="">
      <xdr:nvSpPr>
        <xdr:cNvPr id="69" name="OpenSolver24">
          <a:extLst>
            <a:ext uri="{FF2B5EF4-FFF2-40B4-BE49-F238E27FC236}">
              <a16:creationId xmlns:a16="http://schemas.microsoft.com/office/drawing/2014/main" id="{71CFFA49-3569-EAD7-5EF8-8BD8502EF1D9}"/>
            </a:ext>
          </a:extLst>
        </xdr:cNvPr>
        <xdr:cNvSpPr/>
      </xdr:nvSpPr>
      <xdr:spPr>
        <a:xfrm>
          <a:off x="10350500" y="36830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10</xdr:col>
      <xdr:colOff>0</xdr:colOff>
      <xdr:row>23</xdr:row>
      <xdr:rowOff>0</xdr:rowOff>
    </xdr:to>
    <xdr:sp macro="" textlink="">
      <xdr:nvSpPr>
        <xdr:cNvPr id="70" name="OpenSolver25">
          <a:extLst>
            <a:ext uri="{FF2B5EF4-FFF2-40B4-BE49-F238E27FC236}">
              <a16:creationId xmlns:a16="http://schemas.microsoft.com/office/drawing/2014/main" id="{946E7699-B08E-6CE8-4019-33D02AA471B1}"/>
            </a:ext>
          </a:extLst>
        </xdr:cNvPr>
        <xdr:cNvSpPr/>
      </xdr:nvSpPr>
      <xdr:spPr>
        <a:xfrm>
          <a:off x="9525000" y="4724400"/>
          <a:ext cx="1016000" cy="4064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FF6600"/>
            </a:solidFill>
          </a:endParaRPr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11</xdr:col>
      <xdr:colOff>0</xdr:colOff>
      <xdr:row>23</xdr:row>
      <xdr:rowOff>0</xdr:rowOff>
    </xdr:to>
    <xdr:sp macro="" textlink="">
      <xdr:nvSpPr>
        <xdr:cNvPr id="71" name="OpenSolver26">
          <a:extLst>
            <a:ext uri="{FF2B5EF4-FFF2-40B4-BE49-F238E27FC236}">
              <a16:creationId xmlns:a16="http://schemas.microsoft.com/office/drawing/2014/main" id="{211A34ED-0F41-6D9F-54D2-BA88C7A95A5F}"/>
            </a:ext>
          </a:extLst>
        </xdr:cNvPr>
        <xdr:cNvSpPr/>
      </xdr:nvSpPr>
      <xdr:spPr>
        <a:xfrm>
          <a:off x="10541000" y="4724400"/>
          <a:ext cx="1016000" cy="406400"/>
        </a:xfrm>
        <a:prstGeom prst="rect">
          <a:avLst/>
        </a:prstGeom>
        <a:noFill/>
        <a:ln w="25400" cap="flat" cmpd="sng" algn="ctr">
          <a:solidFill>
            <a:srgbClr val="FF6600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FF6600"/>
              </a:solidFill>
            </a:rPr>
            <a:t>≤</a:t>
          </a:r>
        </a:p>
      </xdr:txBody>
    </xdr:sp>
    <xdr:clientData/>
  </xdr:twoCellAnchor>
  <xdr:twoCellAnchor>
    <xdr:from>
      <xdr:col>10</xdr:col>
      <xdr:colOff>0</xdr:colOff>
      <xdr:row>22</xdr:row>
      <xdr:rowOff>0</xdr:rowOff>
    </xdr:from>
    <xdr:to>
      <xdr:col>10</xdr:col>
      <xdr:colOff>0</xdr:colOff>
      <xdr:row>22</xdr:row>
      <xdr:rowOff>0</xdr:rowOff>
    </xdr:to>
    <xdr:cxnSp macro="">
      <xdr:nvCxnSpPr>
        <xdr:cNvPr id="72" name="OpenSolver27">
          <a:extLst>
            <a:ext uri="{FF2B5EF4-FFF2-40B4-BE49-F238E27FC236}">
              <a16:creationId xmlns:a16="http://schemas.microsoft.com/office/drawing/2014/main" id="{5CDF01E1-32F3-E46F-3AFC-4ED7D878973E}"/>
            </a:ext>
          </a:extLst>
        </xdr:cNvPr>
        <xdr:cNvCxnSpPr>
          <a:stCxn id="70" idx="3"/>
          <a:endCxn id="71" idx="1"/>
        </xdr:cNvCxnSpPr>
      </xdr:nvCxnSpPr>
      <xdr:spPr>
        <a:xfrm>
          <a:off x="10541000" y="4927600"/>
          <a:ext cx="0" cy="0"/>
        </a:xfrm>
        <a:prstGeom prst="straightConnector1">
          <a:avLst/>
        </a:prstGeom>
        <a:ln w="9525" cmpd="sng">
          <a:solidFill>
            <a:srgbClr val="FF6600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825500</xdr:colOff>
      <xdr:row>21</xdr:row>
      <xdr:rowOff>76200</xdr:rowOff>
    </xdr:from>
    <xdr:to>
      <xdr:col>10</xdr:col>
      <xdr:colOff>190500</xdr:colOff>
      <xdr:row>22</xdr:row>
      <xdr:rowOff>127000</xdr:rowOff>
    </xdr:to>
    <xdr:sp macro="" textlink="">
      <xdr:nvSpPr>
        <xdr:cNvPr id="73" name="OpenSolver28">
          <a:extLst>
            <a:ext uri="{FF2B5EF4-FFF2-40B4-BE49-F238E27FC236}">
              <a16:creationId xmlns:a16="http://schemas.microsoft.com/office/drawing/2014/main" id="{17F111DD-1D50-DDF4-C713-48D52B07CD72}"/>
            </a:ext>
          </a:extLst>
        </xdr:cNvPr>
        <xdr:cNvSpPr/>
      </xdr:nvSpPr>
      <xdr:spPr>
        <a:xfrm>
          <a:off x="10350500" y="48006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13</xdr:col>
      <xdr:colOff>0</xdr:colOff>
      <xdr:row>16</xdr:row>
      <xdr:rowOff>0</xdr:rowOff>
    </xdr:to>
    <xdr:sp macro="" textlink="">
      <xdr:nvSpPr>
        <xdr:cNvPr id="74" name="OpenSolver29">
          <a:extLst>
            <a:ext uri="{FF2B5EF4-FFF2-40B4-BE49-F238E27FC236}">
              <a16:creationId xmlns:a16="http://schemas.microsoft.com/office/drawing/2014/main" id="{4D5D2353-9513-8234-AA2E-3F4DCC9840E7}"/>
            </a:ext>
          </a:extLst>
        </xdr:cNvPr>
        <xdr:cNvSpPr/>
      </xdr:nvSpPr>
      <xdr:spPr>
        <a:xfrm>
          <a:off x="12573000" y="3505200"/>
          <a:ext cx="1016000" cy="203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endParaRPr lang="en-US" sz="1100" b="1">
            <a:solidFill>
              <a:srgbClr val="CC0099"/>
            </a:solidFill>
          </a:endParaRPr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14</xdr:col>
      <xdr:colOff>0</xdr:colOff>
      <xdr:row>16</xdr:row>
      <xdr:rowOff>0</xdr:rowOff>
    </xdr:to>
    <xdr:sp macro="" textlink="">
      <xdr:nvSpPr>
        <xdr:cNvPr id="75" name="OpenSolver30">
          <a:extLst>
            <a:ext uri="{FF2B5EF4-FFF2-40B4-BE49-F238E27FC236}">
              <a16:creationId xmlns:a16="http://schemas.microsoft.com/office/drawing/2014/main" id="{71A26032-DA6E-8AB1-6187-EBF92E4244EF}"/>
            </a:ext>
          </a:extLst>
        </xdr:cNvPr>
        <xdr:cNvSpPr/>
      </xdr:nvSpPr>
      <xdr:spPr>
        <a:xfrm>
          <a:off x="13589000" y="3505200"/>
          <a:ext cx="1016000" cy="203200"/>
        </a:xfrm>
        <a:prstGeom prst="rect">
          <a:avLst/>
        </a:prstGeom>
        <a:noFill/>
        <a:ln w="25400" cap="flat" cmpd="sng" algn="ctr">
          <a:solidFill>
            <a:srgbClr val="CC0099"/>
          </a:solidFill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25400" tIns="25400" rIns="0" bIns="0" rtlCol="0" anchor="ctr"/>
        <a:lstStyle/>
        <a:p>
          <a:pPr algn="l"/>
          <a:r>
            <a:rPr lang="en-US" sz="1100" b="1">
              <a:solidFill>
                <a:srgbClr val="CC0099"/>
              </a:solidFill>
            </a:rPr>
            <a:t>≤</a:t>
          </a:r>
        </a:p>
      </xdr:txBody>
    </xdr:sp>
    <xdr:clientData/>
  </xdr:twoCellAnchor>
  <xdr:twoCellAnchor>
    <xdr:from>
      <xdr:col>13</xdr:col>
      <xdr:colOff>0</xdr:colOff>
      <xdr:row>15</xdr:row>
      <xdr:rowOff>101600</xdr:rowOff>
    </xdr:from>
    <xdr:to>
      <xdr:col>13</xdr:col>
      <xdr:colOff>0</xdr:colOff>
      <xdr:row>15</xdr:row>
      <xdr:rowOff>101600</xdr:rowOff>
    </xdr:to>
    <xdr:cxnSp macro="">
      <xdr:nvCxnSpPr>
        <xdr:cNvPr id="76" name="OpenSolver31">
          <a:extLst>
            <a:ext uri="{FF2B5EF4-FFF2-40B4-BE49-F238E27FC236}">
              <a16:creationId xmlns:a16="http://schemas.microsoft.com/office/drawing/2014/main" id="{0E2604C5-A4D2-9EBD-A943-884DBFDDD469}"/>
            </a:ext>
          </a:extLst>
        </xdr:cNvPr>
        <xdr:cNvCxnSpPr>
          <a:stCxn id="74" idx="3"/>
          <a:endCxn id="75" idx="1"/>
        </xdr:cNvCxnSpPr>
      </xdr:nvCxnSpPr>
      <xdr:spPr>
        <a:xfrm>
          <a:off x="13589000" y="3606800"/>
          <a:ext cx="0" cy="0"/>
        </a:xfrm>
        <a:prstGeom prst="straightConnector1">
          <a:avLst/>
        </a:prstGeom>
        <a:ln w="9525" cmpd="sng">
          <a:solidFill>
            <a:srgbClr val="CC0099"/>
          </a:solidFill>
          <a:prstDash val="solid"/>
          <a:headEnd type="non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825500</xdr:colOff>
      <xdr:row>14</xdr:row>
      <xdr:rowOff>406400</xdr:rowOff>
    </xdr:from>
    <xdr:to>
      <xdr:col>13</xdr:col>
      <xdr:colOff>190500</xdr:colOff>
      <xdr:row>16</xdr:row>
      <xdr:rowOff>25400</xdr:rowOff>
    </xdr:to>
    <xdr:sp macro="" textlink="">
      <xdr:nvSpPr>
        <xdr:cNvPr id="77" name="OpenSolver32">
          <a:extLst>
            <a:ext uri="{FF2B5EF4-FFF2-40B4-BE49-F238E27FC236}">
              <a16:creationId xmlns:a16="http://schemas.microsoft.com/office/drawing/2014/main" id="{2FE97462-277B-893D-2C84-A4A5E28F5354}"/>
            </a:ext>
          </a:extLst>
        </xdr:cNvPr>
        <xdr:cNvSpPr/>
      </xdr:nvSpPr>
      <xdr:spPr>
        <a:xfrm>
          <a:off x="13398500" y="3479800"/>
          <a:ext cx="381000" cy="254000"/>
        </a:xfrm>
        <a:prstGeom prst="rect">
          <a:avLst/>
        </a:prstGeom>
        <a:noFill/>
        <a:ln w="12700" cap="flat" cmpd="sng" algn="ctr">
          <a:noFill/>
          <a:prstDash val="solid"/>
          <a:miter lim="800000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12700</xdr:colOff>
      <xdr:row>1</xdr:row>
      <xdr:rowOff>12700</xdr:rowOff>
    </xdr:from>
    <xdr:to>
      <xdr:col>11</xdr:col>
      <xdr:colOff>99006</xdr:colOff>
      <xdr:row>1</xdr:row>
      <xdr:rowOff>127000</xdr:rowOff>
    </xdr:to>
    <xdr:sp macro="" textlink="">
      <xdr:nvSpPr>
        <xdr:cNvPr id="78" name="OpenSolver33">
          <a:extLst>
            <a:ext uri="{FF2B5EF4-FFF2-40B4-BE49-F238E27FC236}">
              <a16:creationId xmlns:a16="http://schemas.microsoft.com/office/drawing/2014/main" id="{1A20EA4E-809C-A8D2-D287-E6861A3E34A8}"/>
            </a:ext>
          </a:extLst>
        </xdr:cNvPr>
        <xdr:cNvSpPr/>
      </xdr:nvSpPr>
      <xdr:spPr>
        <a:xfrm>
          <a:off x="11569700" y="444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2</xdr:row>
      <xdr:rowOff>12700</xdr:rowOff>
    </xdr:from>
    <xdr:to>
      <xdr:col>11</xdr:col>
      <xdr:colOff>99006</xdr:colOff>
      <xdr:row>2</xdr:row>
      <xdr:rowOff>127000</xdr:rowOff>
    </xdr:to>
    <xdr:sp macro="" textlink="">
      <xdr:nvSpPr>
        <xdr:cNvPr id="79" name="OpenSolver34">
          <a:extLst>
            <a:ext uri="{FF2B5EF4-FFF2-40B4-BE49-F238E27FC236}">
              <a16:creationId xmlns:a16="http://schemas.microsoft.com/office/drawing/2014/main" id="{E396157A-2538-B632-2A91-60D9E0688C14}"/>
            </a:ext>
          </a:extLst>
        </xdr:cNvPr>
        <xdr:cNvSpPr/>
      </xdr:nvSpPr>
      <xdr:spPr>
        <a:xfrm>
          <a:off x="11569700" y="647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3</xdr:row>
      <xdr:rowOff>12700</xdr:rowOff>
    </xdr:from>
    <xdr:to>
      <xdr:col>11</xdr:col>
      <xdr:colOff>99006</xdr:colOff>
      <xdr:row>3</xdr:row>
      <xdr:rowOff>127000</xdr:rowOff>
    </xdr:to>
    <xdr:sp macro="" textlink="">
      <xdr:nvSpPr>
        <xdr:cNvPr id="80" name="OpenSolver35">
          <a:extLst>
            <a:ext uri="{FF2B5EF4-FFF2-40B4-BE49-F238E27FC236}">
              <a16:creationId xmlns:a16="http://schemas.microsoft.com/office/drawing/2014/main" id="{C93B36F1-FB74-ABF3-1887-08C79DD95219}"/>
            </a:ext>
          </a:extLst>
        </xdr:cNvPr>
        <xdr:cNvSpPr/>
      </xdr:nvSpPr>
      <xdr:spPr>
        <a:xfrm>
          <a:off x="11569700" y="850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4</xdr:row>
      <xdr:rowOff>12700</xdr:rowOff>
    </xdr:from>
    <xdr:to>
      <xdr:col>11</xdr:col>
      <xdr:colOff>99006</xdr:colOff>
      <xdr:row>4</xdr:row>
      <xdr:rowOff>127000</xdr:rowOff>
    </xdr:to>
    <xdr:sp macro="" textlink="">
      <xdr:nvSpPr>
        <xdr:cNvPr id="81" name="OpenSolver36">
          <a:extLst>
            <a:ext uri="{FF2B5EF4-FFF2-40B4-BE49-F238E27FC236}">
              <a16:creationId xmlns:a16="http://schemas.microsoft.com/office/drawing/2014/main" id="{92DFB7BF-339A-1726-2742-8BFB841A4184}"/>
            </a:ext>
          </a:extLst>
        </xdr:cNvPr>
        <xdr:cNvSpPr/>
      </xdr:nvSpPr>
      <xdr:spPr>
        <a:xfrm>
          <a:off x="11569700" y="1054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5</xdr:row>
      <xdr:rowOff>12700</xdr:rowOff>
    </xdr:from>
    <xdr:to>
      <xdr:col>11</xdr:col>
      <xdr:colOff>99006</xdr:colOff>
      <xdr:row>5</xdr:row>
      <xdr:rowOff>127000</xdr:rowOff>
    </xdr:to>
    <xdr:sp macro="" textlink="">
      <xdr:nvSpPr>
        <xdr:cNvPr id="82" name="OpenSolver37">
          <a:extLst>
            <a:ext uri="{FF2B5EF4-FFF2-40B4-BE49-F238E27FC236}">
              <a16:creationId xmlns:a16="http://schemas.microsoft.com/office/drawing/2014/main" id="{AF1E8993-9C93-BEB3-D2BA-F927775B8DB8}"/>
            </a:ext>
          </a:extLst>
        </xdr:cNvPr>
        <xdr:cNvSpPr/>
      </xdr:nvSpPr>
      <xdr:spPr>
        <a:xfrm>
          <a:off x="11569700" y="1257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6</xdr:row>
      <xdr:rowOff>12700</xdr:rowOff>
    </xdr:from>
    <xdr:to>
      <xdr:col>11</xdr:col>
      <xdr:colOff>99006</xdr:colOff>
      <xdr:row>6</xdr:row>
      <xdr:rowOff>127000</xdr:rowOff>
    </xdr:to>
    <xdr:sp macro="" textlink="">
      <xdr:nvSpPr>
        <xdr:cNvPr id="83" name="OpenSolver38">
          <a:extLst>
            <a:ext uri="{FF2B5EF4-FFF2-40B4-BE49-F238E27FC236}">
              <a16:creationId xmlns:a16="http://schemas.microsoft.com/office/drawing/2014/main" id="{7ECA541A-E373-28CD-22B5-14670BEF9D33}"/>
            </a:ext>
          </a:extLst>
        </xdr:cNvPr>
        <xdr:cNvSpPr/>
      </xdr:nvSpPr>
      <xdr:spPr>
        <a:xfrm>
          <a:off x="11569700" y="1460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7</xdr:row>
      <xdr:rowOff>12700</xdr:rowOff>
    </xdr:from>
    <xdr:to>
      <xdr:col>11</xdr:col>
      <xdr:colOff>99006</xdr:colOff>
      <xdr:row>7</xdr:row>
      <xdr:rowOff>127000</xdr:rowOff>
    </xdr:to>
    <xdr:sp macro="" textlink="">
      <xdr:nvSpPr>
        <xdr:cNvPr id="84" name="OpenSolver39">
          <a:extLst>
            <a:ext uri="{FF2B5EF4-FFF2-40B4-BE49-F238E27FC236}">
              <a16:creationId xmlns:a16="http://schemas.microsoft.com/office/drawing/2014/main" id="{58A6E922-CDE9-A58B-B40F-93553AD641C4}"/>
            </a:ext>
          </a:extLst>
        </xdr:cNvPr>
        <xdr:cNvSpPr/>
      </xdr:nvSpPr>
      <xdr:spPr>
        <a:xfrm>
          <a:off x="11569700" y="1663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8</xdr:row>
      <xdr:rowOff>12700</xdr:rowOff>
    </xdr:from>
    <xdr:to>
      <xdr:col>11</xdr:col>
      <xdr:colOff>99006</xdr:colOff>
      <xdr:row>8</xdr:row>
      <xdr:rowOff>127000</xdr:rowOff>
    </xdr:to>
    <xdr:sp macro="" textlink="">
      <xdr:nvSpPr>
        <xdr:cNvPr id="85" name="OpenSolver40">
          <a:extLst>
            <a:ext uri="{FF2B5EF4-FFF2-40B4-BE49-F238E27FC236}">
              <a16:creationId xmlns:a16="http://schemas.microsoft.com/office/drawing/2014/main" id="{8465BAB7-CC9D-91D8-C642-DECF5BAB2E59}"/>
            </a:ext>
          </a:extLst>
        </xdr:cNvPr>
        <xdr:cNvSpPr/>
      </xdr:nvSpPr>
      <xdr:spPr>
        <a:xfrm>
          <a:off x="11569700" y="18669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9</xdr:row>
      <xdr:rowOff>12700</xdr:rowOff>
    </xdr:from>
    <xdr:to>
      <xdr:col>11</xdr:col>
      <xdr:colOff>99006</xdr:colOff>
      <xdr:row>9</xdr:row>
      <xdr:rowOff>127000</xdr:rowOff>
    </xdr:to>
    <xdr:sp macro="" textlink="">
      <xdr:nvSpPr>
        <xdr:cNvPr id="86" name="OpenSolver41">
          <a:extLst>
            <a:ext uri="{FF2B5EF4-FFF2-40B4-BE49-F238E27FC236}">
              <a16:creationId xmlns:a16="http://schemas.microsoft.com/office/drawing/2014/main" id="{587F7D1E-C791-AAD6-CAB3-9AF14EEB42BD}"/>
            </a:ext>
          </a:extLst>
        </xdr:cNvPr>
        <xdr:cNvSpPr/>
      </xdr:nvSpPr>
      <xdr:spPr>
        <a:xfrm>
          <a:off x="11569700" y="20701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10</xdr:row>
      <xdr:rowOff>12700</xdr:rowOff>
    </xdr:from>
    <xdr:to>
      <xdr:col>11</xdr:col>
      <xdr:colOff>99006</xdr:colOff>
      <xdr:row>10</xdr:row>
      <xdr:rowOff>127000</xdr:rowOff>
    </xdr:to>
    <xdr:sp macro="" textlink="">
      <xdr:nvSpPr>
        <xdr:cNvPr id="87" name="OpenSolver42">
          <a:extLst>
            <a:ext uri="{FF2B5EF4-FFF2-40B4-BE49-F238E27FC236}">
              <a16:creationId xmlns:a16="http://schemas.microsoft.com/office/drawing/2014/main" id="{01EE3366-9B50-0A2B-F3BA-D018F3F6FF09}"/>
            </a:ext>
          </a:extLst>
        </xdr:cNvPr>
        <xdr:cNvSpPr/>
      </xdr:nvSpPr>
      <xdr:spPr>
        <a:xfrm>
          <a:off x="11569700" y="22733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11</xdr:row>
      <xdr:rowOff>12700</xdr:rowOff>
    </xdr:from>
    <xdr:to>
      <xdr:col>11</xdr:col>
      <xdr:colOff>99006</xdr:colOff>
      <xdr:row>11</xdr:row>
      <xdr:rowOff>127000</xdr:rowOff>
    </xdr:to>
    <xdr:sp macro="" textlink="">
      <xdr:nvSpPr>
        <xdr:cNvPr id="88" name="OpenSolver43">
          <a:extLst>
            <a:ext uri="{FF2B5EF4-FFF2-40B4-BE49-F238E27FC236}">
              <a16:creationId xmlns:a16="http://schemas.microsoft.com/office/drawing/2014/main" id="{264A79C1-C94A-2FDA-183C-8E5103F7602D}"/>
            </a:ext>
          </a:extLst>
        </xdr:cNvPr>
        <xdr:cNvSpPr/>
      </xdr:nvSpPr>
      <xdr:spPr>
        <a:xfrm>
          <a:off x="11569700" y="24765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  <xdr:twoCellAnchor>
    <xdr:from>
      <xdr:col>11</xdr:col>
      <xdr:colOff>12700</xdr:colOff>
      <xdr:row>12</xdr:row>
      <xdr:rowOff>12700</xdr:rowOff>
    </xdr:from>
    <xdr:to>
      <xdr:col>11</xdr:col>
      <xdr:colOff>99006</xdr:colOff>
      <xdr:row>12</xdr:row>
      <xdr:rowOff>127000</xdr:rowOff>
    </xdr:to>
    <xdr:sp macro="" textlink="">
      <xdr:nvSpPr>
        <xdr:cNvPr id="89" name="OpenSolver44">
          <a:extLst>
            <a:ext uri="{FF2B5EF4-FFF2-40B4-BE49-F238E27FC236}">
              <a16:creationId xmlns:a16="http://schemas.microsoft.com/office/drawing/2014/main" id="{6B4A1B0B-1F0D-7EA0-D6CE-FF6CD634EC45}"/>
            </a:ext>
          </a:extLst>
        </xdr:cNvPr>
        <xdr:cNvSpPr/>
      </xdr:nvSpPr>
      <xdr:spPr>
        <a:xfrm>
          <a:off x="11569700" y="2679700"/>
          <a:ext cx="86306" cy="114300"/>
        </a:xfrm>
        <a:prstGeom prst="rect">
          <a:avLst/>
        </a:prstGeom>
        <a:solidFill>
          <a:srgbClr val="FFFFFF">
            <a:alpha val="80000"/>
          </a:srgbClr>
        </a:solidFill>
        <a:ln w="1270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50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12700" tIns="0" rIns="12700" bIns="0" rtlCol="0" anchor="t">
          <a:noAutofit/>
        </a:bodyPr>
        <a:lstStyle/>
        <a:p>
          <a:pPr algn="l"/>
          <a:r>
            <a:rPr lang="en-US" sz="900">
              <a:solidFill>
                <a:srgbClr val="000000"/>
              </a:solidFill>
            </a:rPr>
            <a:t>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D2A-617C-7448-AB64-6984C3731B67}">
  <dimension ref="A1:Q26"/>
  <sheetViews>
    <sheetView showGridLines="0" tabSelected="1" zoomScale="140" zoomScaleNormal="140" workbookViewId="0">
      <selection activeCell="H19" sqref="H19"/>
    </sheetView>
  </sheetViews>
  <sheetFormatPr baseColWidth="10" defaultRowHeight="16" x14ac:dyDescent="0.2"/>
  <cols>
    <col min="1" max="1" width="18.33203125" style="1" customWidth="1"/>
    <col min="2" max="17" width="13.33203125" style="1" customWidth="1"/>
    <col min="18" max="16384" width="10.83203125" style="1"/>
  </cols>
  <sheetData>
    <row r="1" spans="1:17" ht="34" x14ac:dyDescent="0.2">
      <c r="A1" s="2" t="s">
        <v>3</v>
      </c>
      <c r="B1" s="3" t="s">
        <v>47</v>
      </c>
      <c r="C1" s="3" t="s">
        <v>4</v>
      </c>
      <c r="D1" s="3" t="s">
        <v>16</v>
      </c>
      <c r="E1" s="3" t="s">
        <v>30</v>
      </c>
      <c r="F1" s="3" t="s">
        <v>12</v>
      </c>
      <c r="G1" s="3" t="s">
        <v>5</v>
      </c>
      <c r="H1" s="3" t="s">
        <v>13</v>
      </c>
      <c r="I1" s="3" t="s">
        <v>6</v>
      </c>
      <c r="J1" s="3" t="s">
        <v>14</v>
      </c>
      <c r="K1" s="3" t="s">
        <v>7</v>
      </c>
      <c r="L1" s="3" t="s">
        <v>26</v>
      </c>
      <c r="M1" s="3" t="s">
        <v>27</v>
      </c>
      <c r="N1" s="3" t="s">
        <v>15</v>
      </c>
      <c r="O1" s="3" t="s">
        <v>19</v>
      </c>
      <c r="P1" s="3"/>
      <c r="Q1" s="3"/>
    </row>
    <row r="2" spans="1:17" x14ac:dyDescent="0.2">
      <c r="A2" s="5" t="s">
        <v>54</v>
      </c>
      <c r="B2" s="5" t="s">
        <v>53</v>
      </c>
      <c r="C2" s="5" t="s">
        <v>0</v>
      </c>
      <c r="D2" s="5">
        <v>1</v>
      </c>
      <c r="E2" s="5">
        <v>0</v>
      </c>
      <c r="F2" s="6">
        <f t="shared" ref="F2:F13" si="0">SUM($B$17:$B$19)*D2+$B$16*D2*E2</f>
        <v>0.35</v>
      </c>
      <c r="G2" s="5">
        <v>20</v>
      </c>
      <c r="H2" s="6">
        <f t="shared" ref="H2:H13" si="1">F2*G2</f>
        <v>7</v>
      </c>
      <c r="I2" s="6">
        <v>20</v>
      </c>
      <c r="J2" s="8">
        <f t="shared" ref="J2:J13" si="2">(I2-H2)/I2</f>
        <v>0.65</v>
      </c>
      <c r="K2" s="7">
        <v>50</v>
      </c>
      <c r="L2" s="7">
        <v>1</v>
      </c>
      <c r="M2" s="7">
        <f t="shared" ref="M2:M13" si="3">L2*$B$26</f>
        <v>4752</v>
      </c>
      <c r="N2" s="7">
        <v>50</v>
      </c>
      <c r="O2" s="9">
        <f t="shared" ref="O2:O13" si="4">N2*I2</f>
        <v>1000</v>
      </c>
    </row>
    <row r="3" spans="1:17" x14ac:dyDescent="0.2">
      <c r="A3" s="5" t="s">
        <v>55</v>
      </c>
      <c r="B3" s="5" t="s">
        <v>53</v>
      </c>
      <c r="C3" s="5" t="s">
        <v>0</v>
      </c>
      <c r="D3" s="5">
        <v>1</v>
      </c>
      <c r="E3" s="5">
        <v>0</v>
      </c>
      <c r="F3" s="6">
        <f t="shared" si="0"/>
        <v>0.35</v>
      </c>
      <c r="G3" s="5">
        <v>60</v>
      </c>
      <c r="H3" s="6">
        <f t="shared" si="1"/>
        <v>21</v>
      </c>
      <c r="I3" s="6">
        <v>60</v>
      </c>
      <c r="J3" s="8">
        <f t="shared" si="2"/>
        <v>0.65</v>
      </c>
      <c r="K3" s="7">
        <v>150</v>
      </c>
      <c r="L3" s="7">
        <v>1</v>
      </c>
      <c r="M3" s="7">
        <f t="shared" si="3"/>
        <v>4752</v>
      </c>
      <c r="N3" s="7">
        <v>150</v>
      </c>
      <c r="O3" s="9">
        <f t="shared" si="4"/>
        <v>9000</v>
      </c>
    </row>
    <row r="4" spans="1:17" x14ac:dyDescent="0.2">
      <c r="A4" s="5" t="s">
        <v>49</v>
      </c>
      <c r="B4" s="5" t="s">
        <v>48</v>
      </c>
      <c r="C4" s="5" t="s">
        <v>0</v>
      </c>
      <c r="D4" s="5">
        <v>1.4</v>
      </c>
      <c r="E4" s="5">
        <v>0</v>
      </c>
      <c r="F4" s="6">
        <f t="shared" si="0"/>
        <v>0.48999999999999994</v>
      </c>
      <c r="G4" s="5">
        <v>20</v>
      </c>
      <c r="H4" s="6">
        <f t="shared" si="1"/>
        <v>9.7999999999999989</v>
      </c>
      <c r="I4" s="6">
        <v>30</v>
      </c>
      <c r="J4" s="8">
        <f t="shared" si="2"/>
        <v>0.67333333333333345</v>
      </c>
      <c r="K4" s="7">
        <v>75</v>
      </c>
      <c r="L4" s="7">
        <v>1</v>
      </c>
      <c r="M4" s="7">
        <f t="shared" si="3"/>
        <v>4752</v>
      </c>
      <c r="N4" s="7">
        <v>75</v>
      </c>
      <c r="O4" s="9">
        <f t="shared" si="4"/>
        <v>2250</v>
      </c>
    </row>
    <row r="5" spans="1:17" x14ac:dyDescent="0.2">
      <c r="A5" s="5" t="s">
        <v>50</v>
      </c>
      <c r="B5" s="5" t="s">
        <v>48</v>
      </c>
      <c r="C5" s="5" t="s">
        <v>0</v>
      </c>
      <c r="D5" s="5">
        <v>1.4</v>
      </c>
      <c r="E5" s="5">
        <v>0</v>
      </c>
      <c r="F5" s="6">
        <f t="shared" si="0"/>
        <v>0.48999999999999994</v>
      </c>
      <c r="G5" s="5">
        <v>60</v>
      </c>
      <c r="H5" s="6">
        <f t="shared" si="1"/>
        <v>29.399999999999995</v>
      </c>
      <c r="I5" s="6">
        <v>89</v>
      </c>
      <c r="J5" s="8">
        <f t="shared" si="2"/>
        <v>0.66966292134831473</v>
      </c>
      <c r="K5" s="7">
        <v>250</v>
      </c>
      <c r="L5" s="7">
        <v>1</v>
      </c>
      <c r="M5" s="7">
        <f t="shared" si="3"/>
        <v>4752</v>
      </c>
      <c r="N5" s="7">
        <v>250</v>
      </c>
      <c r="O5" s="9">
        <f t="shared" si="4"/>
        <v>22250</v>
      </c>
    </row>
    <row r="6" spans="1:17" x14ac:dyDescent="0.2">
      <c r="A6" s="5" t="s">
        <v>56</v>
      </c>
      <c r="B6" s="5" t="s">
        <v>53</v>
      </c>
      <c r="C6" s="5" t="s">
        <v>1</v>
      </c>
      <c r="D6" s="5">
        <v>1</v>
      </c>
      <c r="E6" s="5">
        <v>1</v>
      </c>
      <c r="F6" s="6">
        <f t="shared" si="0"/>
        <v>0.39999999999999997</v>
      </c>
      <c r="G6" s="5">
        <v>32</v>
      </c>
      <c r="H6" s="6">
        <f t="shared" si="1"/>
        <v>12.799999999999999</v>
      </c>
      <c r="I6" s="6">
        <v>40</v>
      </c>
      <c r="J6" s="8">
        <f t="shared" si="2"/>
        <v>0.68</v>
      </c>
      <c r="K6" s="7">
        <v>40</v>
      </c>
      <c r="L6" s="7">
        <v>1</v>
      </c>
      <c r="M6" s="7">
        <f t="shared" si="3"/>
        <v>4752</v>
      </c>
      <c r="N6" s="7">
        <v>40</v>
      </c>
      <c r="O6" s="9">
        <f t="shared" si="4"/>
        <v>1600</v>
      </c>
    </row>
    <row r="7" spans="1:17" x14ac:dyDescent="0.2">
      <c r="A7" s="5" t="s">
        <v>57</v>
      </c>
      <c r="B7" s="5" t="s">
        <v>53</v>
      </c>
      <c r="C7" s="5" t="s">
        <v>1</v>
      </c>
      <c r="D7" s="5">
        <v>1</v>
      </c>
      <c r="E7" s="5">
        <v>1</v>
      </c>
      <c r="F7" s="6">
        <f t="shared" si="0"/>
        <v>0.39999999999999997</v>
      </c>
      <c r="G7" s="5">
        <v>60</v>
      </c>
      <c r="H7" s="6">
        <f t="shared" si="1"/>
        <v>23.999999999999996</v>
      </c>
      <c r="I7" s="6">
        <v>68</v>
      </c>
      <c r="J7" s="8">
        <f t="shared" si="2"/>
        <v>0.6470588235294118</v>
      </c>
      <c r="K7" s="7">
        <v>120</v>
      </c>
      <c r="L7" s="7">
        <v>1</v>
      </c>
      <c r="M7" s="7">
        <f t="shared" si="3"/>
        <v>4752</v>
      </c>
      <c r="N7" s="7">
        <v>120</v>
      </c>
      <c r="O7" s="9">
        <f t="shared" si="4"/>
        <v>8160</v>
      </c>
    </row>
    <row r="8" spans="1:17" x14ac:dyDescent="0.2">
      <c r="A8" s="5" t="s">
        <v>51</v>
      </c>
      <c r="B8" s="5" t="s">
        <v>48</v>
      </c>
      <c r="C8" s="5" t="s">
        <v>1</v>
      </c>
      <c r="D8" s="5">
        <v>1.4</v>
      </c>
      <c r="E8" s="5">
        <v>1</v>
      </c>
      <c r="F8" s="6">
        <f t="shared" si="0"/>
        <v>0.55999999999999994</v>
      </c>
      <c r="G8" s="5">
        <v>32</v>
      </c>
      <c r="H8" s="6">
        <f t="shared" si="1"/>
        <v>17.919999999999998</v>
      </c>
      <c r="I8" s="6">
        <v>56</v>
      </c>
      <c r="J8" s="8">
        <f t="shared" si="2"/>
        <v>0.67999999999999994</v>
      </c>
      <c r="K8" s="7">
        <v>60</v>
      </c>
      <c r="L8" s="7">
        <v>1</v>
      </c>
      <c r="M8" s="7">
        <f t="shared" si="3"/>
        <v>4752</v>
      </c>
      <c r="N8" s="7">
        <v>60</v>
      </c>
      <c r="O8" s="9">
        <f t="shared" si="4"/>
        <v>3360</v>
      </c>
    </row>
    <row r="9" spans="1:17" x14ac:dyDescent="0.2">
      <c r="A9" s="5" t="s">
        <v>52</v>
      </c>
      <c r="B9" s="5" t="s">
        <v>48</v>
      </c>
      <c r="C9" s="5" t="s">
        <v>1</v>
      </c>
      <c r="D9" s="5">
        <v>1.4</v>
      </c>
      <c r="E9" s="5">
        <v>1</v>
      </c>
      <c r="F9" s="6">
        <f t="shared" si="0"/>
        <v>0.55999999999999994</v>
      </c>
      <c r="G9" s="5">
        <v>60</v>
      </c>
      <c r="H9" s="6">
        <f t="shared" si="1"/>
        <v>33.599999999999994</v>
      </c>
      <c r="I9" s="6">
        <v>98</v>
      </c>
      <c r="J9" s="8">
        <f t="shared" si="2"/>
        <v>0.65714285714285725</v>
      </c>
      <c r="K9" s="7">
        <v>200</v>
      </c>
      <c r="L9" s="7">
        <v>1</v>
      </c>
      <c r="M9" s="7">
        <f t="shared" si="3"/>
        <v>4752</v>
      </c>
      <c r="N9" s="7">
        <v>200</v>
      </c>
      <c r="O9" s="9">
        <f t="shared" si="4"/>
        <v>19600</v>
      </c>
    </row>
    <row r="10" spans="1:17" x14ac:dyDescent="0.2">
      <c r="A10" s="5" t="s">
        <v>58</v>
      </c>
      <c r="B10" s="5" t="s">
        <v>53</v>
      </c>
      <c r="C10" s="5" t="s">
        <v>2</v>
      </c>
      <c r="D10" s="5">
        <v>1</v>
      </c>
      <c r="E10" s="5">
        <v>2</v>
      </c>
      <c r="F10" s="6">
        <f t="shared" si="0"/>
        <v>0.44999999999999996</v>
      </c>
      <c r="G10" s="5">
        <v>32</v>
      </c>
      <c r="H10" s="6">
        <f t="shared" si="1"/>
        <v>14.399999999999999</v>
      </c>
      <c r="I10" s="6">
        <v>40</v>
      </c>
      <c r="J10" s="8">
        <f t="shared" si="2"/>
        <v>0.64</v>
      </c>
      <c r="K10" s="7">
        <v>33</v>
      </c>
      <c r="L10" s="7">
        <v>1</v>
      </c>
      <c r="M10" s="7">
        <f t="shared" si="3"/>
        <v>4752</v>
      </c>
      <c r="N10" s="7">
        <v>33</v>
      </c>
      <c r="O10" s="9">
        <f t="shared" si="4"/>
        <v>1320</v>
      </c>
    </row>
    <row r="11" spans="1:17" x14ac:dyDescent="0.2">
      <c r="A11" s="5" t="s">
        <v>59</v>
      </c>
      <c r="B11" s="5" t="s">
        <v>53</v>
      </c>
      <c r="C11" s="5" t="s">
        <v>2</v>
      </c>
      <c r="D11" s="5">
        <v>1</v>
      </c>
      <c r="E11" s="5">
        <v>2</v>
      </c>
      <c r="F11" s="6">
        <f t="shared" si="0"/>
        <v>0.44999999999999996</v>
      </c>
      <c r="G11" s="5">
        <v>60</v>
      </c>
      <c r="H11" s="6">
        <f t="shared" si="1"/>
        <v>26.999999999999996</v>
      </c>
      <c r="I11" s="6">
        <v>68</v>
      </c>
      <c r="J11" s="8">
        <f t="shared" si="2"/>
        <v>0.6029411764705882</v>
      </c>
      <c r="K11" s="7">
        <v>98</v>
      </c>
      <c r="L11" s="7">
        <v>1</v>
      </c>
      <c r="M11" s="7">
        <f t="shared" si="3"/>
        <v>4752</v>
      </c>
      <c r="N11" s="7">
        <v>98</v>
      </c>
      <c r="O11" s="9">
        <f t="shared" si="4"/>
        <v>6664</v>
      </c>
    </row>
    <row r="12" spans="1:17" x14ac:dyDescent="0.2">
      <c r="A12" s="5" t="s">
        <v>60</v>
      </c>
      <c r="B12" s="5" t="s">
        <v>48</v>
      </c>
      <c r="C12" s="5" t="s">
        <v>2</v>
      </c>
      <c r="D12" s="5">
        <v>1.4</v>
      </c>
      <c r="E12" s="5">
        <v>2</v>
      </c>
      <c r="F12" s="6">
        <f t="shared" si="0"/>
        <v>0.62999999999999989</v>
      </c>
      <c r="G12" s="5">
        <v>32</v>
      </c>
      <c r="H12" s="6">
        <f t="shared" si="1"/>
        <v>20.159999999999997</v>
      </c>
      <c r="I12" s="6">
        <v>56</v>
      </c>
      <c r="J12" s="8">
        <f t="shared" si="2"/>
        <v>0.64</v>
      </c>
      <c r="K12" s="7">
        <v>49</v>
      </c>
      <c r="L12" s="7">
        <v>1</v>
      </c>
      <c r="M12" s="7">
        <f t="shared" si="3"/>
        <v>4752</v>
      </c>
      <c r="N12" s="7">
        <v>49</v>
      </c>
      <c r="O12" s="9">
        <f t="shared" si="4"/>
        <v>2744</v>
      </c>
    </row>
    <row r="13" spans="1:17" x14ac:dyDescent="0.2">
      <c r="A13" s="5" t="s">
        <v>61</v>
      </c>
      <c r="B13" s="5" t="s">
        <v>48</v>
      </c>
      <c r="C13" s="5" t="s">
        <v>2</v>
      </c>
      <c r="D13" s="5">
        <v>1.4</v>
      </c>
      <c r="E13" s="5">
        <v>2</v>
      </c>
      <c r="F13" s="6">
        <f t="shared" si="0"/>
        <v>0.62999999999999989</v>
      </c>
      <c r="G13" s="5">
        <v>60</v>
      </c>
      <c r="H13" s="6">
        <f t="shared" si="1"/>
        <v>37.799999999999997</v>
      </c>
      <c r="I13" s="6">
        <v>98</v>
      </c>
      <c r="J13" s="8">
        <f t="shared" si="2"/>
        <v>0.61428571428571432</v>
      </c>
      <c r="K13" s="7">
        <v>163</v>
      </c>
      <c r="L13" s="7">
        <v>1</v>
      </c>
      <c r="M13" s="7">
        <f t="shared" si="3"/>
        <v>4752</v>
      </c>
      <c r="N13" s="7">
        <v>163</v>
      </c>
      <c r="O13" s="9">
        <f t="shared" si="4"/>
        <v>15974</v>
      </c>
    </row>
    <row r="15" spans="1:17" ht="34" x14ac:dyDescent="0.2">
      <c r="B15" s="3" t="s">
        <v>29</v>
      </c>
      <c r="C15" s="3" t="s">
        <v>17</v>
      </c>
      <c r="D15" s="3" t="s">
        <v>18</v>
      </c>
      <c r="E15" s="3" t="s">
        <v>20</v>
      </c>
    </row>
    <row r="16" spans="1:17" x14ac:dyDescent="0.2">
      <c r="A16" s="1" t="s">
        <v>8</v>
      </c>
      <c r="B16" s="6">
        <v>0.05</v>
      </c>
      <c r="C16" s="7">
        <f>SUMPRODUCT(G2:G13,D2:D13,E2:E13,K2:K13)</f>
        <v>73614.399999999994</v>
      </c>
      <c r="D16" s="7">
        <f>SUMPRODUCT(G2:G13,D2:D13,E2:E13,N2:N13)</f>
        <v>73614.399999999994</v>
      </c>
      <c r="E16" s="9">
        <f>B16*D16</f>
        <v>3680.72</v>
      </c>
      <c r="G16" s="4" t="s">
        <v>21</v>
      </c>
      <c r="H16" s="9">
        <f>SUM(O2:O13)</f>
        <v>93922</v>
      </c>
    </row>
    <row r="17" spans="1:8" x14ac:dyDescent="0.2">
      <c r="A17" s="1" t="s">
        <v>9</v>
      </c>
      <c r="B17" s="6">
        <v>0.2</v>
      </c>
      <c r="C17" s="7">
        <f>SUMPRODUCT(G2:G13,D2:D13,K2:K13)</f>
        <v>83891.199999999997</v>
      </c>
      <c r="D17" s="7">
        <f>SUMPRODUCT(G2:G13,D2:D13,N2:N13)</f>
        <v>83891.199999999997</v>
      </c>
      <c r="E17" s="9">
        <f>B17*D17</f>
        <v>16778.240000000002</v>
      </c>
      <c r="G17" s="4" t="s">
        <v>22</v>
      </c>
      <c r="H17" s="9">
        <f>SUM(E16:E19)</f>
        <v>33042.640000000007</v>
      </c>
    </row>
    <row r="18" spans="1:8" x14ac:dyDescent="0.2">
      <c r="A18" s="1" t="s">
        <v>10</v>
      </c>
      <c r="B18" s="6">
        <v>0.05</v>
      </c>
      <c r="C18" s="7">
        <f>SUMPRODUCT(G2:G13,D2:D13,K2:K13)</f>
        <v>83891.199999999997</v>
      </c>
      <c r="D18" s="7">
        <f>SUMPRODUCT(G2:G13,D2:D13,N2:N13)</f>
        <v>83891.199999999997</v>
      </c>
      <c r="E18" s="9">
        <f>B18*D18</f>
        <v>4194.5600000000004</v>
      </c>
      <c r="G18" s="4" t="s">
        <v>23</v>
      </c>
      <c r="H18" s="10">
        <f>H16-H17</f>
        <v>60879.359999999993</v>
      </c>
    </row>
    <row r="19" spans="1:8" x14ac:dyDescent="0.2">
      <c r="A19" s="1" t="s">
        <v>11</v>
      </c>
      <c r="B19" s="6">
        <v>0.1</v>
      </c>
      <c r="C19" s="7">
        <f>SUMPRODUCT(G2:G13,D2:D13,K2:K13)</f>
        <v>83891.199999999997</v>
      </c>
      <c r="D19" s="7">
        <f>SUMPRODUCT(G2:G13,D2:D13,N2:N13)</f>
        <v>83891.199999999997</v>
      </c>
      <c r="E19" s="9">
        <f>B19*D19</f>
        <v>8389.1200000000008</v>
      </c>
    </row>
    <row r="20" spans="1:8" x14ac:dyDescent="0.2">
      <c r="G20" s="4" t="s">
        <v>28</v>
      </c>
      <c r="H20" s="7">
        <f>SUM(K2:K13)-SUM(N2:N13)</f>
        <v>0</v>
      </c>
    </row>
    <row r="21" spans="1:8" x14ac:dyDescent="0.2">
      <c r="A21" s="1" t="s">
        <v>31</v>
      </c>
      <c r="B21" s="5">
        <v>5</v>
      </c>
      <c r="D21" s="4" t="s">
        <v>37</v>
      </c>
      <c r="E21" s="5">
        <v>180</v>
      </c>
    </row>
    <row r="22" spans="1:8" x14ac:dyDescent="0.2">
      <c r="A22" s="1" t="s">
        <v>32</v>
      </c>
      <c r="B22" s="5">
        <v>2</v>
      </c>
      <c r="D22" s="4" t="s">
        <v>36</v>
      </c>
      <c r="E22" s="5">
        <v>2</v>
      </c>
    </row>
    <row r="23" spans="1:8" x14ac:dyDescent="0.2">
      <c r="A23" s="1" t="s">
        <v>33</v>
      </c>
      <c r="B23" s="5">
        <v>8</v>
      </c>
    </row>
    <row r="24" spans="1:8" x14ac:dyDescent="0.2">
      <c r="A24" s="1" t="s">
        <v>35</v>
      </c>
      <c r="B24" s="5">
        <v>60</v>
      </c>
      <c r="D24" s="4" t="s">
        <v>38</v>
      </c>
      <c r="E24" s="7">
        <v>12</v>
      </c>
    </row>
    <row r="25" spans="1:8" x14ac:dyDescent="0.2">
      <c r="A25" s="1" t="s">
        <v>34</v>
      </c>
      <c r="B25" s="11">
        <v>0.99</v>
      </c>
      <c r="D25" s="4" t="s">
        <v>39</v>
      </c>
      <c r="E25" s="7">
        <f>SUM(L2:L13)</f>
        <v>12</v>
      </c>
    </row>
    <row r="26" spans="1:8" x14ac:dyDescent="0.2">
      <c r="A26" s="1" t="s">
        <v>24</v>
      </c>
      <c r="B26" s="7">
        <f>B21*B22*B23*B24*B25</f>
        <v>4752</v>
      </c>
      <c r="D26" s="4" t="s">
        <v>25</v>
      </c>
      <c r="E26" s="7">
        <f>E25*E21+E22*SUM(N2:N13)</f>
        <v>4736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7D97-BD12-804E-B2EA-BFFAD023B001}">
  <dimension ref="A1:T26"/>
  <sheetViews>
    <sheetView showGridLines="0" zoomScale="140" zoomScaleNormal="140" workbookViewId="0">
      <selection activeCell="H19" sqref="H19"/>
    </sheetView>
  </sheetViews>
  <sheetFormatPr baseColWidth="10" defaultRowHeight="16" x14ac:dyDescent="0.2"/>
  <cols>
    <col min="1" max="1" width="18.33203125" style="1" customWidth="1"/>
    <col min="2" max="17" width="13.33203125" style="1" customWidth="1"/>
    <col min="18" max="20" width="13.83203125" style="1" customWidth="1"/>
    <col min="21" max="16384" width="10.83203125" style="1"/>
  </cols>
  <sheetData>
    <row r="1" spans="1:20" ht="34" x14ac:dyDescent="0.2">
      <c r="A1" s="2" t="s">
        <v>3</v>
      </c>
      <c r="B1" s="3" t="s">
        <v>47</v>
      </c>
      <c r="C1" s="3" t="s">
        <v>4</v>
      </c>
      <c r="D1" s="3" t="s">
        <v>16</v>
      </c>
      <c r="E1" s="3" t="s">
        <v>30</v>
      </c>
      <c r="F1" s="3" t="s">
        <v>12</v>
      </c>
      <c r="G1" s="3" t="s">
        <v>5</v>
      </c>
      <c r="H1" s="3" t="s">
        <v>13</v>
      </c>
      <c r="I1" s="3" t="s">
        <v>6</v>
      </c>
      <c r="J1" s="3" t="s">
        <v>14</v>
      </c>
      <c r="K1" s="3" t="s">
        <v>7</v>
      </c>
      <c r="L1" s="3" t="s">
        <v>26</v>
      </c>
      <c r="M1" s="3" t="s">
        <v>27</v>
      </c>
      <c r="N1" s="3" t="s">
        <v>15</v>
      </c>
      <c r="O1" s="3" t="s">
        <v>19</v>
      </c>
      <c r="Q1" s="3"/>
      <c r="R1" s="3"/>
      <c r="S1" s="3"/>
      <c r="T1" s="3"/>
    </row>
    <row r="2" spans="1:20" x14ac:dyDescent="0.2">
      <c r="A2" s="5" t="s">
        <v>54</v>
      </c>
      <c r="B2" s="5" t="s">
        <v>53</v>
      </c>
      <c r="C2" s="5" t="s">
        <v>0</v>
      </c>
      <c r="D2" s="5">
        <v>1</v>
      </c>
      <c r="E2" s="5">
        <v>0</v>
      </c>
      <c r="F2" s="6">
        <f t="shared" ref="F2:F13" si="0">SUM($B$17:$B$19)*D2+$B$16*D2*E2</f>
        <v>0.35</v>
      </c>
      <c r="G2" s="5">
        <v>20</v>
      </c>
      <c r="H2" s="6">
        <f t="shared" ref="H2:H13" si="1">F2*G2</f>
        <v>7</v>
      </c>
      <c r="I2" s="6">
        <v>20</v>
      </c>
      <c r="J2" s="8">
        <f t="shared" ref="J2:J13" si="2">(I2-H2)/I2</f>
        <v>0.65</v>
      </c>
      <c r="K2" s="7">
        <v>50</v>
      </c>
      <c r="L2" s="7">
        <v>0</v>
      </c>
      <c r="M2" s="7">
        <f t="shared" ref="M2:M13" si="3">L2*$B$26</f>
        <v>0</v>
      </c>
      <c r="N2" s="7">
        <v>0</v>
      </c>
      <c r="O2" s="9">
        <f t="shared" ref="O2:O13" si="4">N2*I2</f>
        <v>0</v>
      </c>
    </row>
    <row r="3" spans="1:20" x14ac:dyDescent="0.2">
      <c r="A3" s="5" t="s">
        <v>55</v>
      </c>
      <c r="B3" s="5" t="s">
        <v>53</v>
      </c>
      <c r="C3" s="5" t="s">
        <v>0</v>
      </c>
      <c r="D3" s="5">
        <v>1</v>
      </c>
      <c r="E3" s="5">
        <v>0</v>
      </c>
      <c r="F3" s="6">
        <f t="shared" si="0"/>
        <v>0.35</v>
      </c>
      <c r="G3" s="5">
        <v>60</v>
      </c>
      <c r="H3" s="6">
        <f t="shared" si="1"/>
        <v>21</v>
      </c>
      <c r="I3" s="6">
        <v>60</v>
      </c>
      <c r="J3" s="8">
        <f t="shared" si="2"/>
        <v>0.65</v>
      </c>
      <c r="K3" s="7">
        <v>150</v>
      </c>
      <c r="L3" s="7">
        <v>0</v>
      </c>
      <c r="M3" s="7">
        <f t="shared" si="3"/>
        <v>0</v>
      </c>
      <c r="N3" s="7">
        <v>0</v>
      </c>
      <c r="O3" s="9">
        <f t="shared" si="4"/>
        <v>0</v>
      </c>
    </row>
    <row r="4" spans="1:20" x14ac:dyDescent="0.2">
      <c r="A4" s="5" t="s">
        <v>49</v>
      </c>
      <c r="B4" s="5" t="s">
        <v>48</v>
      </c>
      <c r="C4" s="5" t="s">
        <v>0</v>
      </c>
      <c r="D4" s="5">
        <v>1.4</v>
      </c>
      <c r="E4" s="5">
        <v>0</v>
      </c>
      <c r="F4" s="6">
        <f t="shared" si="0"/>
        <v>0.48999999999999994</v>
      </c>
      <c r="G4" s="5">
        <v>20</v>
      </c>
      <c r="H4" s="6">
        <f t="shared" si="1"/>
        <v>9.7999999999999989</v>
      </c>
      <c r="I4" s="6">
        <v>30</v>
      </c>
      <c r="J4" s="8">
        <f t="shared" si="2"/>
        <v>0.67333333333333345</v>
      </c>
      <c r="K4" s="7">
        <v>75</v>
      </c>
      <c r="L4" s="7">
        <v>0</v>
      </c>
      <c r="M4" s="7">
        <f t="shared" si="3"/>
        <v>0</v>
      </c>
      <c r="N4" s="7">
        <v>0</v>
      </c>
      <c r="O4" s="9">
        <f t="shared" si="4"/>
        <v>0</v>
      </c>
    </row>
    <row r="5" spans="1:20" x14ac:dyDescent="0.2">
      <c r="A5" s="5" t="s">
        <v>50</v>
      </c>
      <c r="B5" s="5" t="s">
        <v>48</v>
      </c>
      <c r="C5" s="5" t="s">
        <v>0</v>
      </c>
      <c r="D5" s="5">
        <v>1.4</v>
      </c>
      <c r="E5" s="5">
        <v>0</v>
      </c>
      <c r="F5" s="6">
        <f t="shared" si="0"/>
        <v>0.48999999999999994</v>
      </c>
      <c r="G5" s="5">
        <v>60</v>
      </c>
      <c r="H5" s="6">
        <f t="shared" si="1"/>
        <v>29.399999999999995</v>
      </c>
      <c r="I5" s="6">
        <v>89</v>
      </c>
      <c r="J5" s="8">
        <f t="shared" si="2"/>
        <v>0.66966292134831473</v>
      </c>
      <c r="K5" s="7">
        <v>250</v>
      </c>
      <c r="L5" s="7">
        <v>0</v>
      </c>
      <c r="M5" s="7">
        <f t="shared" si="3"/>
        <v>0</v>
      </c>
      <c r="N5" s="7">
        <v>0</v>
      </c>
      <c r="O5" s="9">
        <f t="shared" si="4"/>
        <v>0</v>
      </c>
    </row>
    <row r="6" spans="1:20" x14ac:dyDescent="0.2">
      <c r="A6" s="5" t="s">
        <v>56</v>
      </c>
      <c r="B6" s="5" t="s">
        <v>53</v>
      </c>
      <c r="C6" s="5" t="s">
        <v>1</v>
      </c>
      <c r="D6" s="5">
        <v>1</v>
      </c>
      <c r="E6" s="5">
        <v>1</v>
      </c>
      <c r="F6" s="6">
        <f t="shared" si="0"/>
        <v>0.39999999999999997</v>
      </c>
      <c r="G6" s="5">
        <v>32</v>
      </c>
      <c r="H6" s="6">
        <f t="shared" si="1"/>
        <v>12.799999999999999</v>
      </c>
      <c r="I6" s="6">
        <v>40</v>
      </c>
      <c r="J6" s="8">
        <f t="shared" si="2"/>
        <v>0.68</v>
      </c>
      <c r="K6" s="7">
        <v>40</v>
      </c>
      <c r="L6" s="7">
        <v>0</v>
      </c>
      <c r="M6" s="7">
        <f t="shared" si="3"/>
        <v>0</v>
      </c>
      <c r="N6" s="7">
        <v>0</v>
      </c>
      <c r="O6" s="9">
        <f t="shared" si="4"/>
        <v>0</v>
      </c>
    </row>
    <row r="7" spans="1:20" x14ac:dyDescent="0.2">
      <c r="A7" s="5" t="s">
        <v>57</v>
      </c>
      <c r="B7" s="5" t="s">
        <v>53</v>
      </c>
      <c r="C7" s="5" t="s">
        <v>1</v>
      </c>
      <c r="D7" s="5">
        <v>1</v>
      </c>
      <c r="E7" s="5">
        <v>1</v>
      </c>
      <c r="F7" s="6">
        <f t="shared" si="0"/>
        <v>0.39999999999999997</v>
      </c>
      <c r="G7" s="5">
        <v>60</v>
      </c>
      <c r="H7" s="6">
        <f t="shared" si="1"/>
        <v>23.999999999999996</v>
      </c>
      <c r="I7" s="6">
        <v>68</v>
      </c>
      <c r="J7" s="8">
        <f t="shared" si="2"/>
        <v>0.6470588235294118</v>
      </c>
      <c r="K7" s="7">
        <v>120</v>
      </c>
      <c r="L7" s="7">
        <v>0</v>
      </c>
      <c r="M7" s="7">
        <f t="shared" si="3"/>
        <v>0</v>
      </c>
      <c r="N7" s="7">
        <v>0</v>
      </c>
      <c r="O7" s="9">
        <f t="shared" si="4"/>
        <v>0</v>
      </c>
    </row>
    <row r="8" spans="1:20" x14ac:dyDescent="0.2">
      <c r="A8" s="5" t="s">
        <v>51</v>
      </c>
      <c r="B8" s="5" t="s">
        <v>48</v>
      </c>
      <c r="C8" s="5" t="s">
        <v>1</v>
      </c>
      <c r="D8" s="5">
        <v>1.4</v>
      </c>
      <c r="E8" s="5">
        <v>1</v>
      </c>
      <c r="F8" s="6">
        <f t="shared" si="0"/>
        <v>0.55999999999999994</v>
      </c>
      <c r="G8" s="5">
        <v>32</v>
      </c>
      <c r="H8" s="6">
        <f t="shared" si="1"/>
        <v>17.919999999999998</v>
      </c>
      <c r="I8" s="6">
        <v>56</v>
      </c>
      <c r="J8" s="8">
        <f t="shared" si="2"/>
        <v>0.67999999999999994</v>
      </c>
      <c r="K8" s="7">
        <v>60</v>
      </c>
      <c r="L8" s="7">
        <v>0</v>
      </c>
      <c r="M8" s="7">
        <f t="shared" si="3"/>
        <v>0</v>
      </c>
      <c r="N8" s="7">
        <v>0</v>
      </c>
      <c r="O8" s="9">
        <f t="shared" si="4"/>
        <v>0</v>
      </c>
    </row>
    <row r="9" spans="1:20" x14ac:dyDescent="0.2">
      <c r="A9" s="5" t="s">
        <v>52</v>
      </c>
      <c r="B9" s="5" t="s">
        <v>48</v>
      </c>
      <c r="C9" s="5" t="s">
        <v>1</v>
      </c>
      <c r="D9" s="5">
        <v>1.4</v>
      </c>
      <c r="E9" s="5">
        <v>1</v>
      </c>
      <c r="F9" s="6">
        <f t="shared" si="0"/>
        <v>0.55999999999999994</v>
      </c>
      <c r="G9" s="5">
        <v>60</v>
      </c>
      <c r="H9" s="6">
        <f t="shared" si="1"/>
        <v>33.599999999999994</v>
      </c>
      <c r="I9" s="6">
        <v>98</v>
      </c>
      <c r="J9" s="8">
        <f t="shared" si="2"/>
        <v>0.65714285714285725</v>
      </c>
      <c r="K9" s="7">
        <v>200</v>
      </c>
      <c r="L9" s="7">
        <v>0</v>
      </c>
      <c r="M9" s="7">
        <f t="shared" si="3"/>
        <v>0</v>
      </c>
      <c r="N9" s="7">
        <v>0</v>
      </c>
      <c r="O9" s="9">
        <f t="shared" si="4"/>
        <v>0</v>
      </c>
    </row>
    <row r="10" spans="1:20" x14ac:dyDescent="0.2">
      <c r="A10" s="5" t="s">
        <v>58</v>
      </c>
      <c r="B10" s="5" t="s">
        <v>53</v>
      </c>
      <c r="C10" s="5" t="s">
        <v>2</v>
      </c>
      <c r="D10" s="5">
        <v>1</v>
      </c>
      <c r="E10" s="5">
        <v>2</v>
      </c>
      <c r="F10" s="6">
        <f t="shared" si="0"/>
        <v>0.44999999999999996</v>
      </c>
      <c r="G10" s="5">
        <v>32</v>
      </c>
      <c r="H10" s="6">
        <f t="shared" si="1"/>
        <v>14.399999999999999</v>
      </c>
      <c r="I10" s="6">
        <v>40</v>
      </c>
      <c r="J10" s="8">
        <f t="shared" si="2"/>
        <v>0.64</v>
      </c>
      <c r="K10" s="7">
        <v>33</v>
      </c>
      <c r="L10" s="7">
        <v>0</v>
      </c>
      <c r="M10" s="7">
        <f t="shared" si="3"/>
        <v>0</v>
      </c>
      <c r="N10" s="7">
        <v>0</v>
      </c>
      <c r="O10" s="9">
        <f t="shared" si="4"/>
        <v>0</v>
      </c>
    </row>
    <row r="11" spans="1:20" x14ac:dyDescent="0.2">
      <c r="A11" s="5" t="s">
        <v>59</v>
      </c>
      <c r="B11" s="5" t="s">
        <v>53</v>
      </c>
      <c r="C11" s="5" t="s">
        <v>2</v>
      </c>
      <c r="D11" s="5">
        <v>1</v>
      </c>
      <c r="E11" s="5">
        <v>2</v>
      </c>
      <c r="F11" s="6">
        <f t="shared" si="0"/>
        <v>0.44999999999999996</v>
      </c>
      <c r="G11" s="5">
        <v>60</v>
      </c>
      <c r="H11" s="6">
        <f t="shared" si="1"/>
        <v>26.999999999999996</v>
      </c>
      <c r="I11" s="6">
        <v>68</v>
      </c>
      <c r="J11" s="8">
        <f t="shared" si="2"/>
        <v>0.6029411764705882</v>
      </c>
      <c r="K11" s="7">
        <v>98</v>
      </c>
      <c r="L11" s="7">
        <v>0</v>
      </c>
      <c r="M11" s="7">
        <f t="shared" si="3"/>
        <v>0</v>
      </c>
      <c r="N11" s="7">
        <v>0</v>
      </c>
      <c r="O11" s="9">
        <f t="shared" si="4"/>
        <v>0</v>
      </c>
    </row>
    <row r="12" spans="1:20" x14ac:dyDescent="0.2">
      <c r="A12" s="5" t="s">
        <v>60</v>
      </c>
      <c r="B12" s="5" t="s">
        <v>48</v>
      </c>
      <c r="C12" s="5" t="s">
        <v>2</v>
      </c>
      <c r="D12" s="5">
        <v>1.4</v>
      </c>
      <c r="E12" s="5">
        <v>2</v>
      </c>
      <c r="F12" s="6">
        <f t="shared" si="0"/>
        <v>0.62999999999999989</v>
      </c>
      <c r="G12" s="5">
        <v>32</v>
      </c>
      <c r="H12" s="6">
        <f t="shared" si="1"/>
        <v>20.159999999999997</v>
      </c>
      <c r="I12" s="6">
        <v>56</v>
      </c>
      <c r="J12" s="8">
        <f t="shared" si="2"/>
        <v>0.64</v>
      </c>
      <c r="K12" s="7">
        <v>49</v>
      </c>
      <c r="L12" s="7">
        <v>0</v>
      </c>
      <c r="M12" s="7">
        <f t="shared" si="3"/>
        <v>0</v>
      </c>
      <c r="N12" s="7">
        <v>0</v>
      </c>
      <c r="O12" s="9">
        <f t="shared" si="4"/>
        <v>0</v>
      </c>
    </row>
    <row r="13" spans="1:20" x14ac:dyDescent="0.2">
      <c r="A13" s="5" t="s">
        <v>61</v>
      </c>
      <c r="B13" s="5" t="s">
        <v>48</v>
      </c>
      <c r="C13" s="5" t="s">
        <v>2</v>
      </c>
      <c r="D13" s="5">
        <v>1.4</v>
      </c>
      <c r="E13" s="5">
        <v>2</v>
      </c>
      <c r="F13" s="6">
        <f t="shared" si="0"/>
        <v>0.62999999999999989</v>
      </c>
      <c r="G13" s="5">
        <v>60</v>
      </c>
      <c r="H13" s="6">
        <f t="shared" si="1"/>
        <v>37.799999999999997</v>
      </c>
      <c r="I13" s="6">
        <v>98</v>
      </c>
      <c r="J13" s="8">
        <f t="shared" si="2"/>
        <v>0.61428571428571432</v>
      </c>
      <c r="K13" s="7">
        <v>163</v>
      </c>
      <c r="L13" s="7">
        <v>0</v>
      </c>
      <c r="M13" s="7">
        <f t="shared" si="3"/>
        <v>0</v>
      </c>
      <c r="N13" s="7">
        <v>0</v>
      </c>
      <c r="O13" s="9">
        <f t="shared" si="4"/>
        <v>0</v>
      </c>
    </row>
    <row r="15" spans="1:20" ht="34" x14ac:dyDescent="0.2">
      <c r="B15" s="3" t="s">
        <v>29</v>
      </c>
      <c r="C15" s="3" t="s">
        <v>17</v>
      </c>
      <c r="D15" s="3" t="s">
        <v>18</v>
      </c>
      <c r="E15" s="3" t="s">
        <v>20</v>
      </c>
      <c r="J15" s="3" t="s">
        <v>42</v>
      </c>
      <c r="K15" s="3" t="s">
        <v>41</v>
      </c>
    </row>
    <row r="16" spans="1:20" x14ac:dyDescent="0.2">
      <c r="A16" s="1" t="s">
        <v>8</v>
      </c>
      <c r="B16" s="6">
        <v>0.05</v>
      </c>
      <c r="C16" s="7">
        <f>SUMPRODUCT(G2:G13,D2:D13,E2:E13,K2:K13)</f>
        <v>73614.399999999994</v>
      </c>
      <c r="D16" s="7">
        <f>SUMPRODUCT(G2:G13,D2:D13,E2:E13,N2:N13)</f>
        <v>0</v>
      </c>
      <c r="E16" s="9">
        <f>B16*D16</f>
        <v>0</v>
      </c>
      <c r="G16" s="4" t="s">
        <v>21</v>
      </c>
      <c r="H16" s="9">
        <f>SUM(O2:O13)</f>
        <v>0</v>
      </c>
      <c r="I16" s="4" t="s">
        <v>0</v>
      </c>
      <c r="J16" s="7">
        <f>SUM(N2:N5)</f>
        <v>0</v>
      </c>
      <c r="K16" s="12">
        <f>SUM(K2:K5)</f>
        <v>525</v>
      </c>
    </row>
    <row r="17" spans="1:11" x14ac:dyDescent="0.2">
      <c r="A17" s="1" t="s">
        <v>9</v>
      </c>
      <c r="B17" s="6">
        <v>0.2</v>
      </c>
      <c r="C17" s="7">
        <f>SUMPRODUCT(G2:G13,D2:D13,K2:K13)</f>
        <v>83891.199999999997</v>
      </c>
      <c r="D17" s="7">
        <f>SUMPRODUCT(G2:G13,D2:D13,N2:N13)</f>
        <v>0</v>
      </c>
      <c r="E17" s="9">
        <f>B17*D17</f>
        <v>0</v>
      </c>
      <c r="G17" s="4" t="s">
        <v>22</v>
      </c>
      <c r="H17" s="9">
        <f>SUM(E16:E19)</f>
        <v>0</v>
      </c>
      <c r="I17" s="4" t="s">
        <v>1</v>
      </c>
      <c r="J17" s="7">
        <f>SUM(N6:N9)</f>
        <v>0</v>
      </c>
      <c r="K17" s="12">
        <f>SUM(K6:K9)</f>
        <v>420</v>
      </c>
    </row>
    <row r="18" spans="1:11" x14ac:dyDescent="0.2">
      <c r="A18" s="1" t="s">
        <v>10</v>
      </c>
      <c r="B18" s="6">
        <v>0.05</v>
      </c>
      <c r="C18" s="7">
        <f>SUMPRODUCT(G2:G13,D2:D13,K2:K13)</f>
        <v>83891.199999999997</v>
      </c>
      <c r="D18" s="7">
        <f>SUMPRODUCT(G2:G13,D2:D13,N2:N13)</f>
        <v>0</v>
      </c>
      <c r="E18" s="9">
        <f>B18*D18</f>
        <v>0</v>
      </c>
      <c r="G18" s="4" t="s">
        <v>23</v>
      </c>
      <c r="H18" s="10">
        <f>H16-H17</f>
        <v>0</v>
      </c>
      <c r="I18" s="4" t="s">
        <v>2</v>
      </c>
      <c r="J18" s="7">
        <f>SUM(N10:N13)</f>
        <v>0</v>
      </c>
      <c r="K18" s="12">
        <f>SUM(K10:K13)</f>
        <v>343</v>
      </c>
    </row>
    <row r="19" spans="1:11" x14ac:dyDescent="0.2">
      <c r="A19" s="1" t="s">
        <v>11</v>
      </c>
      <c r="B19" s="6">
        <v>0.1</v>
      </c>
      <c r="C19" s="7">
        <f>SUMPRODUCT(G2:G13,D2:D13,K2:K13)</f>
        <v>83891.199999999997</v>
      </c>
      <c r="D19" s="7">
        <f>SUMPRODUCT(G2:G13,D2:D13,N2:N13)</f>
        <v>0</v>
      </c>
      <c r="E19" s="9">
        <f>B19*D19</f>
        <v>0</v>
      </c>
    </row>
    <row r="20" spans="1:11" x14ac:dyDescent="0.2">
      <c r="G20" s="4" t="s">
        <v>28</v>
      </c>
      <c r="H20" s="7">
        <f>SUM(K2:K13)-SUM(N2:N13)</f>
        <v>1288</v>
      </c>
      <c r="J20" s="2" t="s">
        <v>40</v>
      </c>
      <c r="K20" s="2" t="s">
        <v>44</v>
      </c>
    </row>
    <row r="21" spans="1:11" x14ac:dyDescent="0.2">
      <c r="A21" s="1" t="s">
        <v>31</v>
      </c>
      <c r="B21" s="5">
        <v>5</v>
      </c>
      <c r="D21" s="4" t="s">
        <v>37</v>
      </c>
      <c r="E21" s="5">
        <v>180</v>
      </c>
      <c r="J21" s="2" t="s">
        <v>43</v>
      </c>
      <c r="K21" s="2" t="s">
        <v>45</v>
      </c>
    </row>
    <row r="22" spans="1:11" x14ac:dyDescent="0.2">
      <c r="A22" s="1" t="s">
        <v>32</v>
      </c>
      <c r="B22" s="5">
        <v>2</v>
      </c>
      <c r="D22" s="4" t="s">
        <v>36</v>
      </c>
      <c r="E22" s="5">
        <v>2</v>
      </c>
      <c r="I22" s="4" t="s">
        <v>53</v>
      </c>
      <c r="J22" s="7">
        <f>N2+N3+N6+N7+N10+N11</f>
        <v>0</v>
      </c>
      <c r="K22" s="12">
        <f>K2+K3+K6+K7+K10+K11</f>
        <v>491</v>
      </c>
    </row>
    <row r="23" spans="1:11" x14ac:dyDescent="0.2">
      <c r="A23" s="1" t="s">
        <v>33</v>
      </c>
      <c r="B23" s="5">
        <v>8</v>
      </c>
      <c r="I23" s="4" t="s">
        <v>48</v>
      </c>
      <c r="J23" s="7">
        <f>N4+N5+N8+N9+N12+N13</f>
        <v>0</v>
      </c>
      <c r="K23" s="12">
        <f>K4+K5+K8+K9+K12+K13</f>
        <v>797</v>
      </c>
    </row>
    <row r="24" spans="1:11" x14ac:dyDescent="0.2">
      <c r="A24" s="1" t="s">
        <v>35</v>
      </c>
      <c r="B24" s="5">
        <v>60</v>
      </c>
      <c r="D24" s="4" t="s">
        <v>38</v>
      </c>
      <c r="E24" s="7">
        <v>12</v>
      </c>
    </row>
    <row r="25" spans="1:11" x14ac:dyDescent="0.2">
      <c r="A25" s="1" t="s">
        <v>34</v>
      </c>
      <c r="B25" s="11">
        <v>0.99</v>
      </c>
      <c r="D25" s="4" t="s">
        <v>39</v>
      </c>
      <c r="E25" s="7">
        <f>SUM(L2:L13)</f>
        <v>0</v>
      </c>
    </row>
    <row r="26" spans="1:11" x14ac:dyDescent="0.2">
      <c r="A26" s="1" t="s">
        <v>24</v>
      </c>
      <c r="B26" s="7">
        <f>B21*B22*B23*B24*B25</f>
        <v>4752</v>
      </c>
      <c r="D26" s="4" t="s">
        <v>25</v>
      </c>
      <c r="E26" s="7">
        <f>E25*E21+E22*SUM(N2:N13)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4245-DF77-E045-807B-11BC7C7AC9FD}">
  <dimension ref="A1:T26"/>
  <sheetViews>
    <sheetView showGridLines="0" zoomScale="140" zoomScaleNormal="140" workbookViewId="0">
      <selection activeCell="H19" sqref="H19"/>
    </sheetView>
  </sheetViews>
  <sheetFormatPr baseColWidth="10" defaultRowHeight="16" x14ac:dyDescent="0.2"/>
  <cols>
    <col min="1" max="1" width="18.33203125" style="1" bestFit="1" customWidth="1"/>
    <col min="2" max="17" width="13.33203125" style="1" customWidth="1"/>
    <col min="18" max="20" width="13.83203125" style="1" customWidth="1"/>
    <col min="21" max="16384" width="10.83203125" style="1"/>
  </cols>
  <sheetData>
    <row r="1" spans="1:20" ht="34" x14ac:dyDescent="0.2">
      <c r="A1" s="2" t="s">
        <v>3</v>
      </c>
      <c r="B1" s="3" t="s">
        <v>47</v>
      </c>
      <c r="C1" s="3" t="s">
        <v>4</v>
      </c>
      <c r="D1" s="3" t="s">
        <v>16</v>
      </c>
      <c r="E1" s="3" t="s">
        <v>30</v>
      </c>
      <c r="F1" s="3" t="s">
        <v>12</v>
      </c>
      <c r="G1" s="3" t="s">
        <v>5</v>
      </c>
      <c r="H1" s="3" t="s">
        <v>13</v>
      </c>
      <c r="I1" s="3" t="s">
        <v>6</v>
      </c>
      <c r="J1" s="3" t="s">
        <v>14</v>
      </c>
      <c r="K1" s="3" t="s">
        <v>7</v>
      </c>
      <c r="L1" s="3" t="s">
        <v>26</v>
      </c>
      <c r="M1" s="3" t="s">
        <v>27</v>
      </c>
      <c r="N1" s="3" t="s">
        <v>15</v>
      </c>
      <c r="O1" s="3" t="s">
        <v>19</v>
      </c>
      <c r="Q1" s="3"/>
      <c r="R1" s="3"/>
      <c r="S1" s="3"/>
      <c r="T1" s="3"/>
    </row>
    <row r="2" spans="1:20" x14ac:dyDescent="0.2">
      <c r="A2" s="5" t="s">
        <v>54</v>
      </c>
      <c r="B2" s="5" t="s">
        <v>53</v>
      </c>
      <c r="C2" s="5" t="s">
        <v>0</v>
      </c>
      <c r="D2" s="5">
        <v>1</v>
      </c>
      <c r="E2" s="5">
        <v>0</v>
      </c>
      <c r="F2" s="6">
        <f t="shared" ref="F2:F13" si="0">SUM($B$17:$B$19)*D2+$B$16*D2*E2</f>
        <v>0.35</v>
      </c>
      <c r="G2" s="5">
        <v>20</v>
      </c>
      <c r="H2" s="6">
        <f t="shared" ref="H2:H13" si="1">F2*G2</f>
        <v>7</v>
      </c>
      <c r="I2" s="6">
        <v>20</v>
      </c>
      <c r="J2" s="8">
        <f t="shared" ref="J2:J13" si="2">(I2-H2)/I2</f>
        <v>0.65</v>
      </c>
      <c r="K2" s="7">
        <v>50</v>
      </c>
      <c r="L2" s="7">
        <v>0</v>
      </c>
      <c r="M2" s="7">
        <f t="shared" ref="M2:M13" si="3">L2*$B$26</f>
        <v>0</v>
      </c>
      <c r="N2" s="7">
        <v>0</v>
      </c>
      <c r="O2" s="9">
        <f t="shared" ref="O2:O13" si="4">N2*I2</f>
        <v>0</v>
      </c>
    </row>
    <row r="3" spans="1:20" x14ac:dyDescent="0.2">
      <c r="A3" s="5" t="s">
        <v>55</v>
      </c>
      <c r="B3" s="5" t="s">
        <v>53</v>
      </c>
      <c r="C3" s="5" t="s">
        <v>0</v>
      </c>
      <c r="D3" s="5">
        <v>1</v>
      </c>
      <c r="E3" s="5">
        <v>0</v>
      </c>
      <c r="F3" s="6">
        <f t="shared" si="0"/>
        <v>0.35</v>
      </c>
      <c r="G3" s="5">
        <v>60</v>
      </c>
      <c r="H3" s="6">
        <f t="shared" si="1"/>
        <v>21</v>
      </c>
      <c r="I3" s="6">
        <v>60</v>
      </c>
      <c r="J3" s="8">
        <f t="shared" si="2"/>
        <v>0.65</v>
      </c>
      <c r="K3" s="7">
        <v>150</v>
      </c>
      <c r="L3" s="7">
        <v>0</v>
      </c>
      <c r="M3" s="7">
        <f t="shared" si="3"/>
        <v>0</v>
      </c>
      <c r="N3" s="7">
        <v>0</v>
      </c>
      <c r="O3" s="9">
        <f t="shared" si="4"/>
        <v>0</v>
      </c>
    </row>
    <row r="4" spans="1:20" x14ac:dyDescent="0.2">
      <c r="A4" s="5" t="s">
        <v>49</v>
      </c>
      <c r="B4" s="5" t="s">
        <v>48</v>
      </c>
      <c r="C4" s="5" t="s">
        <v>0</v>
      </c>
      <c r="D4" s="5">
        <v>1.4</v>
      </c>
      <c r="E4" s="5">
        <v>0</v>
      </c>
      <c r="F4" s="6">
        <f t="shared" si="0"/>
        <v>0.48999999999999994</v>
      </c>
      <c r="G4" s="5">
        <v>20</v>
      </c>
      <c r="H4" s="6">
        <f t="shared" si="1"/>
        <v>9.7999999999999989</v>
      </c>
      <c r="I4" s="6">
        <v>30</v>
      </c>
      <c r="J4" s="8">
        <f t="shared" si="2"/>
        <v>0.67333333333333345</v>
      </c>
      <c r="K4" s="7">
        <v>75</v>
      </c>
      <c r="L4" s="7">
        <v>0</v>
      </c>
      <c r="M4" s="7">
        <f t="shared" si="3"/>
        <v>0</v>
      </c>
      <c r="N4" s="7">
        <v>0</v>
      </c>
      <c r="O4" s="9">
        <f t="shared" si="4"/>
        <v>0</v>
      </c>
    </row>
    <row r="5" spans="1:20" x14ac:dyDescent="0.2">
      <c r="A5" s="5" t="s">
        <v>50</v>
      </c>
      <c r="B5" s="5" t="s">
        <v>48</v>
      </c>
      <c r="C5" s="5" t="s">
        <v>0</v>
      </c>
      <c r="D5" s="5">
        <v>1.4</v>
      </c>
      <c r="E5" s="5">
        <v>0</v>
      </c>
      <c r="F5" s="6">
        <f t="shared" si="0"/>
        <v>0.48999999999999994</v>
      </c>
      <c r="G5" s="5">
        <v>60</v>
      </c>
      <c r="H5" s="6">
        <f t="shared" si="1"/>
        <v>29.399999999999995</v>
      </c>
      <c r="I5" s="6">
        <v>89</v>
      </c>
      <c r="J5" s="8">
        <f t="shared" si="2"/>
        <v>0.66966292134831473</v>
      </c>
      <c r="K5" s="7">
        <v>250</v>
      </c>
      <c r="L5" s="7">
        <v>0</v>
      </c>
      <c r="M5" s="7">
        <f t="shared" si="3"/>
        <v>0</v>
      </c>
      <c r="N5" s="7">
        <v>0</v>
      </c>
      <c r="O5" s="9">
        <f t="shared" si="4"/>
        <v>0</v>
      </c>
    </row>
    <row r="6" spans="1:20" x14ac:dyDescent="0.2">
      <c r="A6" s="5" t="s">
        <v>56</v>
      </c>
      <c r="B6" s="5" t="s">
        <v>53</v>
      </c>
      <c r="C6" s="5" t="s">
        <v>1</v>
      </c>
      <c r="D6" s="5">
        <v>1</v>
      </c>
      <c r="E6" s="5">
        <v>1</v>
      </c>
      <c r="F6" s="6">
        <f t="shared" si="0"/>
        <v>0.39999999999999997</v>
      </c>
      <c r="G6" s="5">
        <v>32</v>
      </c>
      <c r="H6" s="6">
        <f t="shared" si="1"/>
        <v>12.799999999999999</v>
      </c>
      <c r="I6" s="6">
        <v>40</v>
      </c>
      <c r="J6" s="8">
        <f t="shared" si="2"/>
        <v>0.68</v>
      </c>
      <c r="K6" s="7">
        <v>40</v>
      </c>
      <c r="L6" s="7">
        <v>0</v>
      </c>
      <c r="M6" s="7">
        <f t="shared" si="3"/>
        <v>0</v>
      </c>
      <c r="N6" s="7">
        <v>0</v>
      </c>
      <c r="O6" s="9">
        <f t="shared" si="4"/>
        <v>0</v>
      </c>
    </row>
    <row r="7" spans="1:20" x14ac:dyDescent="0.2">
      <c r="A7" s="5" t="s">
        <v>57</v>
      </c>
      <c r="B7" s="5" t="s">
        <v>53</v>
      </c>
      <c r="C7" s="5" t="s">
        <v>1</v>
      </c>
      <c r="D7" s="5">
        <v>1</v>
      </c>
      <c r="E7" s="5">
        <v>1</v>
      </c>
      <c r="F7" s="6">
        <f t="shared" si="0"/>
        <v>0.39999999999999997</v>
      </c>
      <c r="G7" s="5">
        <v>60</v>
      </c>
      <c r="H7" s="6">
        <f t="shared" si="1"/>
        <v>23.999999999999996</v>
      </c>
      <c r="I7" s="6">
        <v>68</v>
      </c>
      <c r="J7" s="8">
        <f t="shared" si="2"/>
        <v>0.6470588235294118</v>
      </c>
      <c r="K7" s="7">
        <v>120</v>
      </c>
      <c r="L7" s="7">
        <v>0</v>
      </c>
      <c r="M7" s="7">
        <f t="shared" si="3"/>
        <v>0</v>
      </c>
      <c r="N7" s="7">
        <v>0</v>
      </c>
      <c r="O7" s="9">
        <f t="shared" si="4"/>
        <v>0</v>
      </c>
    </row>
    <row r="8" spans="1:20" x14ac:dyDescent="0.2">
      <c r="A8" s="5" t="s">
        <v>51</v>
      </c>
      <c r="B8" s="5" t="s">
        <v>48</v>
      </c>
      <c r="C8" s="5" t="s">
        <v>1</v>
      </c>
      <c r="D8" s="5">
        <v>1.4</v>
      </c>
      <c r="E8" s="5">
        <v>1</v>
      </c>
      <c r="F8" s="6">
        <f t="shared" si="0"/>
        <v>0.55999999999999994</v>
      </c>
      <c r="G8" s="5">
        <v>32</v>
      </c>
      <c r="H8" s="6">
        <f t="shared" si="1"/>
        <v>17.919999999999998</v>
      </c>
      <c r="I8" s="6">
        <v>56</v>
      </c>
      <c r="J8" s="8">
        <f t="shared" si="2"/>
        <v>0.67999999999999994</v>
      </c>
      <c r="K8" s="7">
        <v>60</v>
      </c>
      <c r="L8" s="7">
        <v>0</v>
      </c>
      <c r="M8" s="7">
        <f t="shared" si="3"/>
        <v>0</v>
      </c>
      <c r="N8" s="7">
        <v>0</v>
      </c>
      <c r="O8" s="9">
        <f t="shared" si="4"/>
        <v>0</v>
      </c>
    </row>
    <row r="9" spans="1:20" x14ac:dyDescent="0.2">
      <c r="A9" s="5" t="s">
        <v>52</v>
      </c>
      <c r="B9" s="5" t="s">
        <v>48</v>
      </c>
      <c r="C9" s="5" t="s">
        <v>1</v>
      </c>
      <c r="D9" s="5">
        <v>1.4</v>
      </c>
      <c r="E9" s="5">
        <v>1</v>
      </c>
      <c r="F9" s="6">
        <f t="shared" si="0"/>
        <v>0.55999999999999994</v>
      </c>
      <c r="G9" s="5">
        <v>60</v>
      </c>
      <c r="H9" s="6">
        <f t="shared" si="1"/>
        <v>33.599999999999994</v>
      </c>
      <c r="I9" s="6">
        <v>98</v>
      </c>
      <c r="J9" s="8">
        <f t="shared" si="2"/>
        <v>0.65714285714285725</v>
      </c>
      <c r="K9" s="7">
        <v>200</v>
      </c>
      <c r="L9" s="7">
        <v>0</v>
      </c>
      <c r="M9" s="7">
        <f t="shared" si="3"/>
        <v>0</v>
      </c>
      <c r="N9" s="7">
        <v>0</v>
      </c>
      <c r="O9" s="9">
        <f t="shared" si="4"/>
        <v>0</v>
      </c>
    </row>
    <row r="10" spans="1:20" x14ac:dyDescent="0.2">
      <c r="A10" s="5" t="s">
        <v>58</v>
      </c>
      <c r="B10" s="5" t="s">
        <v>53</v>
      </c>
      <c r="C10" s="5" t="s">
        <v>2</v>
      </c>
      <c r="D10" s="5">
        <v>1</v>
      </c>
      <c r="E10" s="5">
        <v>2</v>
      </c>
      <c r="F10" s="6">
        <f t="shared" si="0"/>
        <v>0.44999999999999996</v>
      </c>
      <c r="G10" s="5">
        <v>32</v>
      </c>
      <c r="H10" s="6">
        <f t="shared" si="1"/>
        <v>14.399999999999999</v>
      </c>
      <c r="I10" s="6">
        <v>40</v>
      </c>
      <c r="J10" s="8">
        <f t="shared" si="2"/>
        <v>0.64</v>
      </c>
      <c r="K10" s="7">
        <v>33</v>
      </c>
      <c r="L10" s="7">
        <v>0</v>
      </c>
      <c r="M10" s="7">
        <f t="shared" si="3"/>
        <v>0</v>
      </c>
      <c r="N10" s="7">
        <v>0</v>
      </c>
      <c r="O10" s="9">
        <f t="shared" si="4"/>
        <v>0</v>
      </c>
    </row>
    <row r="11" spans="1:20" x14ac:dyDescent="0.2">
      <c r="A11" s="5" t="s">
        <v>59</v>
      </c>
      <c r="B11" s="5" t="s">
        <v>53</v>
      </c>
      <c r="C11" s="5" t="s">
        <v>2</v>
      </c>
      <c r="D11" s="5">
        <v>1</v>
      </c>
      <c r="E11" s="5">
        <v>2</v>
      </c>
      <c r="F11" s="6">
        <f t="shared" si="0"/>
        <v>0.44999999999999996</v>
      </c>
      <c r="G11" s="5">
        <v>60</v>
      </c>
      <c r="H11" s="6">
        <f t="shared" si="1"/>
        <v>26.999999999999996</v>
      </c>
      <c r="I11" s="6">
        <v>68</v>
      </c>
      <c r="J11" s="8">
        <f t="shared" si="2"/>
        <v>0.6029411764705882</v>
      </c>
      <c r="K11" s="7">
        <v>98</v>
      </c>
      <c r="L11" s="7">
        <v>0</v>
      </c>
      <c r="M11" s="7">
        <f t="shared" si="3"/>
        <v>0</v>
      </c>
      <c r="N11" s="7">
        <v>0</v>
      </c>
      <c r="O11" s="9">
        <f t="shared" si="4"/>
        <v>0</v>
      </c>
    </row>
    <row r="12" spans="1:20" x14ac:dyDescent="0.2">
      <c r="A12" s="5" t="s">
        <v>60</v>
      </c>
      <c r="B12" s="5" t="s">
        <v>48</v>
      </c>
      <c r="C12" s="5" t="s">
        <v>2</v>
      </c>
      <c r="D12" s="5">
        <v>1.4</v>
      </c>
      <c r="E12" s="5">
        <v>2</v>
      </c>
      <c r="F12" s="6">
        <f t="shared" si="0"/>
        <v>0.62999999999999989</v>
      </c>
      <c r="G12" s="5">
        <v>32</v>
      </c>
      <c r="H12" s="6">
        <f t="shared" si="1"/>
        <v>20.159999999999997</v>
      </c>
      <c r="I12" s="6">
        <v>56</v>
      </c>
      <c r="J12" s="8">
        <f t="shared" si="2"/>
        <v>0.64</v>
      </c>
      <c r="K12" s="7">
        <v>49</v>
      </c>
      <c r="L12" s="7">
        <v>0</v>
      </c>
      <c r="M12" s="7">
        <f t="shared" si="3"/>
        <v>0</v>
      </c>
      <c r="N12" s="7">
        <v>0</v>
      </c>
      <c r="O12" s="9">
        <f t="shared" si="4"/>
        <v>0</v>
      </c>
    </row>
    <row r="13" spans="1:20" x14ac:dyDescent="0.2">
      <c r="A13" s="5" t="s">
        <v>61</v>
      </c>
      <c r="B13" s="5" t="s">
        <v>48</v>
      </c>
      <c r="C13" s="5" t="s">
        <v>2</v>
      </c>
      <c r="D13" s="5">
        <v>1.4</v>
      </c>
      <c r="E13" s="5">
        <v>2</v>
      </c>
      <c r="F13" s="6">
        <f t="shared" si="0"/>
        <v>0.62999999999999989</v>
      </c>
      <c r="G13" s="5">
        <v>60</v>
      </c>
      <c r="H13" s="6">
        <f t="shared" si="1"/>
        <v>37.799999999999997</v>
      </c>
      <c r="I13" s="6">
        <v>98</v>
      </c>
      <c r="J13" s="8">
        <f t="shared" si="2"/>
        <v>0.61428571428571432</v>
      </c>
      <c r="K13" s="7">
        <v>163</v>
      </c>
      <c r="L13" s="7">
        <v>0</v>
      </c>
      <c r="M13" s="7">
        <f t="shared" si="3"/>
        <v>0</v>
      </c>
      <c r="N13" s="7">
        <v>0</v>
      </c>
      <c r="O13" s="9">
        <f t="shared" si="4"/>
        <v>0</v>
      </c>
    </row>
    <row r="15" spans="1:20" ht="34" x14ac:dyDescent="0.2">
      <c r="B15" s="3" t="s">
        <v>29</v>
      </c>
      <c r="C15" s="3" t="s">
        <v>17</v>
      </c>
      <c r="D15" s="3" t="s">
        <v>18</v>
      </c>
      <c r="E15" s="3" t="s">
        <v>20</v>
      </c>
      <c r="J15" s="3" t="s">
        <v>42</v>
      </c>
      <c r="K15" s="3" t="s">
        <v>41</v>
      </c>
      <c r="M15" s="3" t="s">
        <v>42</v>
      </c>
      <c r="N15" s="3" t="s">
        <v>41</v>
      </c>
    </row>
    <row r="16" spans="1:20" x14ac:dyDescent="0.2">
      <c r="A16" s="1" t="s">
        <v>8</v>
      </c>
      <c r="B16" s="6">
        <v>0.05</v>
      </c>
      <c r="C16" s="12">
        <v>50000</v>
      </c>
      <c r="D16" s="7">
        <f>SUMPRODUCT(G2:G13,D2:D13,E2:E13,N2:N13)</f>
        <v>0</v>
      </c>
      <c r="E16" s="9">
        <f>B16*D16</f>
        <v>0</v>
      </c>
      <c r="G16" s="4" t="s">
        <v>21</v>
      </c>
      <c r="H16" s="9">
        <f>SUM(O2:O13)</f>
        <v>0</v>
      </c>
      <c r="I16" s="4" t="s">
        <v>0</v>
      </c>
      <c r="J16" s="7">
        <f>SUM(N2:N5)</f>
        <v>0</v>
      </c>
      <c r="K16" s="12">
        <f>SUM(K2:K5)</f>
        <v>525</v>
      </c>
      <c r="L16" s="4" t="s">
        <v>46</v>
      </c>
      <c r="M16" s="7">
        <f>SUM(N2:N13)</f>
        <v>0</v>
      </c>
      <c r="N16" s="7">
        <f>SUM(K2:K13)</f>
        <v>1288</v>
      </c>
    </row>
    <row r="17" spans="1:11" x14ac:dyDescent="0.2">
      <c r="A17" s="1" t="s">
        <v>9</v>
      </c>
      <c r="B17" s="6">
        <v>0.2</v>
      </c>
      <c r="C17" s="7">
        <f>SUMPRODUCT(G2:G13,D2:D13,K2:K13)</f>
        <v>83891.199999999997</v>
      </c>
      <c r="D17" s="7">
        <f>SUMPRODUCT(G2:G13,D2:D13,N2:N13)</f>
        <v>0</v>
      </c>
      <c r="E17" s="9">
        <f>B17*D17</f>
        <v>0</v>
      </c>
      <c r="G17" s="4" t="s">
        <v>22</v>
      </c>
      <c r="H17" s="9">
        <f>SUM(E16:E19)</f>
        <v>0</v>
      </c>
      <c r="I17" s="4" t="s">
        <v>1</v>
      </c>
      <c r="J17" s="7">
        <f>SUM(N6:N9)</f>
        <v>0</v>
      </c>
      <c r="K17" s="7">
        <f>SUM(K6:K9)</f>
        <v>420</v>
      </c>
    </row>
    <row r="18" spans="1:11" x14ac:dyDescent="0.2">
      <c r="A18" s="1" t="s">
        <v>10</v>
      </c>
      <c r="B18" s="6">
        <v>0.05</v>
      </c>
      <c r="C18" s="7">
        <f>SUMPRODUCT(G2:G13,D2:D13,K2:K13)</f>
        <v>83891.199999999997</v>
      </c>
      <c r="D18" s="7">
        <f>SUMPRODUCT(G2:G13,D2:D13,N2:N13)</f>
        <v>0</v>
      </c>
      <c r="E18" s="9">
        <f>B18*D18</f>
        <v>0</v>
      </c>
      <c r="G18" s="4" t="s">
        <v>23</v>
      </c>
      <c r="H18" s="14">
        <f>H16-H17</f>
        <v>0</v>
      </c>
      <c r="I18" s="4" t="s">
        <v>2</v>
      </c>
      <c r="J18" s="7">
        <f>SUM(N10:N13)</f>
        <v>0</v>
      </c>
      <c r="K18" s="7">
        <f>SUM(K10:K13)</f>
        <v>343</v>
      </c>
    </row>
    <row r="19" spans="1:11" x14ac:dyDescent="0.2">
      <c r="A19" s="1" t="s">
        <v>11</v>
      </c>
      <c r="B19" s="6">
        <v>0.1</v>
      </c>
      <c r="C19" s="7">
        <f>SUMPRODUCT(G2:G13,D2:D13,K2:K13)</f>
        <v>83891.199999999997</v>
      </c>
      <c r="D19" s="7">
        <f>SUMPRODUCT(G2:G13,D2:D13,N2:N13)</f>
        <v>0</v>
      </c>
      <c r="E19" s="9">
        <f>B19*D19</f>
        <v>0</v>
      </c>
    </row>
    <row r="20" spans="1:11" x14ac:dyDescent="0.2">
      <c r="G20" s="4" t="s">
        <v>28</v>
      </c>
      <c r="H20" s="7">
        <f>SUM(K2:K13)-SUM(N2:N13)</f>
        <v>1288</v>
      </c>
      <c r="J20" s="2" t="s">
        <v>40</v>
      </c>
      <c r="K20" s="2" t="s">
        <v>44</v>
      </c>
    </row>
    <row r="21" spans="1:11" x14ac:dyDescent="0.2">
      <c r="A21" s="1" t="s">
        <v>31</v>
      </c>
      <c r="B21" s="5">
        <v>5</v>
      </c>
      <c r="D21" s="4" t="s">
        <v>37</v>
      </c>
      <c r="E21" s="5">
        <v>180</v>
      </c>
      <c r="J21" s="2" t="s">
        <v>43</v>
      </c>
      <c r="K21" s="2" t="s">
        <v>45</v>
      </c>
    </row>
    <row r="22" spans="1:11" x14ac:dyDescent="0.2">
      <c r="A22" s="1" t="s">
        <v>32</v>
      </c>
      <c r="B22" s="5">
        <v>2</v>
      </c>
      <c r="D22" s="4" t="s">
        <v>36</v>
      </c>
      <c r="E22" s="5">
        <v>2</v>
      </c>
      <c r="I22" s="4" t="s">
        <v>53</v>
      </c>
      <c r="J22" s="7">
        <f>N2+N3+N6+N7+N10+N11</f>
        <v>0</v>
      </c>
      <c r="K22" s="12">
        <f>SUM(K2:K13)</f>
        <v>1288</v>
      </c>
    </row>
    <row r="23" spans="1:11" x14ac:dyDescent="0.2">
      <c r="A23" s="1" t="s">
        <v>33</v>
      </c>
      <c r="B23" s="5">
        <v>8</v>
      </c>
      <c r="I23" s="4" t="s">
        <v>48</v>
      </c>
      <c r="J23" s="7">
        <f>N4+N5+N8+N9+N12+N13</f>
        <v>0</v>
      </c>
      <c r="K23" s="12">
        <f>SUM(K2:K13)</f>
        <v>1288</v>
      </c>
    </row>
    <row r="24" spans="1:11" x14ac:dyDescent="0.2">
      <c r="A24" s="1" t="s">
        <v>35</v>
      </c>
      <c r="B24" s="5">
        <v>60</v>
      </c>
      <c r="D24" s="4" t="s">
        <v>38</v>
      </c>
      <c r="E24" s="7">
        <v>12</v>
      </c>
    </row>
    <row r="25" spans="1:11" x14ac:dyDescent="0.2">
      <c r="A25" s="1" t="s">
        <v>34</v>
      </c>
      <c r="B25" s="13">
        <v>0.6</v>
      </c>
      <c r="D25" s="4" t="s">
        <v>39</v>
      </c>
      <c r="E25" s="7">
        <f>SUM(L2:L13)</f>
        <v>0</v>
      </c>
    </row>
    <row r="26" spans="1:11" x14ac:dyDescent="0.2">
      <c r="A26" s="1" t="s">
        <v>24</v>
      </c>
      <c r="B26" s="7">
        <f>B21*B22*B23*B24*B25</f>
        <v>2880</v>
      </c>
      <c r="D26" s="4" t="s">
        <v>25</v>
      </c>
      <c r="E26" s="7">
        <f>E25*E21+E22*SUM(N2:N13)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BaseCase</vt:lpstr>
      <vt:lpstr>DemandAggregation</vt:lpstr>
      <vt:lpstr>Foil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Willems, Sean Peter</dc:creator>
  <cp:lastModifiedBy>Microsoft Office User</cp:lastModifiedBy>
  <dcterms:created xsi:type="dcterms:W3CDTF">2022-05-04T02:04:04Z</dcterms:created>
  <dcterms:modified xsi:type="dcterms:W3CDTF">2022-05-04T12:29:44Z</dcterms:modified>
</cp:coreProperties>
</file>