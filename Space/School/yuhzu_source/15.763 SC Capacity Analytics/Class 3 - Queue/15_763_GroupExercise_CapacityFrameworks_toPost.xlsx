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e75999e4bb43dd/MIT SDM Course/Spring 2022/15.763 SC Capacity Analytics/Classs 3 - Queue/"/>
    </mc:Choice>
  </mc:AlternateContent>
  <xr:revisionPtr revIDLastSave="23" documentId="13_ncr:1_{555A9526-799C-8446-A34D-D55AF08700E8}" xr6:coauthVersionLast="47" xr6:coauthVersionMax="47" xr10:uidLastSave="{3FF0F0D6-422D-4621-8FCC-908F40574E85}"/>
  <bookViews>
    <workbookView xWindow="-108" yWindow="-108" windowWidth="23256" windowHeight="12456" xr2:uid="{42244A8C-58A7-5E4F-AC66-6518B3047951}"/>
  </bookViews>
  <sheets>
    <sheet name="Informati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" i="2" l="1"/>
  <c r="E21" i="2" s="1"/>
  <c r="J27" i="2"/>
  <c r="J26" i="2"/>
  <c r="I30" i="2"/>
  <c r="I28" i="2"/>
  <c r="I27" i="2"/>
  <c r="I26" i="2"/>
  <c r="H22" i="2"/>
  <c r="I22" i="2"/>
  <c r="H21" i="2"/>
  <c r="I21" i="2"/>
  <c r="H20" i="2"/>
  <c r="I9" i="2"/>
  <c r="I10" i="2"/>
  <c r="I11" i="2" s="1"/>
  <c r="I12" i="2" s="1"/>
  <c r="I13" i="2" s="1"/>
  <c r="I14" i="2" s="1"/>
  <c r="I15" i="2" s="1"/>
  <c r="I16" i="2" s="1"/>
  <c r="I17" i="2" s="1"/>
  <c r="I18" i="2" s="1"/>
  <c r="I8" i="2"/>
  <c r="I7" i="2"/>
  <c r="H18" i="2"/>
  <c r="H17" i="2"/>
  <c r="H16" i="2"/>
  <c r="H15" i="2"/>
  <c r="H14" i="2"/>
  <c r="H13" i="2"/>
  <c r="H12" i="2"/>
  <c r="H11" i="2"/>
  <c r="H10" i="2"/>
  <c r="H9" i="2"/>
  <c r="H8" i="2"/>
  <c r="H7" i="2"/>
  <c r="D25" i="2"/>
  <c r="D24" i="2"/>
  <c r="E18" i="2"/>
  <c r="E17" i="2"/>
  <c r="D20" i="2"/>
  <c r="J30" i="2" l="1"/>
</calcChain>
</file>

<file path=xl/sharedStrings.xml><?xml version="1.0" encoding="utf-8"?>
<sst xmlns="http://schemas.openxmlformats.org/spreadsheetml/2006/main" count="22" uniqueCount="21">
  <si>
    <t>Machine cost</t>
  </si>
  <si>
    <t>$/machine</t>
  </si>
  <si>
    <t>Sales price</t>
  </si>
  <si>
    <t>$/unit</t>
  </si>
  <si>
    <t>Machine capacity available</t>
  </si>
  <si>
    <t>units/machine/month</t>
  </si>
  <si>
    <t>Variable cost</t>
  </si>
  <si>
    <t>Holding cost rate</t>
  </si>
  <si>
    <t>/year</t>
  </si>
  <si>
    <t>Month</t>
  </si>
  <si>
    <t>Demand</t>
  </si>
  <si>
    <t>machine</t>
  </si>
  <si>
    <t>prod</t>
  </si>
  <si>
    <t>Closing</t>
  </si>
  <si>
    <t>invest</t>
  </si>
  <si>
    <t>Holding</t>
  </si>
  <si>
    <t>Sales</t>
  </si>
  <si>
    <t>Expe</t>
  </si>
  <si>
    <t>inv</t>
  </si>
  <si>
    <t>profit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</si>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</sst>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right"/>
    </xf>
    <xf numFmtId="165" fontId="0" fillId="0" borderId="1" xfId="1" applyNumberFormat="1" applyFont="1" applyBorder="1"/>
    <xf numFmtId="0" fontId="0" fillId="0" borderId="1" xfId="0" applyBorder="1"/>
    <xf numFmtId="9" fontId="0" fillId="0" borderId="1" xfId="0" applyNumberFormat="1" applyBorder="1"/>
    <xf numFmtId="0" fontId="2" fillId="0" borderId="0" xfId="0" applyFont="1"/>
    <xf numFmtId="165" fontId="0" fillId="0" borderId="0" xfId="0" applyNumberFormat="1"/>
    <xf numFmtId="0" fontId="0" fillId="0" borderId="0" xfId="0" applyFill="1" applyBorder="1" applyAlignment="1">
      <alignment horizontal="right"/>
    </xf>
    <xf numFmtId="0" fontId="2" fillId="2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57816-71E8-974A-B0A9-362B4BD23EA2}">
  <dimension ref="B2:M30"/>
  <sheetViews>
    <sheetView showGridLines="0" tabSelected="1" zoomScale="55" zoomScaleNormal="55" workbookViewId="0">
      <selection activeCell="D21" sqref="D21"/>
    </sheetView>
  </sheetViews>
  <sheetFormatPr defaultColWidth="11.19921875" defaultRowHeight="15.6" x14ac:dyDescent="0.3"/>
  <cols>
    <col min="1" max="2" width="8.69921875" customWidth="1"/>
    <col min="3" max="4" width="10.19921875" customWidth="1"/>
    <col min="5" max="5" width="15.5" customWidth="1"/>
    <col min="6" max="9" width="10.19921875" customWidth="1"/>
    <col min="10" max="10" width="10.8984375" customWidth="1"/>
    <col min="11" max="11" width="8.69921875" customWidth="1"/>
    <col min="12" max="12" width="12.69921875" bestFit="1" customWidth="1"/>
    <col min="13" max="13" width="10.19921875" customWidth="1"/>
    <col min="14" max="26" width="8.69921875" customWidth="1"/>
  </cols>
  <sheetData>
    <row r="2" spans="2:13" x14ac:dyDescent="0.3">
      <c r="C2" s="3" t="s">
        <v>0</v>
      </c>
      <c r="D2" s="4">
        <v>25000</v>
      </c>
      <c r="E2" t="s">
        <v>1</v>
      </c>
      <c r="H2" s="3" t="s">
        <v>2</v>
      </c>
      <c r="I2" s="5">
        <v>3</v>
      </c>
      <c r="J2" t="s">
        <v>3</v>
      </c>
    </row>
    <row r="3" spans="2:13" x14ac:dyDescent="0.3">
      <c r="C3" s="3" t="s">
        <v>4</v>
      </c>
      <c r="D3" s="4">
        <v>5000</v>
      </c>
      <c r="E3" t="s">
        <v>5</v>
      </c>
      <c r="H3" s="3" t="s">
        <v>6</v>
      </c>
      <c r="I3" s="5">
        <v>1</v>
      </c>
      <c r="J3" t="s">
        <v>3</v>
      </c>
    </row>
    <row r="4" spans="2:13" x14ac:dyDescent="0.3">
      <c r="H4" s="3" t="s">
        <v>7</v>
      </c>
      <c r="I4" s="6">
        <v>0.1</v>
      </c>
      <c r="J4" t="s">
        <v>8</v>
      </c>
    </row>
    <row r="5" spans="2:13" x14ac:dyDescent="0.3">
      <c r="B5" s="7"/>
    </row>
    <row r="6" spans="2:13" x14ac:dyDescent="0.3">
      <c r="C6" s="1" t="s">
        <v>9</v>
      </c>
      <c r="D6" s="1" t="s">
        <v>10</v>
      </c>
      <c r="G6" t="s">
        <v>11</v>
      </c>
      <c r="H6" s="9" t="s">
        <v>12</v>
      </c>
      <c r="I6" t="s">
        <v>13</v>
      </c>
    </row>
    <row r="7" spans="2:13" x14ac:dyDescent="0.3">
      <c r="C7" s="2">
        <v>1</v>
      </c>
      <c r="D7" s="4">
        <v>10000</v>
      </c>
      <c r="E7">
        <v>2</v>
      </c>
      <c r="G7">
        <v>5</v>
      </c>
      <c r="H7" s="8">
        <f>G7*$D$3</f>
        <v>25000</v>
      </c>
      <c r="I7" s="8">
        <f>+H7-D7</f>
        <v>15000</v>
      </c>
      <c r="M7" s="10" t="s">
        <v>20</v>
      </c>
    </row>
    <row r="8" spans="2:13" x14ac:dyDescent="0.3">
      <c r="C8" s="2">
        <v>2</v>
      </c>
      <c r="D8" s="4">
        <v>10000</v>
      </c>
      <c r="E8">
        <v>2</v>
      </c>
      <c r="G8">
        <v>5</v>
      </c>
      <c r="H8" s="8">
        <f t="shared" ref="H8:H18" si="0">G8*$D$3</f>
        <v>25000</v>
      </c>
      <c r="I8" s="8">
        <f>+I7+H8-D8</f>
        <v>30000</v>
      </c>
    </row>
    <row r="9" spans="2:13" x14ac:dyDescent="0.3">
      <c r="C9" s="2">
        <v>3</v>
      </c>
      <c r="D9" s="4">
        <v>10000</v>
      </c>
      <c r="E9">
        <v>2</v>
      </c>
      <c r="G9">
        <v>5</v>
      </c>
      <c r="H9" s="8">
        <f t="shared" si="0"/>
        <v>25000</v>
      </c>
      <c r="I9" s="8">
        <f t="shared" ref="I9:I18" si="1">+I8+H9-D9</f>
        <v>45000</v>
      </c>
    </row>
    <row r="10" spans="2:13" x14ac:dyDescent="0.3">
      <c r="C10" s="2">
        <v>4</v>
      </c>
      <c r="D10" s="4">
        <v>10000</v>
      </c>
      <c r="E10">
        <v>2</v>
      </c>
      <c r="G10">
        <v>5</v>
      </c>
      <c r="H10" s="8">
        <f t="shared" si="0"/>
        <v>25000</v>
      </c>
      <c r="I10" s="8">
        <f t="shared" si="1"/>
        <v>60000</v>
      </c>
    </row>
    <row r="11" spans="2:13" x14ac:dyDescent="0.3">
      <c r="C11" s="2">
        <v>5</v>
      </c>
      <c r="D11" s="4">
        <v>10000</v>
      </c>
      <c r="E11">
        <v>2</v>
      </c>
      <c r="G11">
        <v>5</v>
      </c>
      <c r="H11" s="8">
        <f t="shared" si="0"/>
        <v>25000</v>
      </c>
      <c r="I11" s="8">
        <f t="shared" si="1"/>
        <v>75000</v>
      </c>
    </row>
    <row r="12" spans="2:13" x14ac:dyDescent="0.3">
      <c r="C12" s="2">
        <v>6</v>
      </c>
      <c r="D12" s="4">
        <v>10000</v>
      </c>
      <c r="E12">
        <v>2</v>
      </c>
      <c r="G12">
        <v>5</v>
      </c>
      <c r="H12" s="8">
        <f t="shared" si="0"/>
        <v>25000</v>
      </c>
      <c r="I12" s="8">
        <f t="shared" si="1"/>
        <v>90000</v>
      </c>
    </row>
    <row r="13" spans="2:13" x14ac:dyDescent="0.3">
      <c r="C13" s="2">
        <v>7</v>
      </c>
      <c r="D13" s="4">
        <v>10000</v>
      </c>
      <c r="E13">
        <v>2</v>
      </c>
      <c r="G13">
        <v>5</v>
      </c>
      <c r="H13" s="8">
        <f t="shared" si="0"/>
        <v>25000</v>
      </c>
      <c r="I13" s="8">
        <f t="shared" si="1"/>
        <v>105000</v>
      </c>
    </row>
    <row r="14" spans="2:13" x14ac:dyDescent="0.3">
      <c r="C14" s="2">
        <v>8</v>
      </c>
      <c r="D14" s="4">
        <v>10000</v>
      </c>
      <c r="E14">
        <v>2</v>
      </c>
      <c r="G14">
        <v>5</v>
      </c>
      <c r="H14" s="8">
        <f t="shared" si="0"/>
        <v>25000</v>
      </c>
      <c r="I14" s="8">
        <f t="shared" si="1"/>
        <v>120000</v>
      </c>
    </row>
    <row r="15" spans="2:13" x14ac:dyDescent="0.3">
      <c r="C15" s="2">
        <v>9</v>
      </c>
      <c r="D15" s="4">
        <v>10000</v>
      </c>
      <c r="E15">
        <v>2</v>
      </c>
      <c r="G15">
        <v>5</v>
      </c>
      <c r="H15" s="8">
        <f t="shared" si="0"/>
        <v>25000</v>
      </c>
      <c r="I15" s="8">
        <f t="shared" si="1"/>
        <v>135000</v>
      </c>
    </row>
    <row r="16" spans="2:13" x14ac:dyDescent="0.3">
      <c r="C16" s="2">
        <v>10</v>
      </c>
      <c r="D16" s="4">
        <v>10000</v>
      </c>
      <c r="E16">
        <v>2</v>
      </c>
      <c r="G16">
        <v>5</v>
      </c>
      <c r="H16" s="8">
        <f t="shared" si="0"/>
        <v>25000</v>
      </c>
      <c r="I16" s="8">
        <f t="shared" si="1"/>
        <v>150000</v>
      </c>
    </row>
    <row r="17" spans="2:10" x14ac:dyDescent="0.3">
      <c r="C17" s="2">
        <v>11</v>
      </c>
      <c r="D17" s="4">
        <v>100000</v>
      </c>
      <c r="E17" s="8">
        <f>D17/5000</f>
        <v>20</v>
      </c>
      <c r="G17">
        <v>5</v>
      </c>
      <c r="H17" s="8">
        <f t="shared" si="0"/>
        <v>25000</v>
      </c>
      <c r="I17" s="8">
        <f t="shared" si="1"/>
        <v>75000</v>
      </c>
    </row>
    <row r="18" spans="2:10" x14ac:dyDescent="0.3">
      <c r="C18" s="2">
        <v>12</v>
      </c>
      <c r="D18" s="4">
        <v>100000</v>
      </c>
      <c r="E18" s="8">
        <f>D18/5000</f>
        <v>20</v>
      </c>
      <c r="G18">
        <v>5</v>
      </c>
      <c r="H18" s="8">
        <f t="shared" si="0"/>
        <v>25000</v>
      </c>
      <c r="I18" s="8">
        <f t="shared" si="1"/>
        <v>0</v>
      </c>
    </row>
    <row r="19" spans="2:10" x14ac:dyDescent="0.3">
      <c r="B19" s="7"/>
    </row>
    <row r="20" spans="2:10" x14ac:dyDescent="0.3">
      <c r="D20" s="8">
        <f>SUM(D7:D18)</f>
        <v>300000</v>
      </c>
      <c r="G20" t="s">
        <v>14</v>
      </c>
      <c r="H20" s="8">
        <f>5*25000</f>
        <v>125000</v>
      </c>
    </row>
    <row r="21" spans="2:10" x14ac:dyDescent="0.3">
      <c r="D21" s="8">
        <f>D20/5000</f>
        <v>60</v>
      </c>
      <c r="E21" s="8">
        <f>D21*25000</f>
        <v>1500000</v>
      </c>
      <c r="G21" t="s">
        <v>15</v>
      </c>
      <c r="H21" s="8">
        <f>MAX(I7:I18)</f>
        <v>150000</v>
      </c>
      <c r="I21" s="8">
        <f>AVERAGE(I7:I18)</f>
        <v>75000</v>
      </c>
    </row>
    <row r="22" spans="2:10" x14ac:dyDescent="0.3">
      <c r="H22" s="8">
        <f>H21*I2*I4</f>
        <v>45000</v>
      </c>
      <c r="I22" s="8">
        <f>I21*I2*I4</f>
        <v>22500</v>
      </c>
    </row>
    <row r="24" spans="2:10" x14ac:dyDescent="0.3">
      <c r="D24" s="8">
        <f>D20/12</f>
        <v>25000</v>
      </c>
    </row>
    <row r="25" spans="2:10" x14ac:dyDescent="0.3">
      <c r="D25" s="8">
        <f>D24/5000</f>
        <v>5</v>
      </c>
    </row>
    <row r="26" spans="2:10" x14ac:dyDescent="0.3">
      <c r="H26" t="s">
        <v>16</v>
      </c>
      <c r="I26" s="8">
        <f>D20*I2</f>
        <v>900000</v>
      </c>
      <c r="J26" s="8">
        <f>I26</f>
        <v>900000</v>
      </c>
    </row>
    <row r="27" spans="2:10" x14ac:dyDescent="0.3">
      <c r="H27" t="s">
        <v>17</v>
      </c>
      <c r="I27" s="8">
        <f>I3*D20</f>
        <v>300000</v>
      </c>
      <c r="J27" s="8">
        <f>D21*D2</f>
        <v>1500000</v>
      </c>
    </row>
    <row r="28" spans="2:10" x14ac:dyDescent="0.3">
      <c r="H28" t="s">
        <v>18</v>
      </c>
      <c r="I28" s="8">
        <f>G18*D2</f>
        <v>125000</v>
      </c>
      <c r="J28" s="8">
        <v>0</v>
      </c>
    </row>
    <row r="30" spans="2:10" x14ac:dyDescent="0.3">
      <c r="H30" t="s">
        <v>19</v>
      </c>
      <c r="I30" s="8">
        <f>I26-I27-I28</f>
        <v>475000</v>
      </c>
      <c r="J30" s="8">
        <f>J26-J27-J28</f>
        <v>-600000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Willems, Sean Peter</dc:creator>
  <cp:lastModifiedBy>Anup Sreekumar</cp:lastModifiedBy>
  <dcterms:created xsi:type="dcterms:W3CDTF">2021-03-31T05:37:11Z</dcterms:created>
  <dcterms:modified xsi:type="dcterms:W3CDTF">2022-04-04T14:00:52Z</dcterms:modified>
</cp:coreProperties>
</file>