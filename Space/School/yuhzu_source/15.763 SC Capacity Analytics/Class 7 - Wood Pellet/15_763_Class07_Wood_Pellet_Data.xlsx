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mp/Dropbox (MIT)/_Teaching/Courses/15.763/Spring 2022/Class 07 - Wood Pellet/_____PreClass/"/>
    </mc:Choice>
  </mc:AlternateContent>
  <xr:revisionPtr revIDLastSave="0" documentId="13_ncr:1_{23517162-D1B6-9343-B47D-178AE6144094}" xr6:coauthVersionLast="47" xr6:coauthVersionMax="47" xr10:uidLastSave="{00000000-0000-0000-0000-000000000000}"/>
  <bookViews>
    <workbookView xWindow="240" yWindow="500" windowWidth="21960" windowHeight="29860" tabRatio="781" xr2:uid="{00000000-000D-0000-FFFF-FFFF00000000}"/>
  </bookViews>
  <sheets>
    <sheet name="SourceChar" sheetId="9" r:id="rId1"/>
    <sheet name="SourceCosts" sheetId="3" r:id="rId2"/>
    <sheet name="SourceVolume" sheetId="2" r:id="rId3"/>
    <sheet name="StorChar" sheetId="4" r:id="rId4"/>
    <sheet name="RegionalDemand" sheetId="5" r:id="rId5"/>
    <sheet name="RegionalPricing" sheetId="6" r:id="rId6"/>
    <sheet name="TransportCosts-Direct" sheetId="10" r:id="rId7"/>
    <sheet name="TransportCosts-Depot to depot" sheetId="13" r:id="rId8"/>
    <sheet name="InventoryOnHand" sheetId="14" r:id="rId9"/>
    <sheet name="TotalInvty" sheetId="1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55" i="13" l="1"/>
  <c r="V55" i="13"/>
  <c r="U55" i="13"/>
  <c r="T55" i="13"/>
  <c r="S55" i="13"/>
  <c r="R55" i="13"/>
  <c r="W51" i="13"/>
  <c r="V51" i="13"/>
  <c r="U51" i="13"/>
  <c r="T51" i="13"/>
  <c r="S51" i="13"/>
  <c r="R51" i="13"/>
  <c r="W48" i="13"/>
  <c r="V48" i="13"/>
  <c r="U48" i="13"/>
  <c r="T48" i="13"/>
  <c r="S48" i="13"/>
  <c r="R48" i="13"/>
  <c r="W45" i="13"/>
  <c r="V45" i="13"/>
  <c r="U45" i="13"/>
  <c r="T45" i="13"/>
  <c r="S45" i="13"/>
  <c r="R45" i="13"/>
  <c r="W40" i="13"/>
  <c r="V40" i="13"/>
  <c r="U40" i="13"/>
  <c r="T40" i="13"/>
  <c r="S40" i="13"/>
  <c r="R40" i="13"/>
  <c r="W36" i="13"/>
  <c r="T36" i="13"/>
  <c r="S36" i="13"/>
  <c r="R36" i="13"/>
  <c r="I36" i="13"/>
  <c r="U36" i="13" s="1"/>
  <c r="W31" i="13"/>
  <c r="V31" i="13"/>
  <c r="U31" i="13"/>
  <c r="T31" i="13"/>
  <c r="S31" i="13"/>
  <c r="R31" i="13"/>
  <c r="W50" i="13"/>
  <c r="V50" i="13"/>
  <c r="U50" i="13"/>
  <c r="T50" i="13"/>
  <c r="S50" i="13"/>
  <c r="R50" i="13"/>
  <c r="W44" i="13"/>
  <c r="V44" i="13"/>
  <c r="U44" i="13"/>
  <c r="T44" i="13"/>
  <c r="S44" i="13"/>
  <c r="R44" i="13"/>
  <c r="W39" i="13"/>
  <c r="V39" i="13"/>
  <c r="U39" i="13"/>
  <c r="T39" i="13"/>
  <c r="S39" i="13"/>
  <c r="R39" i="13"/>
  <c r="W54" i="13"/>
  <c r="V54" i="13"/>
  <c r="U54" i="13"/>
  <c r="T54" i="13"/>
  <c r="S54" i="13"/>
  <c r="R54" i="13"/>
  <c r="W47" i="13"/>
  <c r="V47" i="13"/>
  <c r="U47" i="13"/>
  <c r="T47" i="13"/>
  <c r="S47" i="13"/>
  <c r="R47" i="13"/>
  <c r="W38" i="13"/>
  <c r="V38" i="13"/>
  <c r="U38" i="13"/>
  <c r="T38" i="13"/>
  <c r="S38" i="13"/>
  <c r="R38" i="13"/>
  <c r="S23" i="13"/>
  <c r="T23" i="13"/>
  <c r="U23" i="13"/>
  <c r="V23" i="13"/>
  <c r="W23" i="13"/>
  <c r="S9" i="13"/>
  <c r="T9" i="13"/>
  <c r="W9" i="13"/>
  <c r="S28" i="13"/>
  <c r="T28" i="13"/>
  <c r="U28" i="13"/>
  <c r="V28" i="13"/>
  <c r="W28" i="13"/>
  <c r="S13" i="13"/>
  <c r="T13" i="13"/>
  <c r="U13" i="13"/>
  <c r="V13" i="13"/>
  <c r="W13" i="13"/>
  <c r="S24" i="13"/>
  <c r="T24" i="13"/>
  <c r="U24" i="13"/>
  <c r="V24" i="13"/>
  <c r="W24" i="13"/>
  <c r="S4" i="13"/>
  <c r="T4" i="13"/>
  <c r="U4" i="13"/>
  <c r="V4" i="13"/>
  <c r="W4" i="13"/>
  <c r="S18" i="13"/>
  <c r="T18" i="13"/>
  <c r="U18" i="13"/>
  <c r="V18" i="13"/>
  <c r="W18" i="13"/>
  <c r="S21" i="13"/>
  <c r="T21" i="13"/>
  <c r="U21" i="13"/>
  <c r="V21" i="13"/>
  <c r="W21" i="13"/>
  <c r="S27" i="13"/>
  <c r="T27" i="13"/>
  <c r="U27" i="13"/>
  <c r="V27" i="13"/>
  <c r="W27" i="13"/>
  <c r="S20" i="13"/>
  <c r="T20" i="13"/>
  <c r="U20" i="13"/>
  <c r="V20" i="13"/>
  <c r="W20" i="13"/>
  <c r="S11" i="13"/>
  <c r="T11" i="13"/>
  <c r="U11" i="13"/>
  <c r="V11" i="13"/>
  <c r="W11" i="13"/>
  <c r="S12" i="13"/>
  <c r="T12" i="13"/>
  <c r="U12" i="13"/>
  <c r="V12" i="13"/>
  <c r="W12" i="13"/>
  <c r="S17" i="13"/>
  <c r="T17" i="13"/>
  <c r="U17" i="13"/>
  <c r="V17" i="13"/>
  <c r="W17" i="13"/>
  <c r="R9" i="13"/>
  <c r="R28" i="13"/>
  <c r="R13" i="13"/>
  <c r="R24" i="13"/>
  <c r="R4" i="13"/>
  <c r="R18" i="13"/>
  <c r="R21" i="13"/>
  <c r="R27" i="13"/>
  <c r="R20" i="13"/>
  <c r="R11" i="13"/>
  <c r="R12" i="13"/>
  <c r="R17" i="13"/>
  <c r="R23" i="13"/>
  <c r="I9" i="13"/>
  <c r="U9" i="13" s="1"/>
  <c r="H49" i="10"/>
  <c r="I49" i="10"/>
  <c r="J49" i="10"/>
  <c r="K49" i="10"/>
  <c r="O49" i="10"/>
  <c r="P49" i="10"/>
  <c r="Q49" i="10"/>
  <c r="W44" i="10"/>
  <c r="V44" i="10"/>
  <c r="U44" i="10"/>
  <c r="T44" i="10"/>
  <c r="R44" i="10"/>
  <c r="M44" i="10"/>
  <c r="N44" i="10" s="1"/>
  <c r="G44" i="10"/>
  <c r="S44" i="10" s="1"/>
  <c r="W52" i="10"/>
  <c r="V52" i="10"/>
  <c r="U52" i="10"/>
  <c r="T52" i="10"/>
  <c r="W51" i="10"/>
  <c r="V51" i="10"/>
  <c r="U51" i="10"/>
  <c r="T51" i="10"/>
  <c r="W50" i="10"/>
  <c r="V50" i="10"/>
  <c r="U50" i="10"/>
  <c r="T50" i="10"/>
  <c r="W48" i="10"/>
  <c r="W49" i="10" s="1"/>
  <c r="V48" i="10"/>
  <c r="V49" i="10" s="1"/>
  <c r="U48" i="10"/>
  <c r="U49" i="10" s="1"/>
  <c r="T48" i="10"/>
  <c r="T49" i="10" s="1"/>
  <c r="W47" i="10"/>
  <c r="V47" i="10"/>
  <c r="U47" i="10"/>
  <c r="T47" i="10"/>
  <c r="W46" i="10"/>
  <c r="V46" i="10"/>
  <c r="U46" i="10"/>
  <c r="T46" i="10"/>
  <c r="W45" i="10"/>
  <c r="V45" i="10"/>
  <c r="U45" i="10"/>
  <c r="T45" i="10"/>
  <c r="L45" i="10"/>
  <c r="F45" i="10"/>
  <c r="W43" i="10"/>
  <c r="V43" i="10"/>
  <c r="U43" i="10"/>
  <c r="T43" i="10"/>
  <c r="S43" i="10"/>
  <c r="R43" i="10"/>
  <c r="W42" i="10"/>
  <c r="V42" i="10"/>
  <c r="U42" i="10"/>
  <c r="T42" i="10"/>
  <c r="S42" i="10"/>
  <c r="R42" i="10"/>
  <c r="W41" i="10"/>
  <c r="V41" i="10"/>
  <c r="U41" i="10"/>
  <c r="T41" i="10"/>
  <c r="S41" i="10"/>
  <c r="R41" i="10"/>
  <c r="W40" i="10"/>
  <c r="V40" i="10"/>
  <c r="U40" i="10"/>
  <c r="T40" i="10"/>
  <c r="S40" i="10"/>
  <c r="R40" i="10"/>
  <c r="W39" i="10"/>
  <c r="V39" i="10"/>
  <c r="U39" i="10"/>
  <c r="T39" i="10"/>
  <c r="S39" i="10"/>
  <c r="R39" i="10"/>
  <c r="W38" i="10"/>
  <c r="V38" i="10"/>
  <c r="U38" i="10"/>
  <c r="T38" i="10"/>
  <c r="S38" i="10"/>
  <c r="R38" i="10"/>
  <c r="W37" i="10"/>
  <c r="V37" i="10"/>
  <c r="U37" i="10"/>
  <c r="T37" i="10"/>
  <c r="S37" i="10"/>
  <c r="R37" i="10"/>
  <c r="W36" i="10"/>
  <c r="V36" i="10"/>
  <c r="U36" i="10"/>
  <c r="T36" i="10"/>
  <c r="S36" i="10"/>
  <c r="R36" i="10"/>
  <c r="W35" i="10"/>
  <c r="V35" i="10"/>
  <c r="U35" i="10"/>
  <c r="T35" i="10"/>
  <c r="S35" i="10"/>
  <c r="R35" i="10"/>
  <c r="W34" i="10"/>
  <c r="V34" i="10"/>
  <c r="U34" i="10"/>
  <c r="T34" i="10"/>
  <c r="S34" i="10"/>
  <c r="R34" i="10"/>
  <c r="W33" i="10"/>
  <c r="V33" i="10"/>
  <c r="U33" i="10"/>
  <c r="T33" i="10"/>
  <c r="S33" i="10"/>
  <c r="R33" i="10"/>
  <c r="W32" i="10"/>
  <c r="V32" i="10"/>
  <c r="U32" i="10"/>
  <c r="T32" i="10"/>
  <c r="S32" i="10"/>
  <c r="R32" i="10"/>
  <c r="W31" i="10"/>
  <c r="V31" i="10"/>
  <c r="U31" i="10"/>
  <c r="T31" i="10"/>
  <c r="S31" i="10"/>
  <c r="R31" i="10"/>
  <c r="W30" i="10"/>
  <c r="V30" i="10"/>
  <c r="U30" i="10"/>
  <c r="T30" i="10"/>
  <c r="S30" i="10"/>
  <c r="R30" i="10"/>
  <c r="W29" i="10"/>
  <c r="V29" i="10"/>
  <c r="U29" i="10"/>
  <c r="T29" i="10"/>
  <c r="S29" i="10"/>
  <c r="R29" i="10"/>
  <c r="W28" i="10"/>
  <c r="V28" i="10"/>
  <c r="U28" i="10"/>
  <c r="T28" i="10"/>
  <c r="S28" i="10"/>
  <c r="R28" i="10"/>
  <c r="W27" i="10"/>
  <c r="V27" i="10"/>
  <c r="U27" i="10"/>
  <c r="T27" i="10"/>
  <c r="S27" i="10"/>
  <c r="R27" i="10"/>
  <c r="W26" i="10"/>
  <c r="V26" i="10"/>
  <c r="U26" i="10"/>
  <c r="T26" i="10"/>
  <c r="S26" i="10"/>
  <c r="R26" i="10"/>
  <c r="W25" i="10"/>
  <c r="V25" i="10"/>
  <c r="U25" i="10"/>
  <c r="T25" i="10"/>
  <c r="S25" i="10"/>
  <c r="R25" i="10"/>
  <c r="W24" i="10"/>
  <c r="V24" i="10"/>
  <c r="U24" i="10"/>
  <c r="T24" i="10"/>
  <c r="S24" i="10"/>
  <c r="R24" i="10"/>
  <c r="W23" i="10"/>
  <c r="V23" i="10"/>
  <c r="U23" i="10"/>
  <c r="T23" i="10"/>
  <c r="S23" i="10"/>
  <c r="R23" i="10"/>
  <c r="W22" i="10"/>
  <c r="V22" i="10"/>
  <c r="U22" i="10"/>
  <c r="T22" i="10"/>
  <c r="S22" i="10"/>
  <c r="R22" i="10"/>
  <c r="W21" i="10"/>
  <c r="V21" i="10"/>
  <c r="U21" i="10"/>
  <c r="T21" i="10"/>
  <c r="S21" i="10"/>
  <c r="R21" i="10"/>
  <c r="W20" i="10"/>
  <c r="V20" i="10"/>
  <c r="U20" i="10"/>
  <c r="T20" i="10"/>
  <c r="S20" i="10"/>
  <c r="R20" i="10"/>
  <c r="W19" i="10"/>
  <c r="V19" i="10"/>
  <c r="U19" i="10"/>
  <c r="T19" i="10"/>
  <c r="S19" i="10"/>
  <c r="R19" i="10"/>
  <c r="W18" i="10"/>
  <c r="V18" i="10"/>
  <c r="U18" i="10"/>
  <c r="T18" i="10"/>
  <c r="S18" i="10"/>
  <c r="R18" i="10"/>
  <c r="W17" i="10"/>
  <c r="V17" i="10"/>
  <c r="U17" i="10"/>
  <c r="T17" i="10"/>
  <c r="S17" i="10"/>
  <c r="R17" i="10"/>
  <c r="W16" i="10"/>
  <c r="V16" i="10"/>
  <c r="U16" i="10"/>
  <c r="T16" i="10"/>
  <c r="S16" i="10"/>
  <c r="R16" i="10"/>
  <c r="W15" i="10"/>
  <c r="V15" i="10"/>
  <c r="U15" i="10"/>
  <c r="T15" i="10"/>
  <c r="S15" i="10"/>
  <c r="R15" i="10"/>
  <c r="W14" i="10"/>
  <c r="V14" i="10"/>
  <c r="U14" i="10"/>
  <c r="T14" i="10"/>
  <c r="S14" i="10"/>
  <c r="R14" i="10"/>
  <c r="W13" i="10"/>
  <c r="V13" i="10"/>
  <c r="U13" i="10"/>
  <c r="T13" i="10"/>
  <c r="S13" i="10"/>
  <c r="R13" i="10"/>
  <c r="W12" i="10"/>
  <c r="V12" i="10"/>
  <c r="U12" i="10"/>
  <c r="T12" i="10"/>
  <c r="S12" i="10"/>
  <c r="R12" i="10"/>
  <c r="W11" i="10"/>
  <c r="V11" i="10"/>
  <c r="U11" i="10"/>
  <c r="T11" i="10"/>
  <c r="S11" i="10"/>
  <c r="R11" i="10"/>
  <c r="O11" i="10"/>
  <c r="P11" i="10" s="1"/>
  <c r="Q11" i="10" s="1"/>
  <c r="W10" i="10"/>
  <c r="V10" i="10"/>
  <c r="U10" i="10"/>
  <c r="T10" i="10"/>
  <c r="S10" i="10"/>
  <c r="R10" i="10"/>
  <c r="W9" i="10"/>
  <c r="V9" i="10"/>
  <c r="U9" i="10"/>
  <c r="T9" i="10"/>
  <c r="S9" i="10"/>
  <c r="R9" i="10"/>
  <c r="W8" i="10"/>
  <c r="V8" i="10"/>
  <c r="U8" i="10"/>
  <c r="T8" i="10"/>
  <c r="S8" i="10"/>
  <c r="R8" i="10"/>
  <c r="O8" i="10"/>
  <c r="P8" i="10" s="1"/>
  <c r="Q8" i="10" s="1"/>
  <c r="W7" i="10"/>
  <c r="V7" i="10"/>
  <c r="U7" i="10"/>
  <c r="T7" i="10"/>
  <c r="S7" i="10"/>
  <c r="R7" i="10"/>
  <c r="W6" i="10"/>
  <c r="V6" i="10"/>
  <c r="U6" i="10"/>
  <c r="T6" i="10"/>
  <c r="S6" i="10"/>
  <c r="R6" i="10"/>
  <c r="W5" i="10"/>
  <c r="V5" i="10"/>
  <c r="U5" i="10"/>
  <c r="T5" i="10"/>
  <c r="S5" i="10"/>
  <c r="R5" i="10"/>
  <c r="W4" i="10"/>
  <c r="V4" i="10"/>
  <c r="U4" i="10"/>
  <c r="T4" i="10"/>
  <c r="S4" i="10"/>
  <c r="R4" i="10"/>
  <c r="W3" i="10"/>
  <c r="V3" i="10"/>
  <c r="U3" i="10"/>
  <c r="T3" i="10"/>
  <c r="S3" i="10"/>
  <c r="R3" i="10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D19" i="5"/>
  <c r="J36" i="13" l="1"/>
  <c r="V36" i="13" s="1"/>
  <c r="J9" i="13"/>
  <c r="V9" i="13" s="1"/>
  <c r="N45" i="10"/>
  <c r="N46" i="10" s="1"/>
  <c r="N47" i="10" s="1"/>
  <c r="N48" i="10" s="1"/>
  <c r="N49" i="10" s="1"/>
  <c r="F46" i="10"/>
  <c r="R45" i="10"/>
  <c r="G45" i="10"/>
  <c r="S45" i="10" s="1"/>
  <c r="L46" i="10"/>
  <c r="M45" i="10"/>
  <c r="M46" i="10" s="1"/>
  <c r="M47" i="10" s="1"/>
  <c r="M48" i="10" s="1"/>
  <c r="M49" i="10" s="1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D20" i="5"/>
  <c r="B15" i="2"/>
  <c r="C6" i="2"/>
  <c r="D6" i="2" s="1"/>
  <c r="E6" i="2" s="1"/>
  <c r="F6" i="2" s="1"/>
  <c r="G6" i="2" s="1"/>
  <c r="H6" i="2" s="1"/>
  <c r="I6" i="2" s="1"/>
  <c r="J6" i="2" s="1"/>
  <c r="K6" i="2" s="1"/>
  <c r="L6" i="2" s="1"/>
  <c r="M6" i="2" s="1"/>
  <c r="N6" i="2" s="1"/>
  <c r="P6" i="2" s="1"/>
  <c r="Q6" i="2" s="1"/>
  <c r="R6" i="2" s="1"/>
  <c r="S6" i="2" s="1"/>
  <c r="C8" i="2"/>
  <c r="D8" i="2" s="1"/>
  <c r="E8" i="2" s="1"/>
  <c r="F8" i="2" s="1"/>
  <c r="G8" i="2" s="1"/>
  <c r="H8" i="2" s="1"/>
  <c r="J8" i="2" s="1"/>
  <c r="K8" i="2" s="1"/>
  <c r="L8" i="2" s="1"/>
  <c r="M8" i="2" s="1"/>
  <c r="O8" i="2" s="1"/>
  <c r="P8" i="2" s="1"/>
  <c r="Q8" i="2" s="1"/>
  <c r="R8" i="2" s="1"/>
  <c r="S8" i="2" s="1"/>
  <c r="C11" i="2"/>
  <c r="E11" i="2" s="1"/>
  <c r="F11" i="2" s="1"/>
  <c r="G11" i="2" s="1"/>
  <c r="H11" i="2" s="1"/>
  <c r="I11" i="2" s="1"/>
  <c r="J11" i="2" s="1"/>
  <c r="K11" i="2" s="1"/>
  <c r="M11" i="2" s="1"/>
  <c r="N11" i="2" s="1"/>
  <c r="P11" i="2" s="1"/>
  <c r="Q11" i="2" s="1"/>
  <c r="R11" i="2" s="1"/>
  <c r="S11" i="2" s="1"/>
  <c r="C5" i="2"/>
  <c r="D5" i="2" s="1"/>
  <c r="E5" i="2" s="1"/>
  <c r="F5" i="2" s="1"/>
  <c r="H5" i="2" s="1"/>
  <c r="I5" i="2" s="1"/>
  <c r="J5" i="2" s="1"/>
  <c r="L5" i="2" s="1"/>
  <c r="M5" i="2" s="1"/>
  <c r="N5" i="2" s="1"/>
  <c r="P5" i="2" s="1"/>
  <c r="Q5" i="2" s="1"/>
  <c r="R5" i="2" s="1"/>
  <c r="C7" i="2"/>
  <c r="D7" i="2" s="1"/>
  <c r="E7" i="2" s="1"/>
  <c r="F7" i="2" s="1"/>
  <c r="G7" i="2" s="1"/>
  <c r="H7" i="2" s="1"/>
  <c r="I7" i="2" s="1"/>
  <c r="J7" i="2" s="1"/>
  <c r="K7" i="2" s="1"/>
  <c r="L7" i="2" s="1"/>
  <c r="M7" i="2" s="1"/>
  <c r="N7" i="2" s="1"/>
  <c r="O7" i="2" s="1"/>
  <c r="P7" i="2" s="1"/>
  <c r="Q7" i="2" s="1"/>
  <c r="R7" i="2" s="1"/>
  <c r="S7" i="2" s="1"/>
  <c r="C9" i="2"/>
  <c r="D9" i="2" s="1"/>
  <c r="E9" i="2" s="1"/>
  <c r="F9" i="2" s="1"/>
  <c r="G9" i="2" s="1"/>
  <c r="H9" i="2" s="1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C10" i="2"/>
  <c r="D10" i="2" s="1"/>
  <c r="E10" i="2" s="1"/>
  <c r="F10" i="2" s="1"/>
  <c r="G10" i="2" s="1"/>
  <c r="H10" i="2" s="1"/>
  <c r="I10" i="2" s="1"/>
  <c r="L10" i="2" s="1"/>
  <c r="M10" i="2" s="1"/>
  <c r="N10" i="2" s="1"/>
  <c r="P10" i="2" s="1"/>
  <c r="Q10" i="2" s="1"/>
  <c r="R10" i="2" s="1"/>
  <c r="S10" i="2" s="1"/>
  <c r="C12" i="2"/>
  <c r="D12" i="2" s="1"/>
  <c r="E12" i="2" s="1"/>
  <c r="F12" i="2" s="1"/>
  <c r="G12" i="2" s="1"/>
  <c r="H12" i="2" s="1"/>
  <c r="I12" i="2" s="1"/>
  <c r="L12" i="2" s="1"/>
  <c r="M12" i="2" s="1"/>
  <c r="N12" i="2" s="1"/>
  <c r="P12" i="2" s="1"/>
  <c r="Q12" i="2" s="1"/>
  <c r="R12" i="2" s="1"/>
  <c r="S12" i="2" l="1"/>
  <c r="B14" i="2"/>
  <c r="M50" i="10"/>
  <c r="M51" i="10" s="1"/>
  <c r="M52" i="10" s="1"/>
  <c r="N50" i="10"/>
  <c r="N51" i="10" s="1"/>
  <c r="N52" i="10" s="1"/>
  <c r="L47" i="10"/>
  <c r="F47" i="10"/>
  <c r="R46" i="10"/>
  <c r="G46" i="10"/>
  <c r="S46" i="10" s="1"/>
  <c r="R15" i="2"/>
  <c r="P15" i="2"/>
  <c r="N15" i="2"/>
  <c r="L15" i="2"/>
  <c r="J15" i="2"/>
  <c r="H15" i="2"/>
  <c r="F15" i="2"/>
  <c r="D15" i="2"/>
  <c r="R14" i="2"/>
  <c r="P14" i="2"/>
  <c r="N14" i="2"/>
  <c r="L14" i="2"/>
  <c r="J14" i="2"/>
  <c r="H14" i="2"/>
  <c r="F14" i="2"/>
  <c r="D14" i="2"/>
  <c r="S15" i="2"/>
  <c r="Q15" i="2"/>
  <c r="O15" i="2"/>
  <c r="M15" i="2"/>
  <c r="K15" i="2"/>
  <c r="I15" i="2"/>
  <c r="G15" i="2"/>
  <c r="E15" i="2"/>
  <c r="C15" i="2"/>
  <c r="C14" i="2" l="1"/>
  <c r="G14" i="2"/>
  <c r="K14" i="2"/>
  <c r="O14" i="2"/>
  <c r="S14" i="2"/>
  <c r="E14" i="2"/>
  <c r="I14" i="2"/>
  <c r="M14" i="2"/>
  <c r="Q14" i="2"/>
  <c r="F48" i="10"/>
  <c r="F49" i="10" s="1"/>
  <c r="R47" i="10"/>
  <c r="G47" i="10"/>
  <c r="S47" i="10" s="1"/>
  <c r="L48" i="10"/>
  <c r="L49" i="10" s="1"/>
  <c r="T17" i="2" l="1"/>
  <c r="K17" i="2"/>
  <c r="R48" i="10"/>
  <c r="R49" i="10" s="1"/>
  <c r="G48" i="10"/>
  <c r="S48" i="10" l="1"/>
  <c r="S49" i="10" s="1"/>
  <c r="G49" i="10"/>
  <c r="F50" i="10" l="1"/>
  <c r="L50" i="10"/>
  <c r="L51" i="10" l="1"/>
  <c r="F51" i="10"/>
  <c r="R50" i="10"/>
  <c r="G50" i="10"/>
  <c r="S50" i="10" s="1"/>
  <c r="F52" i="10" l="1"/>
  <c r="R51" i="10"/>
  <c r="G51" i="10"/>
  <c r="S51" i="10" s="1"/>
  <c r="L52" i="10"/>
  <c r="R52" i="10" l="1"/>
  <c r="G52" i="10"/>
  <c r="S52" i="10" s="1"/>
</calcChain>
</file>

<file path=xl/sharedStrings.xml><?xml version="1.0" encoding="utf-8"?>
<sst xmlns="http://schemas.openxmlformats.org/spreadsheetml/2006/main" count="617" uniqueCount="80">
  <si>
    <t>SourceID</t>
  </si>
  <si>
    <t>Available Volumes, each source, by month (tons)</t>
  </si>
  <si>
    <t>STFC</t>
  </si>
  <si>
    <t>CRTH</t>
  </si>
  <si>
    <t>JAFF</t>
  </si>
  <si>
    <t>SCHY</t>
  </si>
  <si>
    <t>StorID</t>
  </si>
  <si>
    <t>Cost/Mo</t>
  </si>
  <si>
    <t>RegionID</t>
  </si>
  <si>
    <t>ARGT</t>
  </si>
  <si>
    <t>HASS</t>
  </si>
  <si>
    <t>PRIN</t>
  </si>
  <si>
    <t>SW</t>
  </si>
  <si>
    <t>HW</t>
  </si>
  <si>
    <t>Source locations - product type &amp; on-site storage</t>
  </si>
  <si>
    <t>MICH</t>
  </si>
  <si>
    <t>Product Costs, per ton each source, by month</t>
  </si>
  <si>
    <t>PostalCode</t>
  </si>
  <si>
    <t>04427</t>
  </si>
  <si>
    <t>38450</t>
  </si>
  <si>
    <t>49424</t>
  </si>
  <si>
    <t>03452</t>
  </si>
  <si>
    <t>V0X 1W0</t>
  </si>
  <si>
    <t>G8K 0A1</t>
  </si>
  <si>
    <t>07107</t>
  </si>
  <si>
    <t>Storage Capacity (tons)</t>
  </si>
  <si>
    <t>Monthly Storage Cost/Ton</t>
  </si>
  <si>
    <t>RegionName</t>
  </si>
  <si>
    <t>West Mass</t>
  </si>
  <si>
    <t>West CT</t>
  </si>
  <si>
    <t>Hudson Valley</t>
  </si>
  <si>
    <t>Ohio</t>
  </si>
  <si>
    <t>SEMA</t>
  </si>
  <si>
    <t>HUDV</t>
  </si>
  <si>
    <t>NJER</t>
  </si>
  <si>
    <t>OHIO</t>
  </si>
  <si>
    <t>WTMA</t>
  </si>
  <si>
    <t>WTCT</t>
  </si>
  <si>
    <t>Total</t>
  </si>
  <si>
    <t>Downeast ME</t>
  </si>
  <si>
    <t>Berkshire</t>
  </si>
  <si>
    <t>NH South</t>
  </si>
  <si>
    <t>MA-ME Seacoast</t>
  </si>
  <si>
    <t>N-Central Mass</t>
  </si>
  <si>
    <t>SE Mass-RI</t>
  </si>
  <si>
    <t>East CT-RI</t>
  </si>
  <si>
    <t>North NJ</t>
  </si>
  <si>
    <t>DEME</t>
  </si>
  <si>
    <t>BERK</t>
  </si>
  <si>
    <t>SCST</t>
  </si>
  <si>
    <t>NCMA</t>
  </si>
  <si>
    <t>CTRI</t>
  </si>
  <si>
    <t>SONH</t>
  </si>
  <si>
    <t>Demand by Region in Tons, including % hardwood</t>
  </si>
  <si>
    <t>Hardwood</t>
  </si>
  <si>
    <t>Average Selling Price by Region</t>
  </si>
  <si>
    <t>UVLY</t>
  </si>
  <si>
    <t>NH Upper Valley</t>
  </si>
  <si>
    <t>CJER</t>
  </si>
  <si>
    <t>Central NJ</t>
  </si>
  <si>
    <t>Monthly Storage Costs</t>
  </si>
  <si>
    <t>StorCapacity (tons)</t>
  </si>
  <si>
    <t>Transportation costs per ton, Source to Region Base &amp; Monthly Variance Multiplier</t>
  </si>
  <si>
    <t xml:space="preserve"> Base Cost/ton</t>
  </si>
  <si>
    <t>Transportation costs per ton, Region to Region &amp; Monthly Variance Multiplier</t>
  </si>
  <si>
    <t>OriginID</t>
  </si>
  <si>
    <t>DestID</t>
  </si>
  <si>
    <t>Min Avail</t>
  </si>
  <si>
    <t>Max Avail</t>
  </si>
  <si>
    <t>MaxInvty</t>
  </si>
  <si>
    <t>Penalty</t>
  </si>
  <si>
    <t>Maximum Allowable Inventory and Penalty/ton/month if Exceeded</t>
  </si>
  <si>
    <t>Product</t>
  </si>
  <si>
    <t>SourceI0</t>
  </si>
  <si>
    <t>H-S</t>
  </si>
  <si>
    <t>NH Southern</t>
  </si>
  <si>
    <t>NH Upper Valley -VT</t>
  </si>
  <si>
    <t>MA West</t>
  </si>
  <si>
    <t>InvOnHd</t>
  </si>
  <si>
    <t>Projected Inventory Levels Mar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</si>
</sst>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\-yy;@"/>
    <numFmt numFmtId="165" formatCode="&quot;$&quot;#,##0"/>
    <numFmt numFmtId="166" formatCode="&quot;$&quot;#,##0.00;\(&quot;$&quot;#,##0.00\)"/>
    <numFmt numFmtId="167" formatCode="&quot;$&quot;#,##0.00"/>
  </numFmts>
  <fonts count="13" x14ac:knownFonts="1">
    <font>
      <sz val="10"/>
      <name val="Arial"/>
    </font>
    <font>
      <sz val="10"/>
      <name val="Arial"/>
      <family val="2"/>
    </font>
    <font>
      <b/>
      <sz val="10"/>
      <color rgb="FFC00000"/>
      <name val="Calibri"/>
      <family val="2"/>
      <scheme val="minor"/>
    </font>
    <font>
      <sz val="1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0" fillId="0" borderId="0"/>
    <xf numFmtId="0" fontId="10" fillId="0" borderId="0"/>
  </cellStyleXfs>
  <cellXfs count="86">
    <xf numFmtId="0" fontId="0" fillId="0" borderId="0" xfId="0"/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3" fillId="0" borderId="0" xfId="1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4" fillId="0" borderId="0" xfId="1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2" fillId="0" borderId="0" xfId="1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1" applyFont="1" applyAlignment="1">
      <alignment horizontal="center" vertical="center"/>
    </xf>
    <xf numFmtId="9" fontId="3" fillId="0" borderId="0" xfId="1" applyNumberFormat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165" fontId="3" fillId="0" borderId="0" xfId="0" applyNumberFormat="1" applyFont="1" applyAlignment="1">
      <alignment vertical="center"/>
    </xf>
    <xf numFmtId="0" fontId="3" fillId="0" borderId="0" xfId="1" applyFont="1" applyFill="1" applyAlignment="1">
      <alignment vertical="center"/>
    </xf>
    <xf numFmtId="0" fontId="3" fillId="0" borderId="0" xfId="0" applyFont="1" applyFill="1" applyAlignment="1">
      <alignment vertical="center"/>
    </xf>
    <xf numFmtId="165" fontId="3" fillId="0" borderId="0" xfId="0" applyNumberFormat="1" applyFont="1" applyFill="1" applyAlignment="1">
      <alignment vertical="center"/>
    </xf>
    <xf numFmtId="3" fontId="3" fillId="0" borderId="0" xfId="0" applyNumberFormat="1" applyFont="1" applyFill="1" applyAlignment="1">
      <alignment vertical="center"/>
    </xf>
    <xf numFmtId="49" fontId="6" fillId="0" borderId="0" xfId="1" applyNumberFormat="1" applyFont="1" applyAlignment="1">
      <alignment vertical="center"/>
    </xf>
    <xf numFmtId="0" fontId="8" fillId="0" borderId="0" xfId="1" applyFont="1" applyAlignment="1">
      <alignment vertical="center"/>
    </xf>
    <xf numFmtId="3" fontId="8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3" fontId="3" fillId="0" borderId="0" xfId="1" applyNumberFormat="1" applyFont="1" applyAlignment="1">
      <alignment horizontal="center" vertical="center"/>
    </xf>
    <xf numFmtId="49" fontId="3" fillId="0" borderId="0" xfId="1" applyNumberFormat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6" fillId="0" borderId="0" xfId="0" applyFont="1" applyAlignment="1">
      <alignment vertical="center"/>
    </xf>
    <xf numFmtId="3" fontId="4" fillId="0" borderId="0" xfId="1" applyNumberFormat="1" applyFont="1" applyAlignment="1">
      <alignment vertical="center"/>
    </xf>
    <xf numFmtId="38" fontId="3" fillId="0" borderId="0" xfId="1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5" fontId="3" fillId="0" borderId="0" xfId="1" applyNumberFormat="1" applyFont="1" applyAlignment="1">
      <alignment vertical="center"/>
    </xf>
    <xf numFmtId="0" fontId="11" fillId="0" borderId="1" xfId="2" applyFont="1" applyFill="1" applyBorder="1" applyAlignment="1">
      <alignment wrapText="1"/>
    </xf>
    <xf numFmtId="165" fontId="11" fillId="0" borderId="1" xfId="2" applyNumberFormat="1" applyFont="1" applyFill="1" applyBorder="1" applyAlignment="1">
      <alignment horizontal="right" wrapText="1"/>
    </xf>
    <xf numFmtId="0" fontId="9" fillId="0" borderId="0" xfId="1" applyFont="1" applyAlignment="1">
      <alignment vertical="center"/>
    </xf>
    <xf numFmtId="165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vertical="center"/>
    </xf>
    <xf numFmtId="3" fontId="2" fillId="0" borderId="0" xfId="1" applyNumberFormat="1" applyFont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6" fontId="11" fillId="0" borderId="0" xfId="2" applyNumberFormat="1" applyFont="1" applyFill="1" applyBorder="1" applyAlignment="1">
      <alignment horizontal="right" wrapText="1"/>
    </xf>
    <xf numFmtId="164" fontId="5" fillId="0" borderId="0" xfId="0" applyNumberFormat="1" applyFont="1" applyAlignment="1">
      <alignment horizontal="center" vertical="center"/>
    </xf>
    <xf numFmtId="9" fontId="3" fillId="2" borderId="2" xfId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2" fillId="0" borderId="1" xfId="1" applyFont="1" applyBorder="1" applyAlignment="1">
      <alignment vertical="center"/>
    </xf>
    <xf numFmtId="0" fontId="11" fillId="0" borderId="0" xfId="2" applyFont="1" applyFill="1" applyBorder="1" applyAlignment="1">
      <alignment wrapText="1"/>
    </xf>
    <xf numFmtId="165" fontId="2" fillId="0" borderId="1" xfId="1" applyNumberFormat="1" applyFont="1" applyBorder="1" applyAlignment="1">
      <alignment vertical="center"/>
    </xf>
    <xf numFmtId="165" fontId="11" fillId="0" borderId="0" xfId="2" applyNumberFormat="1" applyFont="1" applyFill="1" applyBorder="1" applyAlignment="1">
      <alignment horizontal="right" wrapText="1"/>
    </xf>
    <xf numFmtId="0" fontId="3" fillId="0" borderId="1" xfId="1" applyFont="1" applyBorder="1" applyAlignment="1">
      <alignment vertical="center"/>
    </xf>
    <xf numFmtId="0" fontId="3" fillId="0" borderId="0" xfId="1" applyFont="1" applyBorder="1" applyAlignment="1">
      <alignment vertical="center"/>
    </xf>
    <xf numFmtId="0" fontId="1" fillId="0" borderId="0" xfId="0" applyFont="1" applyFill="1" applyBorder="1"/>
    <xf numFmtId="0" fontId="2" fillId="0" borderId="0" xfId="1" applyFont="1" applyFill="1" applyAlignment="1">
      <alignment vertical="center"/>
    </xf>
    <xf numFmtId="2" fontId="3" fillId="0" borderId="0" xfId="0" applyNumberFormat="1" applyFont="1" applyAlignment="1">
      <alignment vertical="center"/>
    </xf>
    <xf numFmtId="4" fontId="3" fillId="2" borderId="2" xfId="0" applyNumberFormat="1" applyFont="1" applyFill="1" applyBorder="1" applyAlignment="1">
      <alignment vertical="center"/>
    </xf>
    <xf numFmtId="4" fontId="3" fillId="0" borderId="0" xfId="1" applyNumberFormat="1" applyFont="1" applyAlignment="1">
      <alignment horizontal="center" vertical="center"/>
    </xf>
    <xf numFmtId="2" fontId="3" fillId="0" borderId="0" xfId="1" applyNumberFormat="1" applyFont="1" applyAlignment="1">
      <alignment vertical="center"/>
    </xf>
    <xf numFmtId="164" fontId="3" fillId="0" borderId="0" xfId="1" applyNumberFormat="1" applyFont="1" applyAlignment="1">
      <alignment vertical="center"/>
    </xf>
    <xf numFmtId="9" fontId="3" fillId="0" borderId="0" xfId="1" applyNumberFormat="1" applyFont="1" applyAlignment="1">
      <alignment vertical="center"/>
    </xf>
    <xf numFmtId="3" fontId="3" fillId="0" borderId="0" xfId="1" applyNumberFormat="1" applyFont="1" applyAlignment="1">
      <alignment vertical="center"/>
    </xf>
    <xf numFmtId="167" fontId="3" fillId="0" borderId="0" xfId="1" applyNumberFormat="1" applyFont="1" applyAlignment="1">
      <alignment vertical="center"/>
    </xf>
    <xf numFmtId="167" fontId="11" fillId="0" borderId="1" xfId="2" applyNumberFormat="1" applyFont="1" applyFill="1" applyBorder="1" applyAlignment="1">
      <alignment horizontal="right" wrapText="1"/>
    </xf>
    <xf numFmtId="167" fontId="11" fillId="0" borderId="0" xfId="2" applyNumberFormat="1" applyFont="1" applyFill="1" applyBorder="1" applyAlignment="1">
      <alignment horizontal="right" wrapText="1"/>
    </xf>
    <xf numFmtId="167" fontId="3" fillId="0" borderId="1" xfId="1" applyNumberFormat="1" applyFont="1" applyBorder="1" applyAlignment="1">
      <alignment vertical="center"/>
    </xf>
    <xf numFmtId="167" fontId="3" fillId="0" borderId="0" xfId="1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Fill="1" applyBorder="1"/>
    <xf numFmtId="0" fontId="3" fillId="0" borderId="0" xfId="0" applyFont="1" applyFill="1" applyBorder="1" applyAlignment="1">
      <alignment vertical="center"/>
    </xf>
    <xf numFmtId="165" fontId="3" fillId="0" borderId="0" xfId="0" applyNumberFormat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12" fillId="0" borderId="0" xfId="3" applyFont="1" applyFill="1" applyBorder="1" applyAlignment="1">
      <alignment wrapText="1"/>
    </xf>
    <xf numFmtId="0" fontId="12" fillId="0" borderId="0" xfId="3" applyFont="1" applyFill="1" applyBorder="1" applyAlignment="1">
      <alignment horizontal="center" wrapText="1"/>
    </xf>
    <xf numFmtId="0" fontId="3" fillId="0" borderId="0" xfId="1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1" applyFont="1" applyFill="1" applyAlignment="1">
      <alignment vertical="center"/>
    </xf>
    <xf numFmtId="3" fontId="4" fillId="0" borderId="0" xfId="0" applyNumberFormat="1" applyFont="1" applyFill="1" applyAlignment="1">
      <alignment vertical="center"/>
    </xf>
    <xf numFmtId="0" fontId="1" fillId="0" borderId="2" xfId="0" applyFont="1" applyBorder="1"/>
    <xf numFmtId="0" fontId="2" fillId="0" borderId="2" xfId="1" applyFont="1" applyFill="1" applyBorder="1" applyAlignment="1">
      <alignment vertical="center"/>
    </xf>
    <xf numFmtId="0" fontId="3" fillId="0" borderId="2" xfId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TransportCosts-Direct" xfId="3" xr:uid="{00000000-0005-0000-0000-000002000000}"/>
    <cellStyle name="Normal_TransportSrc-Stor" xfId="2" xr:uid="{00000000-0005-0000-0000-000003000000}"/>
  </cellStyles>
  <dxfs count="13"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A1:G11"/>
  <sheetViews>
    <sheetView tabSelected="1" zoomScale="170" zoomScaleNormal="170" workbookViewId="0">
      <selection activeCell="D17" sqref="D17"/>
    </sheetView>
  </sheetViews>
  <sheetFormatPr baseColWidth="10" defaultColWidth="9.1640625" defaultRowHeight="15.75" customHeight="1" x14ac:dyDescent="0.15"/>
  <cols>
    <col min="1" max="1" width="10.5" style="3" customWidth="1"/>
    <col min="2" max="2" width="11.5" style="24" customWidth="1"/>
    <col min="3" max="3" width="9.83203125" style="3" customWidth="1"/>
    <col min="4" max="4" width="16" style="23" customWidth="1"/>
    <col min="5" max="5" width="16" style="25" customWidth="1"/>
    <col min="6" max="16384" width="9.1640625" style="3"/>
  </cols>
  <sheetData>
    <row r="1" spans="1:7" s="19" customFormat="1" ht="15.75" customHeight="1" x14ac:dyDescent="0.15">
      <c r="A1" s="11" t="s">
        <v>14</v>
      </c>
      <c r="B1" s="18"/>
      <c r="D1" s="20"/>
      <c r="E1" s="21"/>
    </row>
    <row r="3" spans="1:7" s="34" customFormat="1" ht="30" x14ac:dyDescent="0.15">
      <c r="A3" s="7" t="s">
        <v>0</v>
      </c>
      <c r="B3" s="36" t="s">
        <v>17</v>
      </c>
      <c r="C3" s="7" t="s">
        <v>74</v>
      </c>
      <c r="D3" s="37" t="s">
        <v>25</v>
      </c>
      <c r="E3" s="38" t="s">
        <v>26</v>
      </c>
      <c r="F3" s="38" t="s">
        <v>67</v>
      </c>
      <c r="G3" s="38" t="s">
        <v>68</v>
      </c>
    </row>
    <row r="4" spans="1:7" ht="15.75" customHeight="1" x14ac:dyDescent="0.15">
      <c r="A4" s="1" t="s">
        <v>9</v>
      </c>
      <c r="B4" s="22" t="s">
        <v>24</v>
      </c>
      <c r="C4" s="3" t="s">
        <v>12</v>
      </c>
      <c r="D4" s="23">
        <v>100</v>
      </c>
      <c r="E4" s="55">
        <v>0.33333333333333331</v>
      </c>
      <c r="F4" s="43">
        <v>0.9</v>
      </c>
      <c r="G4" s="43">
        <v>1</v>
      </c>
    </row>
    <row r="5" spans="1:7" ht="15.75" customHeight="1" x14ac:dyDescent="0.15">
      <c r="A5" s="1" t="s">
        <v>3</v>
      </c>
      <c r="B5" s="22" t="s">
        <v>18</v>
      </c>
      <c r="C5" s="3" t="s">
        <v>12</v>
      </c>
      <c r="D5" s="23">
        <v>200</v>
      </c>
      <c r="E5" s="55">
        <v>0.16666666666666666</v>
      </c>
      <c r="F5" s="43">
        <v>0.75</v>
      </c>
      <c r="G5" s="43">
        <v>1.05</v>
      </c>
    </row>
    <row r="6" spans="1:7" ht="15.75" customHeight="1" x14ac:dyDescent="0.15">
      <c r="A6" s="1" t="s">
        <v>10</v>
      </c>
      <c r="B6" s="22" t="s">
        <v>19</v>
      </c>
      <c r="C6" s="3" t="s">
        <v>13</v>
      </c>
      <c r="D6" s="23">
        <v>500</v>
      </c>
      <c r="E6" s="55">
        <v>0.16666666666666666</v>
      </c>
      <c r="F6" s="43">
        <v>0.75</v>
      </c>
      <c r="G6" s="43">
        <v>1.2</v>
      </c>
    </row>
    <row r="7" spans="1:7" ht="15.75" customHeight="1" x14ac:dyDescent="0.15">
      <c r="A7" s="1" t="s">
        <v>4</v>
      </c>
      <c r="B7" s="22" t="s">
        <v>21</v>
      </c>
      <c r="C7" s="3" t="s">
        <v>13</v>
      </c>
      <c r="D7" s="23">
        <v>100</v>
      </c>
      <c r="E7" s="55">
        <v>0.33333333333333331</v>
      </c>
      <c r="F7" s="43">
        <v>0.9</v>
      </c>
      <c r="G7" s="43">
        <v>1.1000000000000001</v>
      </c>
    </row>
    <row r="8" spans="1:7" ht="15.75" customHeight="1" x14ac:dyDescent="0.15">
      <c r="A8" s="1" t="s">
        <v>15</v>
      </c>
      <c r="B8" s="22" t="s">
        <v>20</v>
      </c>
      <c r="C8" s="3" t="s">
        <v>13</v>
      </c>
      <c r="D8" s="23">
        <v>100</v>
      </c>
      <c r="E8" s="55">
        <v>0.25</v>
      </c>
      <c r="F8" s="43">
        <v>0.3</v>
      </c>
      <c r="G8" s="43">
        <v>1.2</v>
      </c>
    </row>
    <row r="9" spans="1:7" ht="15.75" customHeight="1" x14ac:dyDescent="0.15">
      <c r="A9" s="1" t="s">
        <v>11</v>
      </c>
      <c r="B9" s="22" t="s">
        <v>22</v>
      </c>
      <c r="C9" s="3" t="s">
        <v>12</v>
      </c>
      <c r="D9" s="23">
        <v>1000</v>
      </c>
      <c r="E9" s="55">
        <v>0.25</v>
      </c>
      <c r="F9" s="43">
        <v>0.9</v>
      </c>
      <c r="G9" s="43">
        <v>1.05</v>
      </c>
    </row>
    <row r="10" spans="1:7" ht="15.75" customHeight="1" x14ac:dyDescent="0.15">
      <c r="A10" s="1" t="s">
        <v>5</v>
      </c>
      <c r="B10" s="22">
        <v>13502</v>
      </c>
      <c r="C10" s="3" t="s">
        <v>13</v>
      </c>
      <c r="D10" s="23">
        <v>100</v>
      </c>
      <c r="E10" s="55">
        <v>0.16666666666666666</v>
      </c>
      <c r="F10" s="43">
        <v>0.5</v>
      </c>
      <c r="G10" s="43">
        <v>1</v>
      </c>
    </row>
    <row r="11" spans="1:7" ht="15.75" customHeight="1" x14ac:dyDescent="0.15">
      <c r="A11" s="1" t="s">
        <v>2</v>
      </c>
      <c r="B11" s="22" t="s">
        <v>23</v>
      </c>
      <c r="C11" s="3" t="s">
        <v>12</v>
      </c>
      <c r="D11" s="23">
        <v>1000</v>
      </c>
      <c r="E11" s="55">
        <v>0.25</v>
      </c>
      <c r="F11" s="43">
        <v>0.8</v>
      </c>
      <c r="G11" s="43">
        <v>1</v>
      </c>
    </row>
  </sheetData>
  <sortState xmlns:xlrd2="http://schemas.microsoft.com/office/spreadsheetml/2017/richdata2" ref="A4:G11">
    <sortCondition ref="A4:A11"/>
  </sortState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9"/>
  <sheetViews>
    <sheetView workbookViewId="0"/>
  </sheetViews>
  <sheetFormatPr baseColWidth="10" defaultColWidth="9.1640625" defaultRowHeight="15.75" customHeight="1" x14ac:dyDescent="0.15"/>
  <cols>
    <col min="1" max="21" width="9.1640625" style="1"/>
    <col min="22" max="22" width="6.6640625" style="1" customWidth="1"/>
    <col min="23" max="16384" width="9.1640625" style="1"/>
  </cols>
  <sheetData>
    <row r="1" spans="1:22" s="30" customFormat="1" ht="15.75" customHeight="1" x14ac:dyDescent="0.15">
      <c r="A1" s="26" t="s">
        <v>16</v>
      </c>
    </row>
    <row r="4" spans="1:22" s="39" customFormat="1" ht="15.75" customHeight="1" x14ac:dyDescent="0.15">
      <c r="A4" s="39" t="s">
        <v>0</v>
      </c>
      <c r="B4" s="8">
        <v>44256</v>
      </c>
      <c r="C4" s="8">
        <v>44287</v>
      </c>
      <c r="D4" s="8">
        <v>44317</v>
      </c>
      <c r="E4" s="8">
        <v>44348</v>
      </c>
      <c r="F4" s="8">
        <v>44378</v>
      </c>
      <c r="G4" s="8">
        <v>44409</v>
      </c>
      <c r="H4" s="8">
        <v>44440</v>
      </c>
      <c r="I4" s="8">
        <v>44470</v>
      </c>
      <c r="J4" s="8">
        <v>44501</v>
      </c>
      <c r="K4" s="8">
        <v>44531</v>
      </c>
      <c r="L4" s="8">
        <v>44562</v>
      </c>
      <c r="M4" s="8">
        <v>44593</v>
      </c>
      <c r="N4" s="8">
        <v>44621</v>
      </c>
      <c r="O4" s="8">
        <v>44652</v>
      </c>
      <c r="P4" s="8">
        <v>44682</v>
      </c>
      <c r="Q4" s="8">
        <v>44713</v>
      </c>
      <c r="R4" s="8">
        <v>44743</v>
      </c>
      <c r="S4" s="8">
        <v>44774</v>
      </c>
      <c r="U4" s="8"/>
      <c r="V4" s="40"/>
    </row>
    <row r="5" spans="1:22" ht="15.75" customHeight="1" x14ac:dyDescent="0.15">
      <c r="A5" s="1" t="s">
        <v>9</v>
      </c>
      <c r="B5" s="13">
        <v>180</v>
      </c>
      <c r="C5" s="13">
        <v>180</v>
      </c>
      <c r="D5" s="13">
        <v>180</v>
      </c>
      <c r="E5" s="13">
        <v>180</v>
      </c>
      <c r="F5" s="13">
        <v>180</v>
      </c>
      <c r="G5" s="13">
        <v>180</v>
      </c>
      <c r="H5" s="13">
        <v>180</v>
      </c>
      <c r="I5" s="13">
        <v>180</v>
      </c>
      <c r="J5" s="13">
        <v>180</v>
      </c>
      <c r="K5" s="13">
        <v>180</v>
      </c>
      <c r="L5" s="13">
        <v>180</v>
      </c>
      <c r="M5" s="13">
        <v>180</v>
      </c>
      <c r="N5" s="13">
        <v>180</v>
      </c>
      <c r="O5" s="13">
        <v>180</v>
      </c>
      <c r="P5" s="13">
        <v>180</v>
      </c>
      <c r="Q5" s="13">
        <v>180</v>
      </c>
      <c r="R5" s="13">
        <v>180</v>
      </c>
      <c r="S5" s="13">
        <v>180</v>
      </c>
      <c r="U5" s="13"/>
      <c r="V5" s="13"/>
    </row>
    <row r="6" spans="1:22" ht="15.75" customHeight="1" x14ac:dyDescent="0.15">
      <c r="A6" s="1" t="s">
        <v>3</v>
      </c>
      <c r="B6" s="13">
        <v>180</v>
      </c>
      <c r="C6" s="13">
        <v>180</v>
      </c>
      <c r="D6" s="13">
        <v>185</v>
      </c>
      <c r="E6" s="13">
        <v>185</v>
      </c>
      <c r="F6" s="13">
        <v>185</v>
      </c>
      <c r="G6" s="13">
        <v>185</v>
      </c>
      <c r="H6" s="13">
        <v>185</v>
      </c>
      <c r="I6" s="13">
        <v>185</v>
      </c>
      <c r="J6" s="13">
        <v>185</v>
      </c>
      <c r="K6" s="13">
        <v>185</v>
      </c>
      <c r="L6" s="13">
        <v>185</v>
      </c>
      <c r="M6" s="13">
        <v>185</v>
      </c>
      <c r="N6" s="13">
        <v>180</v>
      </c>
      <c r="O6" s="13">
        <v>180</v>
      </c>
      <c r="P6" s="13">
        <v>180</v>
      </c>
      <c r="Q6" s="13">
        <v>180</v>
      </c>
      <c r="R6" s="13">
        <v>180</v>
      </c>
      <c r="S6" s="13">
        <v>180</v>
      </c>
      <c r="U6" s="13"/>
      <c r="V6" s="13"/>
    </row>
    <row r="7" spans="1:22" ht="15.75" customHeight="1" x14ac:dyDescent="0.15">
      <c r="A7" s="1" t="s">
        <v>10</v>
      </c>
      <c r="B7" s="13">
        <v>110</v>
      </c>
      <c r="C7" s="13">
        <v>110</v>
      </c>
      <c r="D7" s="13">
        <v>120</v>
      </c>
      <c r="E7" s="13">
        <v>120</v>
      </c>
      <c r="F7" s="13">
        <v>120</v>
      </c>
      <c r="G7" s="13">
        <v>120</v>
      </c>
      <c r="H7" s="13">
        <v>120</v>
      </c>
      <c r="I7" s="13">
        <v>120</v>
      </c>
      <c r="J7" s="13">
        <v>120</v>
      </c>
      <c r="K7" s="13">
        <v>120</v>
      </c>
      <c r="L7" s="13">
        <v>120</v>
      </c>
      <c r="M7" s="13">
        <v>120</v>
      </c>
      <c r="N7" s="13">
        <v>110</v>
      </c>
      <c r="O7" s="13">
        <v>110</v>
      </c>
      <c r="P7" s="13">
        <v>120</v>
      </c>
      <c r="Q7" s="13">
        <v>120</v>
      </c>
      <c r="R7" s="13">
        <v>120</v>
      </c>
      <c r="S7" s="13">
        <v>120</v>
      </c>
      <c r="U7" s="13"/>
      <c r="V7" s="13"/>
    </row>
    <row r="8" spans="1:22" ht="15.75" customHeight="1" x14ac:dyDescent="0.15">
      <c r="A8" s="1" t="s">
        <v>4</v>
      </c>
      <c r="B8" s="13">
        <v>216</v>
      </c>
      <c r="C8" s="13">
        <v>216</v>
      </c>
      <c r="D8" s="13">
        <v>216</v>
      </c>
      <c r="E8" s="13">
        <v>216</v>
      </c>
      <c r="F8" s="13">
        <v>216</v>
      </c>
      <c r="G8" s="13">
        <v>216</v>
      </c>
      <c r="H8" s="13">
        <v>225</v>
      </c>
      <c r="I8" s="13">
        <v>225</v>
      </c>
      <c r="J8" s="13">
        <v>225</v>
      </c>
      <c r="K8" s="13">
        <v>225</v>
      </c>
      <c r="L8" s="13">
        <v>225</v>
      </c>
      <c r="M8" s="13">
        <v>225</v>
      </c>
      <c r="N8" s="13">
        <v>216</v>
      </c>
      <c r="O8" s="13">
        <v>216</v>
      </c>
      <c r="P8" s="13">
        <v>216</v>
      </c>
      <c r="Q8" s="13">
        <v>216</v>
      </c>
      <c r="R8" s="13">
        <v>216</v>
      </c>
      <c r="S8" s="13">
        <v>216</v>
      </c>
      <c r="U8" s="13"/>
      <c r="V8" s="13"/>
    </row>
    <row r="9" spans="1:22" ht="15.75" customHeight="1" x14ac:dyDescent="0.15">
      <c r="A9" s="1" t="s">
        <v>15</v>
      </c>
      <c r="B9" s="13">
        <v>165</v>
      </c>
      <c r="C9" s="13">
        <v>165</v>
      </c>
      <c r="D9" s="13">
        <v>165</v>
      </c>
      <c r="E9" s="13">
        <v>165</v>
      </c>
      <c r="F9" s="13">
        <v>165</v>
      </c>
      <c r="G9" s="13">
        <v>165</v>
      </c>
      <c r="H9" s="13">
        <v>165</v>
      </c>
      <c r="I9" s="13">
        <v>165</v>
      </c>
      <c r="J9" s="13">
        <v>165</v>
      </c>
      <c r="K9" s="13">
        <v>165</v>
      </c>
      <c r="L9" s="13">
        <v>165</v>
      </c>
      <c r="M9" s="13">
        <v>165</v>
      </c>
      <c r="N9" s="13">
        <v>165</v>
      </c>
      <c r="O9" s="13">
        <v>165</v>
      </c>
      <c r="P9" s="13">
        <v>165</v>
      </c>
      <c r="Q9" s="13">
        <v>165</v>
      </c>
      <c r="R9" s="13">
        <v>165</v>
      </c>
      <c r="S9" s="13">
        <v>165</v>
      </c>
      <c r="U9" s="13"/>
      <c r="V9" s="13"/>
    </row>
    <row r="10" spans="1:22" ht="15.75" customHeight="1" x14ac:dyDescent="0.15">
      <c r="A10" s="1" t="s">
        <v>11</v>
      </c>
      <c r="B10" s="13">
        <v>128</v>
      </c>
      <c r="C10" s="13">
        <v>128</v>
      </c>
      <c r="D10" s="13">
        <v>128</v>
      </c>
      <c r="E10" s="13">
        <v>128</v>
      </c>
      <c r="F10" s="13">
        <v>128</v>
      </c>
      <c r="G10" s="13">
        <v>128</v>
      </c>
      <c r="H10" s="13">
        <v>128</v>
      </c>
      <c r="I10" s="13">
        <v>136</v>
      </c>
      <c r="J10" s="13">
        <v>136</v>
      </c>
      <c r="K10" s="13">
        <v>136</v>
      </c>
      <c r="L10" s="13">
        <v>136</v>
      </c>
      <c r="M10" s="13">
        <v>136</v>
      </c>
      <c r="N10" s="13">
        <v>136</v>
      </c>
      <c r="O10" s="13">
        <v>128</v>
      </c>
      <c r="P10" s="13">
        <v>128</v>
      </c>
      <c r="Q10" s="13">
        <v>128</v>
      </c>
      <c r="R10" s="13">
        <v>128</v>
      </c>
      <c r="S10" s="13">
        <v>128</v>
      </c>
      <c r="U10" s="13"/>
      <c r="V10" s="13"/>
    </row>
    <row r="11" spans="1:22" ht="15.75" customHeight="1" x14ac:dyDescent="0.15">
      <c r="A11" s="1" t="s">
        <v>5</v>
      </c>
      <c r="B11" s="13">
        <v>211</v>
      </c>
      <c r="C11" s="13">
        <v>211</v>
      </c>
      <c r="D11" s="13">
        <v>211</v>
      </c>
      <c r="E11" s="13">
        <v>211</v>
      </c>
      <c r="F11" s="13">
        <v>211</v>
      </c>
      <c r="G11" s="13">
        <v>211</v>
      </c>
      <c r="H11" s="13">
        <v>211</v>
      </c>
      <c r="I11" s="13">
        <v>211</v>
      </c>
      <c r="J11" s="13">
        <v>211</v>
      </c>
      <c r="K11" s="13">
        <v>211</v>
      </c>
      <c r="L11" s="13">
        <v>211</v>
      </c>
      <c r="M11" s="13">
        <v>211</v>
      </c>
      <c r="N11" s="13">
        <v>211</v>
      </c>
      <c r="O11" s="13">
        <v>211</v>
      </c>
      <c r="P11" s="13">
        <v>211</v>
      </c>
      <c r="Q11" s="13">
        <v>211</v>
      </c>
      <c r="R11" s="13">
        <v>211</v>
      </c>
      <c r="S11" s="13">
        <v>211</v>
      </c>
      <c r="U11" s="13"/>
      <c r="V11" s="13"/>
    </row>
    <row r="12" spans="1:22" ht="15.75" customHeight="1" x14ac:dyDescent="0.15">
      <c r="A12" s="1" t="s">
        <v>2</v>
      </c>
      <c r="B12" s="13">
        <v>160</v>
      </c>
      <c r="C12" s="13">
        <v>160</v>
      </c>
      <c r="D12" s="13">
        <v>160</v>
      </c>
      <c r="E12" s="13">
        <v>160</v>
      </c>
      <c r="F12" s="13">
        <v>160</v>
      </c>
      <c r="G12" s="13">
        <v>160</v>
      </c>
      <c r="H12" s="13">
        <v>160</v>
      </c>
      <c r="I12" s="13">
        <v>170</v>
      </c>
      <c r="J12" s="13">
        <v>170</v>
      </c>
      <c r="K12" s="13">
        <v>170</v>
      </c>
      <c r="L12" s="13">
        <v>170</v>
      </c>
      <c r="M12" s="13">
        <v>170</v>
      </c>
      <c r="N12" s="13">
        <v>170</v>
      </c>
      <c r="O12" s="13">
        <v>170</v>
      </c>
      <c r="P12" s="13">
        <v>170</v>
      </c>
      <c r="Q12" s="13">
        <v>170</v>
      </c>
      <c r="R12" s="13">
        <v>170</v>
      </c>
      <c r="S12" s="13">
        <v>170</v>
      </c>
      <c r="U12" s="13"/>
      <c r="V12" s="13"/>
    </row>
    <row r="14" spans="1:22" ht="15.75" customHeight="1" x14ac:dyDescent="0.15"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</row>
    <row r="15" spans="1:22" ht="15.75" customHeight="1" x14ac:dyDescent="0.15"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</row>
    <row r="16" spans="1:22" ht="15.75" customHeight="1" x14ac:dyDescent="0.15"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</row>
    <row r="17" spans="2:19" ht="15.75" customHeight="1" x14ac:dyDescent="0.15">
      <c r="B17" s="4"/>
      <c r="C17" s="4"/>
      <c r="D17" s="4"/>
      <c r="E17" s="4"/>
      <c r="F17" s="4"/>
      <c r="G17" s="4"/>
      <c r="H17" s="4"/>
      <c r="I17" s="4"/>
      <c r="J17" s="4"/>
      <c r="K17" s="53"/>
      <c r="L17" s="53"/>
      <c r="M17" s="53"/>
      <c r="N17" s="53"/>
      <c r="O17" s="53"/>
      <c r="P17" s="53"/>
      <c r="Q17" s="53"/>
      <c r="R17" s="53"/>
      <c r="S17" s="53"/>
    </row>
    <row r="18" spans="2:19" ht="15.75" customHeight="1" x14ac:dyDescent="0.15">
      <c r="B18" s="13"/>
      <c r="C18" s="13"/>
      <c r="D18" s="13"/>
      <c r="E18" s="13"/>
      <c r="F18" s="13"/>
      <c r="G18" s="13"/>
      <c r="H18" s="13"/>
      <c r="I18" s="13"/>
      <c r="J18" s="13"/>
      <c r="K18" s="53"/>
      <c r="L18" s="53"/>
      <c r="M18" s="53"/>
      <c r="N18" s="53"/>
      <c r="O18" s="53"/>
      <c r="P18" s="53"/>
      <c r="Q18" s="53"/>
      <c r="R18" s="53"/>
      <c r="S18" s="53"/>
    </row>
    <row r="19" spans="2:19" ht="15.75" customHeight="1" x14ac:dyDescent="0.15">
      <c r="B19" s="13"/>
      <c r="C19" s="13"/>
      <c r="D19" s="13"/>
      <c r="E19" s="13"/>
      <c r="F19" s="13"/>
      <c r="G19" s="13"/>
      <c r="H19" s="13"/>
      <c r="I19" s="13"/>
      <c r="J19" s="13"/>
      <c r="K19" s="53"/>
      <c r="L19" s="53"/>
      <c r="M19" s="53"/>
      <c r="N19" s="53"/>
      <c r="O19" s="53"/>
      <c r="P19" s="53"/>
      <c r="Q19" s="53"/>
      <c r="R19" s="53"/>
      <c r="S19" s="53"/>
    </row>
    <row r="20" spans="2:19" ht="15.75" customHeight="1" x14ac:dyDescent="0.15">
      <c r="B20" s="13"/>
      <c r="C20" s="13"/>
      <c r="D20" s="13"/>
      <c r="E20" s="13"/>
      <c r="F20" s="13"/>
      <c r="G20" s="13"/>
      <c r="H20" s="13"/>
      <c r="I20" s="13"/>
      <c r="J20" s="13"/>
      <c r="K20" s="53"/>
      <c r="L20" s="53"/>
      <c r="M20" s="53"/>
      <c r="N20" s="53"/>
      <c r="O20" s="53"/>
      <c r="P20" s="53"/>
      <c r="Q20" s="53"/>
      <c r="R20" s="53"/>
      <c r="S20" s="53"/>
    </row>
    <row r="21" spans="2:19" ht="15.75" customHeight="1" x14ac:dyDescent="0.15">
      <c r="B21" s="13"/>
      <c r="C21" s="13"/>
      <c r="D21" s="13"/>
      <c r="E21" s="13"/>
      <c r="F21" s="13"/>
      <c r="G21" s="13"/>
      <c r="H21" s="13"/>
      <c r="I21" s="13"/>
      <c r="J21" s="13"/>
      <c r="K21" s="53"/>
      <c r="L21" s="53"/>
      <c r="M21" s="53"/>
      <c r="N21" s="53"/>
      <c r="O21" s="53"/>
      <c r="P21" s="53"/>
      <c r="Q21" s="53"/>
      <c r="R21" s="53"/>
      <c r="S21" s="53"/>
    </row>
    <row r="22" spans="2:19" ht="15.75" customHeight="1" x14ac:dyDescent="0.15">
      <c r="B22" s="13"/>
      <c r="C22" s="13"/>
      <c r="D22" s="13"/>
      <c r="E22" s="13"/>
      <c r="F22" s="13"/>
      <c r="G22" s="13"/>
      <c r="H22" s="13"/>
      <c r="I22" s="13"/>
      <c r="J22" s="13"/>
    </row>
    <row r="23" spans="2:19" ht="15.75" customHeight="1" x14ac:dyDescent="0.15">
      <c r="B23" s="13"/>
      <c r="C23" s="13"/>
      <c r="D23" s="13"/>
      <c r="E23" s="13"/>
      <c r="F23" s="13"/>
      <c r="G23" s="13"/>
      <c r="H23" s="13"/>
      <c r="I23" s="13"/>
      <c r="J23" s="13"/>
    </row>
    <row r="24" spans="2:19" ht="15.75" customHeight="1" x14ac:dyDescent="0.15">
      <c r="B24" s="13"/>
      <c r="C24" s="13"/>
      <c r="D24" s="13"/>
      <c r="E24" s="13"/>
      <c r="F24" s="13"/>
      <c r="G24" s="13"/>
      <c r="H24" s="13"/>
      <c r="I24" s="13"/>
      <c r="J24" s="13"/>
    </row>
    <row r="25" spans="2:19" ht="15.75" customHeight="1" x14ac:dyDescent="0.15">
      <c r="B25" s="13"/>
      <c r="C25" s="13"/>
      <c r="D25" s="13"/>
      <c r="E25" s="13"/>
      <c r="F25" s="13"/>
      <c r="G25" s="13"/>
      <c r="H25" s="13"/>
      <c r="I25" s="13"/>
      <c r="J25" s="13"/>
    </row>
    <row r="26" spans="2:19" ht="15.75" customHeight="1" x14ac:dyDescent="0.15">
      <c r="B26" s="13"/>
      <c r="C26" s="13"/>
      <c r="D26" s="13"/>
      <c r="E26" s="13"/>
      <c r="F26" s="13"/>
      <c r="G26" s="13"/>
      <c r="H26" s="13"/>
      <c r="I26" s="13"/>
      <c r="J26" s="13"/>
    </row>
    <row r="27" spans="2:19" ht="15.75" customHeight="1" x14ac:dyDescent="0.15">
      <c r="B27" s="13"/>
      <c r="C27" s="13"/>
      <c r="D27" s="13"/>
      <c r="E27" s="13"/>
      <c r="F27" s="13"/>
      <c r="G27" s="13"/>
      <c r="H27" s="13"/>
      <c r="I27" s="13"/>
      <c r="J27" s="13"/>
    </row>
    <row r="28" spans="2:19" ht="15.75" customHeight="1" x14ac:dyDescent="0.15">
      <c r="B28" s="13"/>
      <c r="C28" s="13"/>
      <c r="D28" s="13"/>
      <c r="E28" s="13"/>
      <c r="F28" s="13"/>
      <c r="G28" s="13"/>
      <c r="H28" s="13"/>
      <c r="I28" s="13"/>
      <c r="J28" s="13"/>
    </row>
    <row r="29" spans="2:19" ht="15.75" customHeight="1" x14ac:dyDescent="0.15">
      <c r="B29" s="13"/>
      <c r="C29" s="13"/>
      <c r="D29" s="13"/>
      <c r="E29" s="13"/>
      <c r="F29" s="13"/>
      <c r="G29" s="13"/>
      <c r="H29" s="13"/>
      <c r="I29" s="13"/>
      <c r="J29" s="13"/>
    </row>
  </sheetData>
  <sortState xmlns:xlrd2="http://schemas.microsoft.com/office/spreadsheetml/2017/richdata2" ref="A5:V12">
    <sortCondition ref="A5:A12"/>
  </sortState>
  <phoneticPr fontId="0" type="noConversion"/>
  <conditionalFormatting sqref="N6:S6 D7:S7 H8:S8 I10:S10 I12:S12">
    <cfRule type="cellIs" dxfId="12" priority="1" stopIfTrue="1" operator="notEqual">
      <formula>C6</formula>
    </cfRule>
  </conditionalFormatting>
  <conditionalFormatting sqref="U5:U12">
    <cfRule type="cellIs" dxfId="11" priority="3" stopIfTrue="1" operator="notEqual">
      <formula>S5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5"/>
  <sheetViews>
    <sheetView workbookViewId="0">
      <selection activeCell="K17" sqref="K17"/>
    </sheetView>
  </sheetViews>
  <sheetFormatPr baseColWidth="10" defaultColWidth="9.1640625" defaultRowHeight="15.75" customHeight="1" x14ac:dyDescent="0.15"/>
  <cols>
    <col min="1" max="1" width="9.1640625" style="1"/>
    <col min="2" max="2" width="10.5" style="1" customWidth="1"/>
    <col min="3" max="16384" width="9.1640625" style="1"/>
  </cols>
  <sheetData>
    <row r="1" spans="1:21" s="26" customFormat="1" ht="15.75" customHeight="1" x14ac:dyDescent="0.15">
      <c r="A1" s="26" t="s">
        <v>1</v>
      </c>
    </row>
    <row r="4" spans="1:21" s="39" customFormat="1" ht="15.75" customHeight="1" x14ac:dyDescent="0.15">
      <c r="A4" s="39" t="s">
        <v>0</v>
      </c>
      <c r="B4" s="8">
        <v>44256</v>
      </c>
      <c r="C4" s="8">
        <v>44287</v>
      </c>
      <c r="D4" s="8">
        <v>44317</v>
      </c>
      <c r="E4" s="8">
        <v>44348</v>
      </c>
      <c r="F4" s="8">
        <v>44378</v>
      </c>
      <c r="G4" s="8">
        <v>44409</v>
      </c>
      <c r="H4" s="8">
        <v>44440</v>
      </c>
      <c r="I4" s="8">
        <v>44470</v>
      </c>
      <c r="J4" s="8">
        <v>44501</v>
      </c>
      <c r="K4" s="8">
        <v>44531</v>
      </c>
      <c r="L4" s="8">
        <v>44562</v>
      </c>
      <c r="M4" s="8">
        <v>44593</v>
      </c>
      <c r="N4" s="8">
        <v>44621</v>
      </c>
      <c r="O4" s="8">
        <v>44652</v>
      </c>
      <c r="P4" s="8">
        <v>44682</v>
      </c>
      <c r="Q4" s="8">
        <v>44713</v>
      </c>
      <c r="R4" s="8">
        <v>44743</v>
      </c>
      <c r="S4" s="8">
        <v>44774</v>
      </c>
      <c r="U4" s="8"/>
    </row>
    <row r="5" spans="1:21" ht="15.75" customHeight="1" x14ac:dyDescent="0.15">
      <c r="A5" s="1" t="s">
        <v>9</v>
      </c>
      <c r="B5" s="2">
        <v>1000</v>
      </c>
      <c r="C5" s="2">
        <f t="shared" ref="C5:F10" si="0">B5</f>
        <v>1000</v>
      </c>
      <c r="D5" s="2">
        <f t="shared" si="0"/>
        <v>1000</v>
      </c>
      <c r="E5" s="2">
        <f t="shared" si="0"/>
        <v>1000</v>
      </c>
      <c r="F5" s="2">
        <f t="shared" si="0"/>
        <v>1000</v>
      </c>
      <c r="G5" s="2">
        <v>1500</v>
      </c>
      <c r="H5" s="2">
        <f t="shared" ref="H5:J7" si="1">G5</f>
        <v>1500</v>
      </c>
      <c r="I5" s="2">
        <f t="shared" si="1"/>
        <v>1500</v>
      </c>
      <c r="J5" s="2">
        <f t="shared" si="1"/>
        <v>1500</v>
      </c>
      <c r="K5" s="2">
        <v>500</v>
      </c>
      <c r="L5" s="2">
        <f t="shared" ref="L5:N7" si="2">K5</f>
        <v>500</v>
      </c>
      <c r="M5" s="2">
        <f t="shared" si="2"/>
        <v>500</v>
      </c>
      <c r="N5" s="2">
        <f t="shared" si="2"/>
        <v>500</v>
      </c>
      <c r="O5" s="2">
        <v>1500</v>
      </c>
      <c r="P5" s="2">
        <f t="shared" ref="P5:R12" si="3">O5</f>
        <v>1500</v>
      </c>
      <c r="Q5" s="2">
        <f t="shared" si="3"/>
        <v>1500</v>
      </c>
      <c r="R5" s="2">
        <f t="shared" si="3"/>
        <v>1500</v>
      </c>
      <c r="S5" s="2">
        <v>2000</v>
      </c>
      <c r="U5" s="2"/>
    </row>
    <row r="6" spans="1:21" ht="15.75" customHeight="1" x14ac:dyDescent="0.15">
      <c r="A6" s="1" t="s">
        <v>3</v>
      </c>
      <c r="B6" s="2">
        <v>300</v>
      </c>
      <c r="C6" s="2">
        <f t="shared" si="0"/>
        <v>300</v>
      </c>
      <c r="D6" s="2">
        <f t="shared" si="0"/>
        <v>300</v>
      </c>
      <c r="E6" s="2">
        <f t="shared" si="0"/>
        <v>300</v>
      </c>
      <c r="F6" s="2">
        <f t="shared" si="0"/>
        <v>300</v>
      </c>
      <c r="G6" s="2">
        <f t="shared" ref="G6:G12" si="4">F6</f>
        <v>300</v>
      </c>
      <c r="H6" s="2">
        <f t="shared" si="1"/>
        <v>300</v>
      </c>
      <c r="I6" s="2">
        <f t="shared" si="1"/>
        <v>300</v>
      </c>
      <c r="J6" s="2">
        <f t="shared" si="1"/>
        <v>300</v>
      </c>
      <c r="K6" s="2">
        <f t="shared" ref="K6:K11" si="5">J6</f>
        <v>300</v>
      </c>
      <c r="L6" s="2">
        <f t="shared" si="2"/>
        <v>300</v>
      </c>
      <c r="M6" s="2">
        <f t="shared" si="2"/>
        <v>300</v>
      </c>
      <c r="N6" s="2">
        <f t="shared" si="2"/>
        <v>300</v>
      </c>
      <c r="O6" s="2">
        <v>1000</v>
      </c>
      <c r="P6" s="2">
        <f t="shared" si="3"/>
        <v>1000</v>
      </c>
      <c r="Q6" s="2">
        <f t="shared" si="3"/>
        <v>1000</v>
      </c>
      <c r="R6" s="2">
        <f t="shared" si="3"/>
        <v>1000</v>
      </c>
      <c r="S6" s="2">
        <f t="shared" ref="S6:S12" si="6">R6</f>
        <v>1000</v>
      </c>
      <c r="U6" s="2"/>
    </row>
    <row r="7" spans="1:21" ht="15.75" customHeight="1" x14ac:dyDescent="0.15">
      <c r="A7" s="1" t="s">
        <v>10</v>
      </c>
      <c r="B7" s="2">
        <v>300</v>
      </c>
      <c r="C7" s="2">
        <f t="shared" si="0"/>
        <v>300</v>
      </c>
      <c r="D7" s="2">
        <f t="shared" si="0"/>
        <v>300</v>
      </c>
      <c r="E7" s="2">
        <f t="shared" si="0"/>
        <v>300</v>
      </c>
      <c r="F7" s="2">
        <f t="shared" si="0"/>
        <v>300</v>
      </c>
      <c r="G7" s="2">
        <f t="shared" si="4"/>
        <v>300</v>
      </c>
      <c r="H7" s="2">
        <f t="shared" si="1"/>
        <v>300</v>
      </c>
      <c r="I7" s="2">
        <f t="shared" si="1"/>
        <v>300</v>
      </c>
      <c r="J7" s="2">
        <f t="shared" si="1"/>
        <v>300</v>
      </c>
      <c r="K7" s="2">
        <f t="shared" si="5"/>
        <v>300</v>
      </c>
      <c r="L7" s="2">
        <f t="shared" si="2"/>
        <v>300</v>
      </c>
      <c r="M7" s="2">
        <f t="shared" si="2"/>
        <v>300</v>
      </c>
      <c r="N7" s="2">
        <f t="shared" si="2"/>
        <v>300</v>
      </c>
      <c r="O7" s="2">
        <f>N7</f>
        <v>300</v>
      </c>
      <c r="P7" s="2">
        <f t="shared" si="3"/>
        <v>300</v>
      </c>
      <c r="Q7" s="2">
        <f t="shared" si="3"/>
        <v>300</v>
      </c>
      <c r="R7" s="2">
        <f t="shared" si="3"/>
        <v>300</v>
      </c>
      <c r="S7" s="2">
        <f t="shared" si="6"/>
        <v>300</v>
      </c>
      <c r="U7" s="2"/>
    </row>
    <row r="8" spans="1:21" ht="15.75" customHeight="1" x14ac:dyDescent="0.15">
      <c r="A8" s="1" t="s">
        <v>4</v>
      </c>
      <c r="B8" s="2">
        <v>200</v>
      </c>
      <c r="C8" s="2">
        <f t="shared" si="0"/>
        <v>200</v>
      </c>
      <c r="D8" s="2">
        <f t="shared" si="0"/>
        <v>200</v>
      </c>
      <c r="E8" s="2">
        <f t="shared" si="0"/>
        <v>200</v>
      </c>
      <c r="F8" s="2">
        <f t="shared" si="0"/>
        <v>200</v>
      </c>
      <c r="G8" s="2">
        <f t="shared" si="4"/>
        <v>200</v>
      </c>
      <c r="H8" s="2">
        <f>G8</f>
        <v>200</v>
      </c>
      <c r="I8" s="2">
        <v>0</v>
      </c>
      <c r="J8" s="2">
        <f>I8</f>
        <v>0</v>
      </c>
      <c r="K8" s="2">
        <f t="shared" si="5"/>
        <v>0</v>
      </c>
      <c r="L8" s="2">
        <f t="shared" ref="L8:M10" si="7">K8</f>
        <v>0</v>
      </c>
      <c r="M8" s="2">
        <f t="shared" si="7"/>
        <v>0</v>
      </c>
      <c r="N8" s="2">
        <v>400</v>
      </c>
      <c r="O8" s="2">
        <f>N8</f>
        <v>400</v>
      </c>
      <c r="P8" s="2">
        <f t="shared" si="3"/>
        <v>400</v>
      </c>
      <c r="Q8" s="2">
        <f t="shared" si="3"/>
        <v>400</v>
      </c>
      <c r="R8" s="2">
        <f t="shared" si="3"/>
        <v>400</v>
      </c>
      <c r="S8" s="2">
        <f t="shared" si="6"/>
        <v>400</v>
      </c>
      <c r="U8" s="2"/>
    </row>
    <row r="9" spans="1:21" ht="15.75" customHeight="1" x14ac:dyDescent="0.15">
      <c r="A9" s="1" t="s">
        <v>15</v>
      </c>
      <c r="B9" s="2">
        <v>300</v>
      </c>
      <c r="C9" s="2">
        <f t="shared" si="0"/>
        <v>300</v>
      </c>
      <c r="D9" s="2">
        <f t="shared" si="0"/>
        <v>300</v>
      </c>
      <c r="E9" s="2">
        <f t="shared" si="0"/>
        <v>300</v>
      </c>
      <c r="F9" s="2">
        <f t="shared" si="0"/>
        <v>300</v>
      </c>
      <c r="G9" s="2">
        <f t="shared" si="4"/>
        <v>300</v>
      </c>
      <c r="H9" s="2">
        <f>G9</f>
        <v>300</v>
      </c>
      <c r="I9" s="2">
        <f>H9</f>
        <v>300</v>
      </c>
      <c r="J9" s="2">
        <f>I9</f>
        <v>300</v>
      </c>
      <c r="K9" s="2">
        <f t="shared" si="5"/>
        <v>300</v>
      </c>
      <c r="L9" s="2">
        <f t="shared" si="7"/>
        <v>300</v>
      </c>
      <c r="M9" s="2">
        <f t="shared" si="7"/>
        <v>300</v>
      </c>
      <c r="N9" s="2">
        <f>M9</f>
        <v>300</v>
      </c>
      <c r="O9" s="2">
        <f>N9</f>
        <v>300</v>
      </c>
      <c r="P9" s="2">
        <f t="shared" si="3"/>
        <v>300</v>
      </c>
      <c r="Q9" s="2">
        <f t="shared" si="3"/>
        <v>300</v>
      </c>
      <c r="R9" s="2">
        <f t="shared" si="3"/>
        <v>300</v>
      </c>
      <c r="S9" s="2">
        <f t="shared" si="6"/>
        <v>300</v>
      </c>
      <c r="U9" s="2"/>
    </row>
    <row r="10" spans="1:21" ht="15.75" customHeight="1" x14ac:dyDescent="0.15">
      <c r="A10" s="1" t="s">
        <v>11</v>
      </c>
      <c r="B10" s="2">
        <v>500</v>
      </c>
      <c r="C10" s="2">
        <f t="shared" si="0"/>
        <v>500</v>
      </c>
      <c r="D10" s="2">
        <f t="shared" si="0"/>
        <v>500</v>
      </c>
      <c r="E10" s="2">
        <f t="shared" si="0"/>
        <v>500</v>
      </c>
      <c r="F10" s="2">
        <f t="shared" si="0"/>
        <v>500</v>
      </c>
      <c r="G10" s="2">
        <f t="shared" si="4"/>
        <v>500</v>
      </c>
      <c r="H10" s="2">
        <f>G10</f>
        <v>500</v>
      </c>
      <c r="I10" s="2">
        <f>H10</f>
        <v>500</v>
      </c>
      <c r="J10" s="2">
        <v>0</v>
      </c>
      <c r="K10" s="2">
        <v>0</v>
      </c>
      <c r="L10" s="2">
        <f t="shared" si="7"/>
        <v>0</v>
      </c>
      <c r="M10" s="2">
        <f t="shared" si="7"/>
        <v>0</v>
      </c>
      <c r="N10" s="2">
        <f>M10</f>
        <v>0</v>
      </c>
      <c r="O10" s="2">
        <v>1000</v>
      </c>
      <c r="P10" s="2">
        <f t="shared" si="3"/>
        <v>1000</v>
      </c>
      <c r="Q10" s="2">
        <f t="shared" si="3"/>
        <v>1000</v>
      </c>
      <c r="R10" s="2">
        <f t="shared" si="3"/>
        <v>1000</v>
      </c>
      <c r="S10" s="2">
        <f t="shared" si="6"/>
        <v>1000</v>
      </c>
      <c r="U10" s="2"/>
    </row>
    <row r="11" spans="1:21" ht="15.75" customHeight="1" x14ac:dyDescent="0.15">
      <c r="A11" s="1" t="s">
        <v>5</v>
      </c>
      <c r="B11" s="2">
        <v>1200</v>
      </c>
      <c r="C11" s="2">
        <f>B11</f>
        <v>1200</v>
      </c>
      <c r="D11" s="2">
        <v>700</v>
      </c>
      <c r="E11" s="2">
        <f>D11</f>
        <v>700</v>
      </c>
      <c r="F11" s="2">
        <f>E11</f>
        <v>700</v>
      </c>
      <c r="G11" s="2">
        <f t="shared" si="4"/>
        <v>700</v>
      </c>
      <c r="H11" s="2">
        <f>G11</f>
        <v>700</v>
      </c>
      <c r="I11" s="2">
        <f>H11</f>
        <v>700</v>
      </c>
      <c r="J11" s="2">
        <f>I11</f>
        <v>700</v>
      </c>
      <c r="K11" s="2">
        <f t="shared" si="5"/>
        <v>700</v>
      </c>
      <c r="L11" s="2">
        <v>0</v>
      </c>
      <c r="M11" s="2">
        <f>L11</f>
        <v>0</v>
      </c>
      <c r="N11" s="2">
        <f>M11</f>
        <v>0</v>
      </c>
      <c r="O11" s="2">
        <v>1500</v>
      </c>
      <c r="P11" s="2">
        <f t="shared" si="3"/>
        <v>1500</v>
      </c>
      <c r="Q11" s="2">
        <f t="shared" si="3"/>
        <v>1500</v>
      </c>
      <c r="R11" s="2">
        <f t="shared" si="3"/>
        <v>1500</v>
      </c>
      <c r="S11" s="2">
        <f t="shared" si="6"/>
        <v>1500</v>
      </c>
      <c r="U11" s="2"/>
    </row>
    <row r="12" spans="1:21" ht="15.75" customHeight="1" x14ac:dyDescent="0.15">
      <c r="A12" s="1" t="s">
        <v>2</v>
      </c>
      <c r="B12" s="2">
        <v>4000</v>
      </c>
      <c r="C12" s="2">
        <f>B12</f>
        <v>4000</v>
      </c>
      <c r="D12" s="2">
        <f>C12</f>
        <v>4000</v>
      </c>
      <c r="E12" s="2">
        <f>D12</f>
        <v>4000</v>
      </c>
      <c r="F12" s="2">
        <f>E12</f>
        <v>4000</v>
      </c>
      <c r="G12" s="2">
        <f t="shared" si="4"/>
        <v>4000</v>
      </c>
      <c r="H12" s="2">
        <f>G12</f>
        <v>4000</v>
      </c>
      <c r="I12" s="2">
        <f>H12</f>
        <v>4000</v>
      </c>
      <c r="J12" s="2">
        <v>2000</v>
      </c>
      <c r="K12" s="2">
        <v>2000</v>
      </c>
      <c r="L12" s="2">
        <f>K12</f>
        <v>2000</v>
      </c>
      <c r="M12" s="2">
        <f>L12</f>
        <v>2000</v>
      </c>
      <c r="N12" s="2">
        <f>M12</f>
        <v>2000</v>
      </c>
      <c r="O12" s="2">
        <v>4000</v>
      </c>
      <c r="P12" s="2">
        <f t="shared" si="3"/>
        <v>4000</v>
      </c>
      <c r="Q12" s="2">
        <f t="shared" si="3"/>
        <v>4000</v>
      </c>
      <c r="R12" s="2">
        <f t="shared" si="3"/>
        <v>4000</v>
      </c>
      <c r="S12" s="2">
        <f t="shared" si="6"/>
        <v>4000</v>
      </c>
      <c r="U12" s="2"/>
    </row>
    <row r="14" spans="1:21" ht="15.75" customHeight="1" x14ac:dyDescent="0.15">
      <c r="A14" s="1" t="s">
        <v>38</v>
      </c>
      <c r="B14" s="2">
        <f t="shared" ref="B14:S14" si="8">SUM(B5:B13)</f>
        <v>7800</v>
      </c>
      <c r="C14" s="2">
        <f t="shared" si="8"/>
        <v>7800</v>
      </c>
      <c r="D14" s="2">
        <f t="shared" si="8"/>
        <v>7300</v>
      </c>
      <c r="E14" s="2">
        <f t="shared" si="8"/>
        <v>7300</v>
      </c>
      <c r="F14" s="2">
        <f t="shared" si="8"/>
        <v>7300</v>
      </c>
      <c r="G14" s="2">
        <f t="shared" si="8"/>
        <v>7800</v>
      </c>
      <c r="H14" s="2">
        <f t="shared" si="8"/>
        <v>7800</v>
      </c>
      <c r="I14" s="2">
        <f t="shared" si="8"/>
        <v>7600</v>
      </c>
      <c r="J14" s="2">
        <f t="shared" si="8"/>
        <v>5100</v>
      </c>
      <c r="K14" s="2">
        <f t="shared" si="8"/>
        <v>4100</v>
      </c>
      <c r="L14" s="2">
        <f t="shared" si="8"/>
        <v>3400</v>
      </c>
      <c r="M14" s="2">
        <f t="shared" si="8"/>
        <v>3400</v>
      </c>
      <c r="N14" s="2">
        <f t="shared" si="8"/>
        <v>3800</v>
      </c>
      <c r="O14" s="2">
        <f t="shared" si="8"/>
        <v>10000</v>
      </c>
      <c r="P14" s="2">
        <f t="shared" si="8"/>
        <v>10000</v>
      </c>
      <c r="Q14" s="2">
        <f t="shared" si="8"/>
        <v>10000</v>
      </c>
      <c r="R14" s="2">
        <f t="shared" si="8"/>
        <v>10000</v>
      </c>
      <c r="S14" s="2">
        <f t="shared" si="8"/>
        <v>10500</v>
      </c>
      <c r="U14" s="2"/>
    </row>
    <row r="15" spans="1:21" ht="15.75" customHeight="1" x14ac:dyDescent="0.15">
      <c r="A15" s="1" t="s">
        <v>13</v>
      </c>
      <c r="B15" s="2">
        <f t="shared" ref="B15:S15" si="9">B7+B8+B10+B11</f>
        <v>2200</v>
      </c>
      <c r="C15" s="2">
        <f t="shared" si="9"/>
        <v>2200</v>
      </c>
      <c r="D15" s="2">
        <f t="shared" si="9"/>
        <v>1700</v>
      </c>
      <c r="E15" s="2">
        <f t="shared" si="9"/>
        <v>1700</v>
      </c>
      <c r="F15" s="2">
        <f t="shared" si="9"/>
        <v>1700</v>
      </c>
      <c r="G15" s="2">
        <f t="shared" si="9"/>
        <v>1700</v>
      </c>
      <c r="H15" s="2">
        <f t="shared" si="9"/>
        <v>1700</v>
      </c>
      <c r="I15" s="2">
        <f t="shared" si="9"/>
        <v>1500</v>
      </c>
      <c r="J15" s="2">
        <f t="shared" si="9"/>
        <v>1000</v>
      </c>
      <c r="K15" s="2">
        <f t="shared" si="9"/>
        <v>1000</v>
      </c>
      <c r="L15" s="2">
        <f t="shared" si="9"/>
        <v>300</v>
      </c>
      <c r="M15" s="2">
        <f t="shared" si="9"/>
        <v>300</v>
      </c>
      <c r="N15" s="2">
        <f t="shared" si="9"/>
        <v>700</v>
      </c>
      <c r="O15" s="2">
        <f t="shared" si="9"/>
        <v>3200</v>
      </c>
      <c r="P15" s="2">
        <f t="shared" si="9"/>
        <v>3200</v>
      </c>
      <c r="Q15" s="2">
        <f t="shared" si="9"/>
        <v>3200</v>
      </c>
      <c r="R15" s="2">
        <f t="shared" si="9"/>
        <v>3200</v>
      </c>
      <c r="S15" s="2">
        <f t="shared" si="9"/>
        <v>3200</v>
      </c>
      <c r="U15" s="2"/>
    </row>
    <row r="17" spans="1:31" ht="15.75" customHeight="1" x14ac:dyDescent="0.15">
      <c r="K17" s="2">
        <f>SUM(B14:K14)</f>
        <v>69900</v>
      </c>
      <c r="T17" s="2">
        <f>SUM(L14:U14)</f>
        <v>61100</v>
      </c>
    </row>
    <row r="18" spans="1:31" ht="15.75" customHeight="1" x14ac:dyDescent="0.15">
      <c r="K18" s="2"/>
      <c r="T18" s="2"/>
    </row>
    <row r="19" spans="1:31" ht="15.75" customHeight="1" x14ac:dyDescent="0.15"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31" s="29" customFormat="1" ht="15.75" customHeight="1" x14ac:dyDescent="0.15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31" s="29" customFormat="1" ht="15.75" customHeight="1" x14ac:dyDescent="0.15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W21" s="6"/>
      <c r="X21" s="6"/>
      <c r="Y21" s="6"/>
      <c r="Z21" s="6"/>
      <c r="AA21" s="6"/>
      <c r="AB21" s="6"/>
      <c r="AC21" s="6"/>
      <c r="AD21" s="6"/>
      <c r="AE21" s="6"/>
    </row>
    <row r="22" spans="1:31" s="29" customFormat="1" ht="15.75" customHeight="1" x14ac:dyDescent="0.15">
      <c r="A22" s="77"/>
      <c r="B22" s="78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7"/>
      <c r="V22" s="77"/>
      <c r="W22" s="77"/>
      <c r="X22" s="77"/>
      <c r="Y22" s="77"/>
      <c r="Z22" s="77"/>
      <c r="AA22" s="77"/>
    </row>
    <row r="23" spans="1:31" ht="15.75" customHeight="1" x14ac:dyDescent="0.15">
      <c r="A23" s="15"/>
      <c r="B23" s="78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15"/>
      <c r="V23" s="15"/>
      <c r="W23" s="15"/>
      <c r="X23" s="15"/>
      <c r="Y23" s="15"/>
      <c r="Z23" s="15"/>
      <c r="AA23" s="15"/>
    </row>
    <row r="24" spans="1:31" ht="15.75" customHeight="1" x14ac:dyDescent="0.15">
      <c r="A24" s="15"/>
      <c r="B24" s="78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15"/>
      <c r="V24" s="15"/>
      <c r="W24" s="15"/>
      <c r="X24" s="15"/>
      <c r="Y24" s="15"/>
      <c r="Z24" s="15"/>
      <c r="AA24" s="15"/>
    </row>
    <row r="25" spans="1:31" ht="15.75" customHeight="1" x14ac:dyDescent="0.1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</sheetData>
  <sortState xmlns:xlrd2="http://schemas.microsoft.com/office/spreadsheetml/2017/richdata2" ref="A5:U12">
    <sortCondition ref="A5:A12"/>
  </sortState>
  <phoneticPr fontId="0" type="noConversion"/>
  <conditionalFormatting sqref="C5:S12">
    <cfRule type="cellIs" dxfId="10" priority="1" stopIfTrue="1" operator="notEqual">
      <formula>B5</formula>
    </cfRule>
  </conditionalFormatting>
  <conditionalFormatting sqref="U5:U12">
    <cfRule type="cellIs" dxfId="9" priority="3" stopIfTrue="1" operator="notEqual">
      <formula>S5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workbookViewId="0"/>
  </sheetViews>
  <sheetFormatPr baseColWidth="10" defaultColWidth="9.1640625" defaultRowHeight="15.75" customHeight="1" x14ac:dyDescent="0.15"/>
  <cols>
    <col min="1" max="1" width="9.1640625" style="3"/>
    <col min="2" max="2" width="14.1640625" style="3" bestFit="1" customWidth="1"/>
    <col min="3" max="3" width="11.1640625" style="3" customWidth="1"/>
    <col min="4" max="4" width="15.83203125" style="3" bestFit="1" customWidth="1"/>
    <col min="5" max="9" width="9.1640625" style="3"/>
    <col min="10" max="10" width="24.33203125" style="3" customWidth="1"/>
    <col min="11" max="16384" width="9.1640625" style="3"/>
  </cols>
  <sheetData>
    <row r="1" spans="1:4" ht="15.75" customHeight="1" x14ac:dyDescent="0.15">
      <c r="A1" s="12" t="s">
        <v>60</v>
      </c>
    </row>
    <row r="3" spans="1:4" s="7" customFormat="1" ht="15.75" customHeight="1" x14ac:dyDescent="0.15">
      <c r="A3" s="7" t="s">
        <v>6</v>
      </c>
      <c r="C3" s="7" t="s">
        <v>7</v>
      </c>
      <c r="D3" s="7" t="s">
        <v>61</v>
      </c>
    </row>
    <row r="4" spans="1:4" ht="15.75" customHeight="1" x14ac:dyDescent="0.15">
      <c r="A4" s="3" t="s">
        <v>48</v>
      </c>
      <c r="B4" s="1" t="s">
        <v>40</v>
      </c>
      <c r="C4" s="56">
        <v>1</v>
      </c>
      <c r="D4" s="3">
        <v>1000</v>
      </c>
    </row>
    <row r="5" spans="1:4" ht="15.75" customHeight="1" x14ac:dyDescent="0.15">
      <c r="A5" s="3" t="s">
        <v>58</v>
      </c>
      <c r="B5" s="3" t="s">
        <v>59</v>
      </c>
      <c r="C5" s="56">
        <v>0.16666666666666666</v>
      </c>
      <c r="D5" s="3">
        <v>1000</v>
      </c>
    </row>
    <row r="6" spans="1:4" ht="15.75" customHeight="1" x14ac:dyDescent="0.15">
      <c r="A6" s="3" t="s">
        <v>51</v>
      </c>
      <c r="B6" s="1" t="s">
        <v>45</v>
      </c>
      <c r="C6" s="56">
        <v>5</v>
      </c>
      <c r="D6" s="3">
        <v>1250</v>
      </c>
    </row>
    <row r="7" spans="1:4" ht="15.75" customHeight="1" x14ac:dyDescent="0.15">
      <c r="A7" s="3" t="s">
        <v>47</v>
      </c>
      <c r="B7" s="1" t="s">
        <v>39</v>
      </c>
      <c r="C7" s="56">
        <v>0.8</v>
      </c>
      <c r="D7" s="3">
        <v>500</v>
      </c>
    </row>
    <row r="8" spans="1:4" ht="15.75" customHeight="1" x14ac:dyDescent="0.15">
      <c r="A8" s="3" t="s">
        <v>33</v>
      </c>
      <c r="B8" s="1" t="s">
        <v>30</v>
      </c>
      <c r="C8" s="56">
        <v>0.8</v>
      </c>
      <c r="D8" s="3">
        <v>1500</v>
      </c>
    </row>
    <row r="9" spans="1:4" ht="15.75" customHeight="1" x14ac:dyDescent="0.15">
      <c r="A9" s="3" t="s">
        <v>50</v>
      </c>
      <c r="B9" s="1" t="s">
        <v>43</v>
      </c>
      <c r="C9" s="56">
        <v>2</v>
      </c>
      <c r="D9" s="3">
        <v>1000</v>
      </c>
    </row>
    <row r="10" spans="1:4" ht="15.75" customHeight="1" x14ac:dyDescent="0.15">
      <c r="A10" s="3" t="s">
        <v>34</v>
      </c>
      <c r="B10" s="1" t="s">
        <v>46</v>
      </c>
      <c r="C10" s="56">
        <v>3</v>
      </c>
      <c r="D10" s="3">
        <v>1000</v>
      </c>
    </row>
    <row r="11" spans="1:4" ht="15.75" customHeight="1" x14ac:dyDescent="0.15">
      <c r="A11" s="3" t="s">
        <v>35</v>
      </c>
      <c r="B11" s="1" t="s">
        <v>31</v>
      </c>
      <c r="C11" s="56">
        <v>4.5</v>
      </c>
      <c r="D11" s="3">
        <v>1200</v>
      </c>
    </row>
    <row r="12" spans="1:4" ht="15.75" customHeight="1" x14ac:dyDescent="0.15">
      <c r="A12" s="3" t="s">
        <v>49</v>
      </c>
      <c r="B12" s="1" t="s">
        <v>42</v>
      </c>
      <c r="C12" s="56">
        <v>4</v>
      </c>
      <c r="D12" s="3">
        <v>500</v>
      </c>
    </row>
    <row r="13" spans="1:4" ht="15.75" customHeight="1" x14ac:dyDescent="0.15">
      <c r="A13" s="3" t="s">
        <v>32</v>
      </c>
      <c r="B13" s="1" t="s">
        <v>44</v>
      </c>
      <c r="C13" s="56">
        <v>0.5</v>
      </c>
      <c r="D13" s="3">
        <v>500</v>
      </c>
    </row>
    <row r="14" spans="1:4" ht="15.75" customHeight="1" x14ac:dyDescent="0.15">
      <c r="A14" s="3" t="s">
        <v>52</v>
      </c>
      <c r="B14" s="1" t="s">
        <v>41</v>
      </c>
      <c r="C14" s="56">
        <v>1</v>
      </c>
      <c r="D14" s="3">
        <v>2000</v>
      </c>
    </row>
    <row r="15" spans="1:4" ht="15.75" customHeight="1" x14ac:dyDescent="0.15">
      <c r="A15" s="3" t="s">
        <v>56</v>
      </c>
      <c r="B15" s="3" t="s">
        <v>57</v>
      </c>
      <c r="C15" s="56">
        <v>4.5</v>
      </c>
      <c r="D15" s="3">
        <v>2500</v>
      </c>
    </row>
    <row r="16" spans="1:4" ht="15.75" customHeight="1" x14ac:dyDescent="0.15">
      <c r="A16" s="3" t="s">
        <v>37</v>
      </c>
      <c r="B16" s="1" t="s">
        <v>29</v>
      </c>
      <c r="C16" s="56">
        <v>1</v>
      </c>
      <c r="D16" s="3">
        <v>1000</v>
      </c>
    </row>
    <row r="17" spans="1:4" ht="15.75" customHeight="1" x14ac:dyDescent="0.15">
      <c r="A17" s="3" t="s">
        <v>36</v>
      </c>
      <c r="B17" s="1" t="s">
        <v>28</v>
      </c>
      <c r="C17" s="56">
        <v>1</v>
      </c>
      <c r="D17" s="3">
        <v>7000</v>
      </c>
    </row>
  </sheetData>
  <sortState xmlns:xlrd2="http://schemas.microsoft.com/office/spreadsheetml/2017/richdata2" ref="A4:D17">
    <sortCondition ref="A4:A17"/>
  </sortState>
  <pageMargins left="0.75" right="0.75" top="1" bottom="1" header="0.5" footer="0.5"/>
  <pageSetup orientation="portrait" verticalDpi="0" r:id="rId1"/>
  <headerFooter alignWithMargins="0">
    <oddFooter>&amp;L&amp;F&amp;R&amp;D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97"/>
  <sheetViews>
    <sheetView workbookViewId="0"/>
  </sheetViews>
  <sheetFormatPr baseColWidth="10" defaultColWidth="9.1640625" defaultRowHeight="15.75" customHeight="1" x14ac:dyDescent="0.15"/>
  <cols>
    <col min="1" max="1" width="9" style="3" customWidth="1"/>
    <col min="2" max="2" width="14.1640625" style="3" bestFit="1" customWidth="1"/>
    <col min="3" max="16384" width="9.1640625" style="3"/>
  </cols>
  <sheetData>
    <row r="1" spans="1:23" ht="15.75" customHeight="1" x14ac:dyDescent="0.15">
      <c r="A1" s="12" t="s">
        <v>53</v>
      </c>
    </row>
    <row r="3" spans="1:23" s="7" customFormat="1" ht="15.75" customHeight="1" x14ac:dyDescent="0.15">
      <c r="A3" s="7" t="s">
        <v>8</v>
      </c>
      <c r="B3" s="7" t="s">
        <v>27</v>
      </c>
      <c r="C3" s="9" t="s">
        <v>13</v>
      </c>
      <c r="D3" s="8">
        <v>44256</v>
      </c>
      <c r="E3" s="8">
        <v>44287</v>
      </c>
      <c r="F3" s="8">
        <v>44317</v>
      </c>
      <c r="G3" s="8">
        <v>44348</v>
      </c>
      <c r="H3" s="8">
        <v>44378</v>
      </c>
      <c r="I3" s="8">
        <v>44409</v>
      </c>
      <c r="J3" s="8">
        <v>44440</v>
      </c>
      <c r="K3" s="8">
        <v>44470</v>
      </c>
      <c r="L3" s="8">
        <v>44501</v>
      </c>
      <c r="M3" s="8">
        <v>44531</v>
      </c>
      <c r="N3" s="8">
        <v>44562</v>
      </c>
      <c r="O3" s="8">
        <v>44593</v>
      </c>
      <c r="P3" s="8">
        <v>44621</v>
      </c>
      <c r="Q3" s="8">
        <v>44652</v>
      </c>
      <c r="R3" s="8">
        <v>44682</v>
      </c>
      <c r="S3" s="8">
        <v>44713</v>
      </c>
      <c r="T3" s="8">
        <v>44743</v>
      </c>
      <c r="U3" s="8">
        <v>44774</v>
      </c>
      <c r="W3" s="8"/>
    </row>
    <row r="4" spans="1:23" ht="15.75" customHeight="1" x14ac:dyDescent="0.15">
      <c r="A4" s="3" t="s">
        <v>48</v>
      </c>
      <c r="B4" s="1" t="s">
        <v>40</v>
      </c>
      <c r="C4" s="10">
        <v>0.25</v>
      </c>
      <c r="D4" s="2">
        <v>178.20000000000002</v>
      </c>
      <c r="E4" s="2">
        <v>263.7765</v>
      </c>
      <c r="F4" s="2">
        <v>383.45400000000001</v>
      </c>
      <c r="G4" s="2">
        <v>616.24800000000005</v>
      </c>
      <c r="H4" s="2">
        <v>537.03</v>
      </c>
      <c r="I4" s="2">
        <v>523.54349999999999</v>
      </c>
      <c r="J4" s="2">
        <v>810.89100000000008</v>
      </c>
      <c r="K4" s="2">
        <v>812.34899999999993</v>
      </c>
      <c r="L4" s="2">
        <v>342.87299999999999</v>
      </c>
      <c r="M4" s="2">
        <v>183.95099999999999</v>
      </c>
      <c r="N4" s="2">
        <v>183.95099999999999</v>
      </c>
      <c r="O4" s="2">
        <v>147.16080000000002</v>
      </c>
      <c r="P4" s="2">
        <v>267.3</v>
      </c>
      <c r="Q4" s="2">
        <v>395.66475000000008</v>
      </c>
      <c r="R4" s="2">
        <v>575.18100000000004</v>
      </c>
      <c r="S4" s="2">
        <v>924.37199999999996</v>
      </c>
      <c r="T4" s="2">
        <v>805.54500000000007</v>
      </c>
      <c r="U4" s="2">
        <v>785.31524999999999</v>
      </c>
      <c r="W4" s="2"/>
    </row>
    <row r="5" spans="1:23" ht="15.75" customHeight="1" x14ac:dyDescent="0.15">
      <c r="A5" s="3" t="s">
        <v>58</v>
      </c>
      <c r="B5" s="3" t="s">
        <v>59</v>
      </c>
      <c r="C5" s="10">
        <v>0.1</v>
      </c>
      <c r="D5" s="2">
        <v>36</v>
      </c>
      <c r="E5" s="2">
        <v>36</v>
      </c>
      <c r="F5" s="2">
        <v>54</v>
      </c>
      <c r="G5" s="2">
        <v>27</v>
      </c>
      <c r="H5" s="2">
        <v>45</v>
      </c>
      <c r="I5" s="2">
        <v>54</v>
      </c>
      <c r="J5" s="2">
        <v>90</v>
      </c>
      <c r="K5" s="2">
        <v>135</v>
      </c>
      <c r="L5" s="2">
        <v>135</v>
      </c>
      <c r="M5" s="2">
        <v>108</v>
      </c>
      <c r="N5" s="2">
        <v>72</v>
      </c>
      <c r="O5" s="2">
        <v>72</v>
      </c>
      <c r="P5" s="2">
        <v>63</v>
      </c>
      <c r="Q5" s="2">
        <v>54</v>
      </c>
      <c r="R5" s="2">
        <v>36</v>
      </c>
      <c r="S5" s="2">
        <v>27</v>
      </c>
      <c r="T5" s="2">
        <v>18</v>
      </c>
      <c r="U5" s="2">
        <v>18</v>
      </c>
      <c r="W5" s="2"/>
    </row>
    <row r="6" spans="1:23" ht="15.75" customHeight="1" x14ac:dyDescent="0.15">
      <c r="A6" s="3" t="s">
        <v>51</v>
      </c>
      <c r="B6" s="1" t="s">
        <v>45</v>
      </c>
      <c r="C6" s="10">
        <v>0.15</v>
      </c>
      <c r="D6" s="2">
        <v>77.399999999999991</v>
      </c>
      <c r="E6" s="2">
        <v>194.47200000000001</v>
      </c>
      <c r="F6" s="2">
        <v>281.37599999999998</v>
      </c>
      <c r="G6" s="2">
        <v>401.11199999999997</v>
      </c>
      <c r="H6" s="2">
        <v>614.73599999999999</v>
      </c>
      <c r="I6" s="2">
        <v>826.99200000000008</v>
      </c>
      <c r="J6" s="2">
        <v>684.50400000000013</v>
      </c>
      <c r="K6" s="2">
        <v>510.98399999999998</v>
      </c>
      <c r="L6" s="2">
        <v>246.67199999999997</v>
      </c>
      <c r="M6" s="2">
        <v>141.91200000000001</v>
      </c>
      <c r="N6" s="2">
        <v>141.91200000000001</v>
      </c>
      <c r="O6" s="2">
        <v>113.5296</v>
      </c>
      <c r="P6" s="2">
        <v>116.10000000000001</v>
      </c>
      <c r="Q6" s="2">
        <v>291.70799999999997</v>
      </c>
      <c r="R6" s="2">
        <v>422.06400000000002</v>
      </c>
      <c r="S6" s="2">
        <v>601.66800000000001</v>
      </c>
      <c r="T6" s="2">
        <v>922.10399999999993</v>
      </c>
      <c r="U6" s="2">
        <v>1240.4879999999998</v>
      </c>
      <c r="W6" s="2"/>
    </row>
    <row r="7" spans="1:23" ht="15.75" customHeight="1" x14ac:dyDescent="0.15">
      <c r="A7" s="3" t="s">
        <v>47</v>
      </c>
      <c r="B7" s="1" t="s">
        <v>39</v>
      </c>
      <c r="C7" s="10">
        <v>0.3</v>
      </c>
      <c r="D7" s="2">
        <v>73.8</v>
      </c>
      <c r="E7" s="2">
        <v>106.848</v>
      </c>
      <c r="F7" s="2">
        <v>298.72800000000001</v>
      </c>
      <c r="G7" s="2">
        <v>564.048</v>
      </c>
      <c r="H7" s="2">
        <v>298.36799999999999</v>
      </c>
      <c r="I7" s="2">
        <v>221.11200000000002</v>
      </c>
      <c r="J7" s="2">
        <v>209.73599999999999</v>
      </c>
      <c r="K7" s="2">
        <v>174.31200000000001</v>
      </c>
      <c r="L7" s="2">
        <v>79.236000000000004</v>
      </c>
      <c r="M7" s="2">
        <v>57.743999999999993</v>
      </c>
      <c r="N7" s="2">
        <v>57.743999999999993</v>
      </c>
      <c r="O7" s="2">
        <v>46.195200000000007</v>
      </c>
      <c r="P7" s="2">
        <v>110.7</v>
      </c>
      <c r="Q7" s="2">
        <v>160.27199999999999</v>
      </c>
      <c r="R7" s="2">
        <v>448.09199999999998</v>
      </c>
      <c r="S7" s="2">
        <v>846.07200000000012</v>
      </c>
      <c r="T7" s="2">
        <v>447.55199999999996</v>
      </c>
      <c r="U7" s="2">
        <v>331.66799999999995</v>
      </c>
      <c r="W7" s="2"/>
    </row>
    <row r="8" spans="1:23" ht="15.75" customHeight="1" x14ac:dyDescent="0.15">
      <c r="A8" s="3" t="s">
        <v>33</v>
      </c>
      <c r="B8" s="1" t="s">
        <v>30</v>
      </c>
      <c r="C8" s="10">
        <v>0.15</v>
      </c>
      <c r="D8" s="2">
        <v>288</v>
      </c>
      <c r="E8" s="2">
        <v>491.56874999999997</v>
      </c>
      <c r="F8" s="2">
        <v>605.57624999999996</v>
      </c>
      <c r="G8" s="2">
        <v>938.78999999999985</v>
      </c>
      <c r="H8" s="2">
        <v>1179.86625</v>
      </c>
      <c r="I8" s="2">
        <v>1185.3337499999998</v>
      </c>
      <c r="J8" s="2">
        <v>969.2662499999999</v>
      </c>
      <c r="K8" s="2">
        <v>944.35874999999999</v>
      </c>
      <c r="L8" s="2">
        <v>573.4799999999999</v>
      </c>
      <c r="M8" s="2">
        <v>323.69624999999996</v>
      </c>
      <c r="N8" s="2">
        <v>323.69624999999996</v>
      </c>
      <c r="O8" s="2">
        <v>258.95699999999999</v>
      </c>
      <c r="P8" s="2">
        <v>432</v>
      </c>
      <c r="Q8" s="2">
        <v>737.35312499999998</v>
      </c>
      <c r="R8" s="2">
        <v>908.36437499999988</v>
      </c>
      <c r="S8" s="2">
        <v>1408.1849999999997</v>
      </c>
      <c r="T8" s="2">
        <v>1769.7993750000001</v>
      </c>
      <c r="U8" s="2">
        <v>1778.0006249999999</v>
      </c>
      <c r="W8" s="2"/>
    </row>
    <row r="9" spans="1:23" ht="15.75" customHeight="1" x14ac:dyDescent="0.15">
      <c r="A9" s="3" t="s">
        <v>50</v>
      </c>
      <c r="B9" s="1" t="s">
        <v>43</v>
      </c>
      <c r="C9" s="10">
        <v>0.2</v>
      </c>
      <c r="D9" s="2">
        <v>240.75</v>
      </c>
      <c r="E9" s="2">
        <v>611.82000000000005</v>
      </c>
      <c r="F9" s="2">
        <v>843.75</v>
      </c>
      <c r="G9" s="2">
        <v>1208.97</v>
      </c>
      <c r="H9" s="2">
        <v>1727.55</v>
      </c>
      <c r="I9" s="2">
        <v>1898.7300000000002</v>
      </c>
      <c r="J9" s="2">
        <v>2063.79</v>
      </c>
      <c r="K9" s="2">
        <v>1567.1700000000003</v>
      </c>
      <c r="L9" s="2">
        <v>724.1400000000001</v>
      </c>
      <c r="M9" s="2">
        <v>369.36000000000007</v>
      </c>
      <c r="N9" s="2">
        <v>369.36000000000007</v>
      </c>
      <c r="O9" s="2">
        <v>295.48800000000006</v>
      </c>
      <c r="P9" s="2">
        <v>361.125</v>
      </c>
      <c r="Q9" s="2">
        <v>917.73</v>
      </c>
      <c r="R9" s="2">
        <v>1265.625</v>
      </c>
      <c r="S9" s="2">
        <v>1813.4550000000004</v>
      </c>
      <c r="T9" s="2">
        <v>2591.3250000000003</v>
      </c>
      <c r="U9" s="2">
        <v>2848.0950000000003</v>
      </c>
      <c r="W9" s="2"/>
    </row>
    <row r="10" spans="1:23" ht="15.75" customHeight="1" x14ac:dyDescent="0.15">
      <c r="A10" s="3" t="s">
        <v>34</v>
      </c>
      <c r="B10" s="1" t="s">
        <v>46</v>
      </c>
      <c r="C10" s="10">
        <v>0.1</v>
      </c>
      <c r="D10" s="2">
        <v>31.5</v>
      </c>
      <c r="E10" s="2">
        <v>77.220000000000013</v>
      </c>
      <c r="F10" s="2">
        <v>172.44000000000003</v>
      </c>
      <c r="G10" s="2">
        <v>171.09</v>
      </c>
      <c r="H10" s="2">
        <v>213.21</v>
      </c>
      <c r="I10" s="2">
        <v>255.6</v>
      </c>
      <c r="J10" s="2">
        <v>301.59000000000003</v>
      </c>
      <c r="K10" s="2">
        <v>393.21000000000004</v>
      </c>
      <c r="L10" s="2">
        <v>169.47000000000003</v>
      </c>
      <c r="M10" s="2">
        <v>113.49000000000001</v>
      </c>
      <c r="N10" s="2">
        <v>113.49000000000001</v>
      </c>
      <c r="O10" s="2">
        <v>90.792000000000002</v>
      </c>
      <c r="P10" s="2">
        <v>47.25</v>
      </c>
      <c r="Q10" s="2">
        <v>115.83000000000001</v>
      </c>
      <c r="R10" s="2">
        <v>258.66000000000003</v>
      </c>
      <c r="S10" s="2">
        <v>256.63500000000005</v>
      </c>
      <c r="T10" s="2">
        <v>319.81500000000005</v>
      </c>
      <c r="U10" s="2">
        <v>383.40000000000003</v>
      </c>
      <c r="W10" s="2"/>
    </row>
    <row r="11" spans="1:23" ht="15.75" customHeight="1" x14ac:dyDescent="0.15">
      <c r="A11" s="3" t="s">
        <v>35</v>
      </c>
      <c r="B11" s="1" t="s">
        <v>31</v>
      </c>
      <c r="C11" s="10">
        <v>0.15</v>
      </c>
      <c r="D11" s="2">
        <v>30.599999999999998</v>
      </c>
      <c r="E11" s="2">
        <v>34.128</v>
      </c>
      <c r="F11" s="2">
        <v>26.891999999999999</v>
      </c>
      <c r="G11" s="2">
        <v>34.721999999999994</v>
      </c>
      <c r="H11" s="2">
        <v>49.302</v>
      </c>
      <c r="I11" s="2">
        <v>59.508000000000003</v>
      </c>
      <c r="J11" s="2">
        <v>51.515999999999991</v>
      </c>
      <c r="K11" s="2">
        <v>91.908000000000001</v>
      </c>
      <c r="L11" s="2">
        <v>86.399999999999991</v>
      </c>
      <c r="M11" s="2">
        <v>58.913999999999994</v>
      </c>
      <c r="N11" s="2">
        <v>58.913999999999994</v>
      </c>
      <c r="O11" s="2">
        <v>47.1312</v>
      </c>
      <c r="P11" s="2">
        <v>45.9</v>
      </c>
      <c r="Q11" s="2">
        <v>51.192000000000007</v>
      </c>
      <c r="R11" s="2">
        <v>40.338000000000001</v>
      </c>
      <c r="S11" s="2">
        <v>52.082999999999998</v>
      </c>
      <c r="T11" s="2">
        <v>73.953000000000003</v>
      </c>
      <c r="U11" s="2">
        <v>89.262000000000015</v>
      </c>
      <c r="W11" s="2"/>
    </row>
    <row r="12" spans="1:23" ht="15.75" customHeight="1" x14ac:dyDescent="0.15">
      <c r="A12" s="3" t="s">
        <v>49</v>
      </c>
      <c r="B12" s="1" t="s">
        <v>42</v>
      </c>
      <c r="C12" s="10">
        <v>0.2</v>
      </c>
      <c r="D12" s="2">
        <v>79.2</v>
      </c>
      <c r="E12" s="2">
        <v>519.21</v>
      </c>
      <c r="F12" s="2">
        <v>991.35899999999992</v>
      </c>
      <c r="G12" s="2">
        <v>1517.454</v>
      </c>
      <c r="H12" s="2">
        <v>1787.508</v>
      </c>
      <c r="I12" s="2">
        <v>1479.5459999999998</v>
      </c>
      <c r="J12" s="2">
        <v>1400.2470000000001</v>
      </c>
      <c r="K12" s="2">
        <v>1173.0419999999999</v>
      </c>
      <c r="L12" s="2">
        <v>535.0859999999999</v>
      </c>
      <c r="M12" s="2">
        <v>308.12400000000002</v>
      </c>
      <c r="N12" s="2">
        <v>308.12400000000002</v>
      </c>
      <c r="O12" s="2">
        <v>246.49920000000003</v>
      </c>
      <c r="P12" s="2">
        <v>118.8</v>
      </c>
      <c r="Q12" s="2">
        <v>778.81499999999994</v>
      </c>
      <c r="R12" s="2">
        <v>1487.0384999999999</v>
      </c>
      <c r="S12" s="2">
        <v>2276.181</v>
      </c>
      <c r="T12" s="2">
        <v>2681.2620000000002</v>
      </c>
      <c r="U12" s="2">
        <v>2219.319</v>
      </c>
      <c r="W12" s="2"/>
    </row>
    <row r="13" spans="1:23" ht="15.75" customHeight="1" x14ac:dyDescent="0.15">
      <c r="A13" s="3" t="s">
        <v>32</v>
      </c>
      <c r="B13" s="1" t="s">
        <v>44</v>
      </c>
      <c r="C13" s="10">
        <v>0.15</v>
      </c>
      <c r="D13" s="2">
        <v>79.2</v>
      </c>
      <c r="E13" s="2">
        <v>258.11099999999999</v>
      </c>
      <c r="F13" s="2">
        <v>395.76600000000002</v>
      </c>
      <c r="G13" s="2">
        <v>499.90500000000003</v>
      </c>
      <c r="H13" s="2">
        <v>964.34100000000001</v>
      </c>
      <c r="I13" s="2">
        <v>1072.4490000000001</v>
      </c>
      <c r="J13" s="2">
        <v>1277.0729999999999</v>
      </c>
      <c r="K13" s="2">
        <v>769.4190000000001</v>
      </c>
      <c r="L13" s="2">
        <v>382.28400000000005</v>
      </c>
      <c r="M13" s="2">
        <v>265.73400000000004</v>
      </c>
      <c r="N13" s="2">
        <v>265.73400000000004</v>
      </c>
      <c r="O13" s="2">
        <v>212.58720000000005</v>
      </c>
      <c r="P13" s="2">
        <v>118.8</v>
      </c>
      <c r="Q13" s="2">
        <v>387.16650000000004</v>
      </c>
      <c r="R13" s="2">
        <v>593.64900000000011</v>
      </c>
      <c r="S13" s="2">
        <v>749.85750000000007</v>
      </c>
      <c r="T13" s="2">
        <v>1446.5115000000001</v>
      </c>
      <c r="U13" s="2">
        <v>1608.6735000000003</v>
      </c>
      <c r="W13" s="2"/>
    </row>
    <row r="14" spans="1:23" ht="15.75" customHeight="1" x14ac:dyDescent="0.15">
      <c r="A14" s="3" t="s">
        <v>52</v>
      </c>
      <c r="B14" s="1" t="s">
        <v>41</v>
      </c>
      <c r="C14" s="10">
        <v>0.3</v>
      </c>
      <c r="D14" s="2">
        <v>153</v>
      </c>
      <c r="E14" s="2">
        <v>374.21999999999997</v>
      </c>
      <c r="F14" s="2">
        <v>656.34299999999996</v>
      </c>
      <c r="G14" s="2">
        <v>1191.3480000000002</v>
      </c>
      <c r="H14" s="2">
        <v>1384.9380000000001</v>
      </c>
      <c r="I14" s="2">
        <v>1165.1849999999997</v>
      </c>
      <c r="J14" s="2">
        <v>1057.1309999999999</v>
      </c>
      <c r="K14" s="2">
        <v>992.00699999999995</v>
      </c>
      <c r="L14" s="2">
        <v>492.15600000000006</v>
      </c>
      <c r="M14" s="2">
        <v>810.40499999999986</v>
      </c>
      <c r="N14" s="2">
        <v>450</v>
      </c>
      <c r="O14" s="2">
        <v>360</v>
      </c>
      <c r="P14" s="2">
        <v>229.5</v>
      </c>
      <c r="Q14" s="2">
        <v>561.33000000000004</v>
      </c>
      <c r="R14" s="2">
        <v>984.5145</v>
      </c>
      <c r="S14" s="2">
        <v>1787.0219999999999</v>
      </c>
      <c r="T14" s="2">
        <v>2077.4070000000002</v>
      </c>
      <c r="U14" s="2">
        <v>1747.7774999999999</v>
      </c>
      <c r="W14" s="2"/>
    </row>
    <row r="15" spans="1:23" ht="15.75" customHeight="1" x14ac:dyDescent="0.15">
      <c r="A15" s="3" t="s">
        <v>56</v>
      </c>
      <c r="B15" s="3" t="s">
        <v>57</v>
      </c>
      <c r="C15" s="10">
        <v>0.3</v>
      </c>
      <c r="D15" s="2">
        <v>45</v>
      </c>
      <c r="E15" s="2">
        <v>104.571</v>
      </c>
      <c r="F15" s="2">
        <v>166.53599999999997</v>
      </c>
      <c r="G15" s="2">
        <v>331.77599999999995</v>
      </c>
      <c r="H15" s="2">
        <v>285.12</v>
      </c>
      <c r="I15" s="2">
        <v>296.05499999999995</v>
      </c>
      <c r="J15" s="2">
        <v>335.745</v>
      </c>
      <c r="K15" s="2">
        <v>203.148</v>
      </c>
      <c r="L15" s="2">
        <v>110.07899999999999</v>
      </c>
      <c r="M15" s="2">
        <v>86.507999999999981</v>
      </c>
      <c r="N15" s="2">
        <v>86.507999999999981</v>
      </c>
      <c r="O15" s="2">
        <v>69.206400000000002</v>
      </c>
      <c r="P15" s="2">
        <v>67.5</v>
      </c>
      <c r="Q15" s="2">
        <v>156.85649999999998</v>
      </c>
      <c r="R15" s="2">
        <v>249.804</v>
      </c>
      <c r="S15" s="2">
        <v>497.66400000000004</v>
      </c>
      <c r="T15" s="2">
        <v>427.68</v>
      </c>
      <c r="U15" s="2">
        <v>444.08249999999992</v>
      </c>
      <c r="W15" s="2"/>
    </row>
    <row r="16" spans="1:23" ht="15.75" customHeight="1" x14ac:dyDescent="0.15">
      <c r="A16" s="3" t="s">
        <v>37</v>
      </c>
      <c r="B16" s="1" t="s">
        <v>29</v>
      </c>
      <c r="C16" s="10">
        <v>0.15</v>
      </c>
      <c r="D16" s="2">
        <v>36</v>
      </c>
      <c r="E16" s="2">
        <v>331.12800000000004</v>
      </c>
      <c r="F16" s="2">
        <v>488.01600000000002</v>
      </c>
      <c r="G16" s="2">
        <v>616.68000000000006</v>
      </c>
      <c r="H16" s="2">
        <v>982.15200000000004</v>
      </c>
      <c r="I16" s="2">
        <v>1147.1760000000002</v>
      </c>
      <c r="J16" s="2">
        <v>1290.2400000000002</v>
      </c>
      <c r="K16" s="2">
        <v>955.51200000000006</v>
      </c>
      <c r="L16" s="2">
        <v>405.21600000000001</v>
      </c>
      <c r="M16" s="2">
        <v>258.33600000000001</v>
      </c>
      <c r="N16" s="2">
        <v>258.33600000000001</v>
      </c>
      <c r="O16" s="2">
        <v>206.66880000000003</v>
      </c>
      <c r="P16" s="2">
        <v>54</v>
      </c>
      <c r="Q16" s="2">
        <v>496.69200000000001</v>
      </c>
      <c r="R16" s="2">
        <v>732.024</v>
      </c>
      <c r="S16" s="2">
        <v>925.0200000000001</v>
      </c>
      <c r="T16" s="2">
        <v>1473.2280000000001</v>
      </c>
      <c r="U16" s="2">
        <v>1720.7639999999999</v>
      </c>
      <c r="W16" s="2"/>
    </row>
    <row r="17" spans="1:28" ht="15.75" customHeight="1" x14ac:dyDescent="0.15">
      <c r="A17" s="3" t="s">
        <v>36</v>
      </c>
      <c r="B17" s="1" t="s">
        <v>28</v>
      </c>
      <c r="C17" s="10">
        <v>0.2</v>
      </c>
      <c r="D17" s="2">
        <v>51.75</v>
      </c>
      <c r="E17" s="2">
        <v>102.33000000000001</v>
      </c>
      <c r="F17" s="2">
        <v>119.54249999999999</v>
      </c>
      <c r="G17" s="2">
        <v>189.94499999999996</v>
      </c>
      <c r="H17" s="2">
        <v>304.15500000000003</v>
      </c>
      <c r="I17" s="2">
        <v>367.67250000000001</v>
      </c>
      <c r="J17" s="2">
        <v>389.00249999999994</v>
      </c>
      <c r="K17" s="2">
        <v>287.48250000000002</v>
      </c>
      <c r="L17" s="2">
        <v>180.15749999999997</v>
      </c>
      <c r="M17" s="2">
        <v>118.5975</v>
      </c>
      <c r="N17" s="2">
        <v>118.5975</v>
      </c>
      <c r="O17" s="2">
        <v>94.878000000000014</v>
      </c>
      <c r="P17" s="2">
        <v>77.625</v>
      </c>
      <c r="Q17" s="2">
        <v>153.495</v>
      </c>
      <c r="R17" s="2">
        <v>179.31374999999997</v>
      </c>
      <c r="S17" s="2">
        <v>284.91750000000002</v>
      </c>
      <c r="T17" s="2">
        <v>456.23249999999996</v>
      </c>
      <c r="U17" s="2">
        <v>551.50874999999985</v>
      </c>
      <c r="W17" s="2"/>
    </row>
    <row r="18" spans="1:28" ht="15.75" customHeight="1" x14ac:dyDescent="0.1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8" s="5" customFormat="1" ht="15.75" customHeight="1" x14ac:dyDescent="0.15">
      <c r="C19" s="5" t="s">
        <v>38</v>
      </c>
      <c r="D19" s="6">
        <f>SUM(D4:D17)</f>
        <v>1400.4</v>
      </c>
      <c r="E19" s="6">
        <f>SUM(E4:E17)</f>
        <v>3505.4032499999998</v>
      </c>
      <c r="F19" s="6">
        <f t="shared" ref="F19:U19" si="0">SUM(F4:F17)</f>
        <v>5483.7787499999995</v>
      </c>
      <c r="G19" s="6">
        <f t="shared" si="0"/>
        <v>8309.0879999999997</v>
      </c>
      <c r="H19" s="6">
        <f t="shared" si="0"/>
        <v>10373.276250000001</v>
      </c>
      <c r="I19" s="6">
        <f t="shared" si="0"/>
        <v>10552.902750000001</v>
      </c>
      <c r="J19" s="6">
        <f t="shared" si="0"/>
        <v>10930.731750000001</v>
      </c>
      <c r="K19" s="6">
        <f t="shared" si="0"/>
        <v>9009.9022499999992</v>
      </c>
      <c r="L19" s="6">
        <f t="shared" si="0"/>
        <v>4462.2495000000008</v>
      </c>
      <c r="M19" s="6">
        <f t="shared" si="0"/>
        <v>3204.7717499999999</v>
      </c>
      <c r="N19" s="6">
        <f t="shared" si="0"/>
        <v>2808.3667500000001</v>
      </c>
      <c r="O19" s="6">
        <f t="shared" si="0"/>
        <v>2261.0934000000002</v>
      </c>
      <c r="P19" s="6">
        <f t="shared" si="0"/>
        <v>2109.6</v>
      </c>
      <c r="Q19" s="6">
        <f t="shared" si="0"/>
        <v>5258.104875</v>
      </c>
      <c r="R19" s="6">
        <f t="shared" si="0"/>
        <v>8180.6681250000011</v>
      </c>
      <c r="S19" s="6">
        <f t="shared" si="0"/>
        <v>12450.132000000001</v>
      </c>
      <c r="T19" s="6">
        <f t="shared" si="0"/>
        <v>15510.414375000002</v>
      </c>
      <c r="U19" s="6">
        <f t="shared" si="0"/>
        <v>15766.354125</v>
      </c>
      <c r="V19" s="6"/>
    </row>
    <row r="20" spans="1:28" ht="15.75" customHeight="1" x14ac:dyDescent="0.15">
      <c r="C20" s="5" t="s">
        <v>54</v>
      </c>
      <c r="D20" s="6">
        <f>SUMPRODUCT($C4:$C15,D4:D15)</f>
        <v>268.11</v>
      </c>
      <c r="E20" s="6">
        <f t="shared" ref="E20:U20" si="1">SUMPRODUCT($C4:$C15,E4:E15)</f>
        <v>625.90578749999997</v>
      </c>
      <c r="F20" s="6">
        <f t="shared" si="1"/>
        <v>1018.4529375000001</v>
      </c>
      <c r="G20" s="6">
        <f t="shared" si="1"/>
        <v>1626.48675</v>
      </c>
      <c r="H20" s="6">
        <f t="shared" si="1"/>
        <v>1874.8546875000002</v>
      </c>
      <c r="I20" s="6">
        <f t="shared" si="1"/>
        <v>1813.8490874999998</v>
      </c>
      <c r="J20" s="6">
        <f t="shared" si="1"/>
        <v>1862.8266375000003</v>
      </c>
      <c r="K20" s="6">
        <f t="shared" si="1"/>
        <v>1562.2912125</v>
      </c>
      <c r="L20" s="6">
        <f t="shared" si="1"/>
        <v>765.77714999999989</v>
      </c>
      <c r="M20" s="6">
        <f t="shared" si="1"/>
        <v>608.56908749999991</v>
      </c>
      <c r="N20" s="6">
        <f t="shared" si="1"/>
        <v>496.84758749999997</v>
      </c>
      <c r="O20" s="6">
        <f t="shared" si="1"/>
        <v>398.91807000000006</v>
      </c>
      <c r="P20" s="6">
        <f t="shared" si="1"/>
        <v>403.06500000000005</v>
      </c>
      <c r="Q20" s="6">
        <f t="shared" si="1"/>
        <v>938.85868125000013</v>
      </c>
      <c r="R20" s="6">
        <f t="shared" si="1"/>
        <v>1523.1794062500001</v>
      </c>
      <c r="S20" s="6">
        <f t="shared" si="1"/>
        <v>2438.3801249999997</v>
      </c>
      <c r="T20" s="6">
        <f t="shared" si="1"/>
        <v>2807.3320312500005</v>
      </c>
      <c r="U20" s="6">
        <f t="shared" si="1"/>
        <v>2714.4736312499995</v>
      </c>
      <c r="V20" s="6"/>
    </row>
    <row r="22" spans="1:28" ht="15.75" customHeight="1" x14ac:dyDescent="0.15">
      <c r="C22" s="5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</row>
    <row r="23" spans="1:28" ht="15.75" customHeight="1" x14ac:dyDescent="0.15">
      <c r="C23" s="5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</row>
    <row r="24" spans="1:28" ht="15.75" customHeight="1" x14ac:dyDescent="0.15">
      <c r="F24" s="27"/>
      <c r="G24" s="27"/>
      <c r="H24" s="27"/>
      <c r="I24" s="27"/>
      <c r="J24" s="27"/>
      <c r="K24" s="27"/>
    </row>
    <row r="25" spans="1:28" s="5" customFormat="1" ht="15.75" customHeight="1" x14ac:dyDescent="0.15"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</row>
    <row r="26" spans="1:28" s="5" customFormat="1" ht="15.75" customHeight="1" x14ac:dyDescent="0.15"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</row>
    <row r="27" spans="1:28" ht="15.75" customHeight="1" x14ac:dyDescent="0.15">
      <c r="C27" s="5"/>
      <c r="E27" s="28"/>
      <c r="F27" s="27"/>
      <c r="G27" s="27"/>
      <c r="H27" s="27"/>
      <c r="I27" s="27"/>
      <c r="J27" s="27"/>
      <c r="K27" s="27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8" ht="15.75" customHeight="1" x14ac:dyDescent="0.15">
      <c r="F28" s="27"/>
      <c r="G28" s="27"/>
      <c r="H28" s="27"/>
      <c r="I28" s="27"/>
      <c r="J28" s="27"/>
      <c r="K28" s="27"/>
    </row>
    <row r="29" spans="1:28" ht="15.75" customHeight="1" x14ac:dyDescent="0.15">
      <c r="F29" s="27"/>
      <c r="G29" s="27"/>
      <c r="H29" s="27"/>
      <c r="I29" s="27"/>
      <c r="J29" s="27"/>
      <c r="K29" s="27"/>
    </row>
    <row r="30" spans="1:28" ht="15.75" customHeight="1" x14ac:dyDescent="0.15">
      <c r="D30" s="59"/>
      <c r="E30" s="59"/>
      <c r="F30" s="27"/>
      <c r="G30" s="27"/>
      <c r="H30" s="27"/>
      <c r="I30" s="27"/>
      <c r="J30" s="27"/>
      <c r="K30" s="27"/>
      <c r="L30" s="59"/>
      <c r="M30" s="59"/>
      <c r="N30" s="59"/>
      <c r="O30" s="59"/>
      <c r="P30" s="59"/>
      <c r="Q30" s="59"/>
      <c r="R30" s="59"/>
      <c r="S30" s="59"/>
      <c r="T30" s="59"/>
      <c r="U30" s="59"/>
      <c r="AA30" s="57"/>
      <c r="AB30" s="57"/>
    </row>
    <row r="31" spans="1:28" ht="15.75" customHeight="1" x14ac:dyDescent="0.15">
      <c r="D31" s="59"/>
      <c r="E31" s="59"/>
      <c r="F31" s="27"/>
      <c r="G31" s="27"/>
      <c r="H31" s="27"/>
      <c r="I31" s="27"/>
      <c r="J31" s="27"/>
      <c r="K31" s="27"/>
      <c r="L31" s="59"/>
      <c r="M31" s="59"/>
      <c r="N31" s="59"/>
      <c r="O31" s="59"/>
      <c r="P31" s="59"/>
      <c r="Q31" s="59"/>
      <c r="R31" s="59"/>
      <c r="S31" s="59"/>
      <c r="T31" s="59"/>
      <c r="U31" s="59"/>
      <c r="Z31" s="58"/>
      <c r="AA31" s="59"/>
      <c r="AB31" s="59"/>
    </row>
    <row r="32" spans="1:28" ht="15.75" customHeight="1" x14ac:dyDescent="0.15">
      <c r="D32" s="59"/>
      <c r="E32" s="59"/>
      <c r="F32" s="27"/>
      <c r="G32" s="27"/>
      <c r="H32" s="27"/>
      <c r="I32" s="27"/>
      <c r="J32" s="27"/>
      <c r="K32" s="27"/>
      <c r="L32" s="59"/>
      <c r="M32" s="59"/>
      <c r="N32" s="59"/>
      <c r="O32" s="59"/>
      <c r="P32" s="59"/>
      <c r="Q32" s="59"/>
      <c r="R32" s="59"/>
      <c r="S32" s="59"/>
      <c r="T32" s="59"/>
      <c r="U32" s="59"/>
      <c r="Z32" s="58"/>
      <c r="AA32" s="59"/>
      <c r="AB32" s="59"/>
    </row>
    <row r="33" spans="4:28" ht="15.75" customHeight="1" x14ac:dyDescent="0.15">
      <c r="D33" s="59"/>
      <c r="E33" s="59"/>
      <c r="F33" s="27"/>
      <c r="G33" s="27"/>
      <c r="H33" s="27"/>
      <c r="I33" s="27"/>
      <c r="J33" s="27"/>
      <c r="K33" s="27"/>
      <c r="L33" s="59"/>
      <c r="M33" s="59"/>
      <c r="N33" s="59"/>
      <c r="O33" s="59"/>
      <c r="P33" s="59"/>
      <c r="Q33" s="59"/>
      <c r="R33" s="59"/>
      <c r="S33" s="59"/>
      <c r="T33" s="59"/>
      <c r="U33" s="59"/>
      <c r="Z33" s="58"/>
      <c r="AA33" s="59"/>
      <c r="AB33" s="59"/>
    </row>
    <row r="34" spans="4:28" ht="15.75" customHeight="1" x14ac:dyDescent="0.15">
      <c r="D34" s="59"/>
      <c r="E34" s="59"/>
      <c r="F34" s="27"/>
      <c r="G34" s="27"/>
      <c r="H34" s="27"/>
      <c r="I34" s="27"/>
      <c r="J34" s="27"/>
      <c r="K34" s="27"/>
      <c r="L34" s="59"/>
      <c r="M34" s="59"/>
      <c r="N34" s="59"/>
      <c r="O34" s="59"/>
      <c r="P34" s="59"/>
      <c r="Q34" s="59"/>
      <c r="R34" s="59"/>
      <c r="S34" s="59"/>
      <c r="T34" s="59"/>
      <c r="U34" s="59"/>
      <c r="Z34" s="58"/>
      <c r="AA34" s="59"/>
      <c r="AB34" s="59"/>
    </row>
    <row r="35" spans="4:28" ht="15.75" customHeight="1" x14ac:dyDescent="0.15">
      <c r="D35" s="59"/>
      <c r="E35" s="59"/>
      <c r="F35" s="27"/>
      <c r="G35" s="27"/>
      <c r="H35" s="27"/>
      <c r="I35" s="27"/>
      <c r="J35" s="27"/>
      <c r="K35" s="27"/>
      <c r="L35" s="59"/>
      <c r="M35" s="59"/>
      <c r="N35" s="59"/>
      <c r="O35" s="59"/>
      <c r="P35" s="59"/>
      <c r="Q35" s="59"/>
      <c r="R35" s="59"/>
      <c r="S35" s="59"/>
      <c r="T35" s="59"/>
      <c r="U35" s="59"/>
      <c r="Z35" s="58"/>
      <c r="AA35" s="59"/>
      <c r="AB35" s="59"/>
    </row>
    <row r="36" spans="4:28" ht="15.75" customHeight="1" x14ac:dyDescent="0.15">
      <c r="D36" s="59"/>
      <c r="E36" s="59"/>
      <c r="F36" s="27"/>
      <c r="G36" s="27"/>
      <c r="H36" s="27"/>
      <c r="I36" s="27"/>
      <c r="J36" s="27"/>
      <c r="K36" s="27"/>
      <c r="L36" s="59"/>
      <c r="M36" s="59"/>
      <c r="N36" s="59"/>
      <c r="O36" s="59"/>
      <c r="P36" s="59"/>
      <c r="Q36" s="59"/>
      <c r="R36" s="59"/>
      <c r="S36" s="59"/>
      <c r="T36" s="59"/>
      <c r="U36" s="59"/>
      <c r="Z36" s="58"/>
      <c r="AA36" s="59"/>
      <c r="AB36" s="59"/>
    </row>
    <row r="37" spans="4:28" ht="15.75" customHeight="1" x14ac:dyDescent="0.15">
      <c r="D37" s="59"/>
      <c r="E37" s="59"/>
      <c r="F37" s="27"/>
      <c r="G37" s="27"/>
      <c r="H37" s="27"/>
      <c r="I37" s="27"/>
      <c r="J37" s="27"/>
      <c r="K37" s="27"/>
      <c r="L37" s="59"/>
      <c r="M37" s="59"/>
      <c r="N37" s="59"/>
      <c r="O37" s="59"/>
      <c r="P37" s="59"/>
      <c r="Q37" s="59"/>
      <c r="R37" s="59"/>
      <c r="S37" s="59"/>
      <c r="T37" s="59"/>
      <c r="U37" s="59"/>
      <c r="Z37" s="58"/>
      <c r="AA37" s="59"/>
      <c r="AB37" s="59"/>
    </row>
    <row r="38" spans="4:28" ht="15.75" customHeight="1" x14ac:dyDescent="0.15">
      <c r="D38" s="59"/>
      <c r="E38" s="59"/>
      <c r="F38" s="27"/>
      <c r="G38" s="27"/>
      <c r="H38" s="27"/>
      <c r="I38" s="27"/>
      <c r="J38" s="27"/>
      <c r="K38" s="27"/>
      <c r="L38" s="59"/>
      <c r="M38" s="59"/>
      <c r="N38" s="59"/>
      <c r="O38" s="59"/>
      <c r="P38" s="59"/>
      <c r="Q38" s="59"/>
      <c r="R38" s="59"/>
      <c r="S38" s="59"/>
      <c r="T38" s="59"/>
      <c r="U38" s="59"/>
      <c r="Z38" s="58"/>
      <c r="AA38" s="59"/>
      <c r="AB38" s="59"/>
    </row>
    <row r="39" spans="4:28" ht="15.75" customHeight="1" x14ac:dyDescent="0.15">
      <c r="D39" s="59"/>
      <c r="E39" s="59"/>
      <c r="F39" s="27"/>
      <c r="G39" s="27"/>
      <c r="H39" s="27"/>
      <c r="I39" s="27"/>
      <c r="J39" s="27"/>
      <c r="K39" s="27"/>
      <c r="L39" s="59"/>
      <c r="M39" s="59"/>
      <c r="N39" s="59"/>
      <c r="O39" s="59"/>
      <c r="P39" s="59"/>
      <c r="Q39" s="59"/>
      <c r="R39" s="59"/>
      <c r="S39" s="59"/>
      <c r="T39" s="59"/>
      <c r="U39" s="59"/>
      <c r="Z39" s="58"/>
      <c r="AA39" s="59"/>
      <c r="AB39" s="59"/>
    </row>
    <row r="40" spans="4:28" ht="15.75" customHeight="1" x14ac:dyDescent="0.15">
      <c r="D40" s="59"/>
      <c r="E40" s="59"/>
      <c r="F40" s="27"/>
      <c r="G40" s="27"/>
      <c r="H40" s="27"/>
      <c r="I40" s="27"/>
      <c r="J40" s="27"/>
      <c r="K40" s="27"/>
      <c r="L40" s="59"/>
      <c r="M40" s="59"/>
      <c r="N40" s="59"/>
      <c r="O40" s="59"/>
      <c r="P40" s="59"/>
      <c r="Q40" s="59"/>
      <c r="R40" s="59"/>
      <c r="S40" s="59"/>
      <c r="T40" s="59"/>
      <c r="U40" s="59"/>
      <c r="Z40" s="58"/>
      <c r="AA40" s="59"/>
      <c r="AB40" s="59"/>
    </row>
    <row r="41" spans="4:28" ht="15.75" customHeight="1" x14ac:dyDescent="0.15">
      <c r="D41" s="59"/>
      <c r="E41" s="59"/>
      <c r="F41" s="27"/>
      <c r="G41" s="27"/>
      <c r="H41" s="27"/>
      <c r="I41" s="27"/>
      <c r="J41" s="27"/>
      <c r="K41" s="27"/>
      <c r="L41" s="59"/>
      <c r="M41" s="59"/>
      <c r="N41" s="59"/>
      <c r="O41" s="59"/>
      <c r="P41" s="59"/>
      <c r="Q41" s="59"/>
      <c r="R41" s="59"/>
      <c r="S41" s="59"/>
      <c r="T41" s="59"/>
      <c r="U41" s="59"/>
      <c r="Z41" s="58"/>
      <c r="AA41" s="59"/>
      <c r="AB41" s="59"/>
    </row>
    <row r="42" spans="4:28" ht="15.75" customHeight="1" x14ac:dyDescent="0.15">
      <c r="D42" s="59"/>
      <c r="E42" s="59"/>
      <c r="F42" s="27"/>
      <c r="G42" s="27"/>
      <c r="H42" s="27"/>
      <c r="I42" s="27"/>
      <c r="J42" s="27"/>
      <c r="K42" s="27"/>
      <c r="L42" s="59"/>
      <c r="M42" s="59"/>
      <c r="N42" s="59"/>
      <c r="O42" s="59"/>
      <c r="P42" s="59"/>
      <c r="Q42" s="59"/>
      <c r="R42" s="59"/>
      <c r="S42" s="59"/>
      <c r="T42" s="59"/>
      <c r="U42" s="59"/>
      <c r="Z42" s="58"/>
      <c r="AA42" s="59"/>
      <c r="AB42" s="59"/>
    </row>
    <row r="43" spans="4:28" ht="15.75" customHeight="1" x14ac:dyDescent="0.15">
      <c r="D43" s="59"/>
      <c r="E43" s="59"/>
      <c r="F43" s="27"/>
      <c r="G43" s="27"/>
      <c r="H43" s="27"/>
      <c r="I43" s="27"/>
      <c r="J43" s="27"/>
      <c r="K43" s="27"/>
      <c r="L43" s="59"/>
      <c r="M43" s="59"/>
      <c r="N43" s="59"/>
      <c r="O43" s="59"/>
      <c r="P43" s="59"/>
      <c r="Q43" s="59"/>
      <c r="R43" s="59"/>
      <c r="S43" s="59"/>
      <c r="T43" s="59"/>
      <c r="U43" s="59"/>
      <c r="Z43" s="58"/>
      <c r="AA43" s="59"/>
      <c r="AB43" s="59"/>
    </row>
    <row r="44" spans="4:28" ht="15.75" customHeight="1" x14ac:dyDescent="0.15">
      <c r="F44" s="27"/>
      <c r="G44" s="27"/>
      <c r="H44" s="27"/>
      <c r="I44" s="27"/>
      <c r="J44" s="27"/>
      <c r="K44" s="27"/>
      <c r="Z44" s="58"/>
      <c r="AA44" s="59"/>
      <c r="AB44" s="59"/>
    </row>
    <row r="45" spans="4:28" ht="15.75" customHeight="1" x14ac:dyDescent="0.15">
      <c r="F45" s="27"/>
      <c r="G45" s="27"/>
      <c r="H45" s="27"/>
      <c r="I45" s="27"/>
      <c r="J45" s="27"/>
      <c r="K45" s="27"/>
      <c r="Z45" s="58"/>
      <c r="AA45" s="59"/>
      <c r="AB45" s="59"/>
    </row>
    <row r="46" spans="4:28" ht="15.75" customHeight="1" x14ac:dyDescent="0.15">
      <c r="F46" s="27"/>
      <c r="G46" s="27"/>
      <c r="H46" s="27"/>
      <c r="I46" s="27"/>
      <c r="J46" s="27"/>
      <c r="K46" s="27"/>
      <c r="Z46" s="58"/>
      <c r="AA46" s="59"/>
      <c r="AB46" s="59"/>
    </row>
    <row r="47" spans="4:28" ht="15.75" customHeight="1" x14ac:dyDescent="0.15">
      <c r="F47" s="27"/>
      <c r="G47" s="27"/>
      <c r="H47" s="27"/>
      <c r="I47" s="27"/>
      <c r="J47" s="27"/>
      <c r="K47" s="27"/>
      <c r="Z47" s="58"/>
      <c r="AA47" s="59"/>
      <c r="AB47" s="59"/>
    </row>
    <row r="48" spans="4:28" ht="15.75" customHeight="1" x14ac:dyDescent="0.15">
      <c r="F48" s="27"/>
      <c r="G48" s="27"/>
      <c r="H48" s="27"/>
      <c r="I48" s="27"/>
      <c r="J48" s="27"/>
      <c r="K48" s="27"/>
      <c r="Z48" s="58"/>
      <c r="AA48" s="59"/>
      <c r="AB48" s="59"/>
    </row>
    <row r="49" spans="6:28" ht="15.75" customHeight="1" x14ac:dyDescent="0.15">
      <c r="F49" s="27"/>
      <c r="G49" s="27"/>
      <c r="H49" s="27"/>
      <c r="I49" s="27"/>
      <c r="J49" s="27"/>
      <c r="K49" s="27"/>
      <c r="Z49" s="58"/>
      <c r="AA49" s="59"/>
      <c r="AB49" s="59"/>
    </row>
    <row r="50" spans="6:28" ht="15.75" customHeight="1" x14ac:dyDescent="0.15">
      <c r="F50" s="27"/>
      <c r="G50" s="27"/>
      <c r="H50" s="27"/>
      <c r="I50" s="27"/>
      <c r="J50" s="27"/>
      <c r="K50" s="27"/>
      <c r="Z50" s="58"/>
      <c r="AA50" s="59"/>
      <c r="AB50" s="59"/>
    </row>
    <row r="51" spans="6:28" ht="15.75" customHeight="1" x14ac:dyDescent="0.15">
      <c r="F51" s="27"/>
      <c r="G51" s="27"/>
      <c r="H51" s="27"/>
      <c r="I51" s="27"/>
      <c r="J51" s="27"/>
      <c r="K51" s="27"/>
      <c r="X51" s="3" t="s">
        <v>52</v>
      </c>
      <c r="Y51" s="3" t="s">
        <v>75</v>
      </c>
      <c r="Z51" s="58">
        <v>0.3</v>
      </c>
      <c r="AA51" s="59">
        <v>1068</v>
      </c>
      <c r="AB51" s="59">
        <v>1720</v>
      </c>
    </row>
    <row r="52" spans="6:28" ht="15.75" customHeight="1" x14ac:dyDescent="0.15">
      <c r="F52" s="27"/>
      <c r="G52" s="27"/>
      <c r="H52" s="27"/>
      <c r="I52" s="27"/>
      <c r="J52" s="27"/>
      <c r="K52" s="27"/>
      <c r="X52" s="3" t="s">
        <v>56</v>
      </c>
      <c r="Y52" s="3" t="s">
        <v>76</v>
      </c>
      <c r="Z52" s="58">
        <v>0.3</v>
      </c>
      <c r="AA52" s="59">
        <v>133</v>
      </c>
      <c r="AB52" s="59">
        <v>127</v>
      </c>
    </row>
    <row r="53" spans="6:28" ht="15.75" customHeight="1" x14ac:dyDescent="0.15">
      <c r="F53" s="27"/>
      <c r="G53" s="27"/>
      <c r="H53" s="27"/>
      <c r="I53" s="27"/>
      <c r="J53" s="27"/>
      <c r="K53" s="27"/>
      <c r="X53" s="3" t="s">
        <v>36</v>
      </c>
      <c r="Y53" s="3" t="s">
        <v>77</v>
      </c>
      <c r="Z53" s="58">
        <v>0.2</v>
      </c>
      <c r="AA53" s="59">
        <v>219</v>
      </c>
      <c r="AB53" s="59">
        <v>255</v>
      </c>
    </row>
    <row r="54" spans="6:28" ht="15.75" customHeight="1" x14ac:dyDescent="0.15">
      <c r="F54" s="27"/>
      <c r="G54" s="27"/>
      <c r="H54" s="27"/>
      <c r="I54" s="27"/>
      <c r="J54" s="27"/>
      <c r="K54" s="27"/>
    </row>
    <row r="55" spans="6:28" ht="15.75" customHeight="1" x14ac:dyDescent="0.15">
      <c r="F55" s="27"/>
      <c r="G55" s="27"/>
      <c r="H55" s="27"/>
      <c r="I55" s="27"/>
      <c r="J55" s="27"/>
      <c r="K55" s="27"/>
    </row>
    <row r="56" spans="6:28" ht="15.75" customHeight="1" x14ac:dyDescent="0.15">
      <c r="F56" s="27"/>
      <c r="G56" s="27"/>
      <c r="H56" s="27"/>
      <c r="I56" s="27"/>
      <c r="J56" s="27"/>
      <c r="K56" s="27"/>
    </row>
    <row r="57" spans="6:28" ht="15.75" customHeight="1" x14ac:dyDescent="0.15">
      <c r="F57" s="27"/>
      <c r="G57" s="27"/>
      <c r="H57" s="27"/>
      <c r="I57" s="27"/>
      <c r="J57" s="27"/>
      <c r="K57" s="27"/>
    </row>
    <row r="58" spans="6:28" ht="15.75" customHeight="1" x14ac:dyDescent="0.15">
      <c r="F58" s="27"/>
      <c r="G58" s="27"/>
      <c r="H58" s="27"/>
      <c r="I58" s="27"/>
      <c r="J58" s="27"/>
      <c r="K58" s="27"/>
    </row>
    <row r="59" spans="6:28" ht="15.75" customHeight="1" x14ac:dyDescent="0.15">
      <c r="F59" s="27"/>
      <c r="G59" s="27"/>
      <c r="H59" s="27"/>
      <c r="I59" s="27"/>
      <c r="J59" s="27"/>
      <c r="K59" s="27"/>
    </row>
    <row r="60" spans="6:28" ht="15.75" customHeight="1" x14ac:dyDescent="0.15">
      <c r="F60" s="27"/>
      <c r="G60" s="27"/>
      <c r="H60" s="27"/>
      <c r="I60" s="27"/>
      <c r="J60" s="27"/>
      <c r="K60" s="27"/>
    </row>
    <row r="61" spans="6:28" ht="15.75" customHeight="1" x14ac:dyDescent="0.15">
      <c r="F61" s="27"/>
      <c r="G61" s="27"/>
      <c r="H61" s="27"/>
      <c r="I61" s="27"/>
      <c r="J61" s="27"/>
      <c r="K61" s="27"/>
    </row>
    <row r="62" spans="6:28" ht="15.75" customHeight="1" x14ac:dyDescent="0.15">
      <c r="F62" s="27"/>
      <c r="G62" s="27"/>
      <c r="H62" s="27"/>
      <c r="I62" s="27"/>
      <c r="J62" s="27"/>
      <c r="K62" s="27"/>
    </row>
    <row r="63" spans="6:28" ht="15.75" customHeight="1" x14ac:dyDescent="0.15">
      <c r="F63" s="27"/>
      <c r="G63" s="27"/>
      <c r="H63" s="27"/>
      <c r="I63" s="27"/>
      <c r="J63" s="27"/>
      <c r="K63" s="27"/>
    </row>
    <row r="64" spans="6:28" ht="15.75" customHeight="1" x14ac:dyDescent="0.15">
      <c r="F64" s="27"/>
      <c r="G64" s="27"/>
      <c r="H64" s="27"/>
      <c r="I64" s="27"/>
      <c r="J64" s="27"/>
      <c r="K64" s="27"/>
    </row>
    <row r="65" spans="6:11" ht="15.75" customHeight="1" x14ac:dyDescent="0.15">
      <c r="F65" s="27"/>
      <c r="G65" s="27"/>
      <c r="H65" s="27"/>
      <c r="I65" s="27"/>
      <c r="J65" s="27"/>
      <c r="K65" s="27"/>
    </row>
    <row r="66" spans="6:11" ht="15.75" customHeight="1" x14ac:dyDescent="0.15">
      <c r="F66" s="27"/>
      <c r="G66" s="27"/>
      <c r="H66" s="27"/>
      <c r="I66" s="27"/>
      <c r="J66" s="27"/>
      <c r="K66" s="27"/>
    </row>
    <row r="67" spans="6:11" ht="15.75" customHeight="1" x14ac:dyDescent="0.15">
      <c r="F67" s="27"/>
      <c r="G67" s="27"/>
      <c r="H67" s="27"/>
      <c r="I67" s="27"/>
      <c r="J67" s="27"/>
      <c r="K67" s="27"/>
    </row>
    <row r="68" spans="6:11" ht="15.75" customHeight="1" x14ac:dyDescent="0.15">
      <c r="F68" s="27"/>
      <c r="G68" s="27"/>
      <c r="H68" s="27"/>
      <c r="I68" s="27"/>
      <c r="J68" s="27"/>
      <c r="K68" s="27"/>
    </row>
    <row r="69" spans="6:11" ht="15.75" customHeight="1" x14ac:dyDescent="0.15">
      <c r="F69" s="27"/>
      <c r="G69" s="27"/>
      <c r="H69" s="27"/>
      <c r="I69" s="27"/>
      <c r="J69" s="27"/>
      <c r="K69" s="27"/>
    </row>
    <row r="70" spans="6:11" ht="15.75" customHeight="1" x14ac:dyDescent="0.15">
      <c r="F70" s="27"/>
      <c r="G70" s="27"/>
      <c r="H70" s="27"/>
      <c r="I70" s="27"/>
      <c r="J70" s="27"/>
      <c r="K70" s="27"/>
    </row>
    <row r="71" spans="6:11" ht="15.75" customHeight="1" x14ac:dyDescent="0.15">
      <c r="F71" s="27"/>
      <c r="G71" s="27"/>
      <c r="H71" s="27"/>
      <c r="I71" s="27"/>
      <c r="J71" s="27"/>
      <c r="K71" s="27"/>
    </row>
    <row r="72" spans="6:11" ht="15.75" customHeight="1" x14ac:dyDescent="0.15">
      <c r="F72" s="27"/>
      <c r="G72" s="27"/>
      <c r="H72" s="27"/>
      <c r="I72" s="27"/>
      <c r="J72" s="27"/>
      <c r="K72" s="27"/>
    </row>
    <row r="73" spans="6:11" ht="15.75" customHeight="1" x14ac:dyDescent="0.15">
      <c r="F73" s="27"/>
      <c r="G73" s="27"/>
      <c r="H73" s="27"/>
      <c r="I73" s="27"/>
      <c r="J73" s="27"/>
      <c r="K73" s="27"/>
    </row>
    <row r="74" spans="6:11" ht="15.75" customHeight="1" x14ac:dyDescent="0.15">
      <c r="F74" s="27"/>
      <c r="G74" s="27"/>
      <c r="H74" s="27"/>
      <c r="I74" s="27"/>
      <c r="J74" s="27"/>
      <c r="K74" s="27"/>
    </row>
    <row r="75" spans="6:11" ht="15.75" customHeight="1" x14ac:dyDescent="0.15">
      <c r="F75" s="27"/>
      <c r="G75" s="27"/>
      <c r="H75" s="27"/>
      <c r="I75" s="27"/>
      <c r="J75" s="27"/>
      <c r="K75" s="27"/>
    </row>
    <row r="76" spans="6:11" ht="15.75" customHeight="1" x14ac:dyDescent="0.15">
      <c r="F76" s="27"/>
      <c r="G76" s="27"/>
      <c r="H76" s="27"/>
      <c r="I76" s="27"/>
      <c r="J76" s="27"/>
      <c r="K76" s="27"/>
    </row>
    <row r="77" spans="6:11" ht="15.75" customHeight="1" x14ac:dyDescent="0.15">
      <c r="F77" s="27"/>
      <c r="G77" s="27"/>
      <c r="H77" s="27"/>
      <c r="I77" s="27"/>
      <c r="J77" s="27"/>
      <c r="K77" s="27"/>
    </row>
    <row r="78" spans="6:11" ht="15.75" customHeight="1" x14ac:dyDescent="0.15">
      <c r="F78" s="27"/>
      <c r="G78" s="27"/>
      <c r="H78" s="27"/>
      <c r="I78" s="27"/>
      <c r="J78" s="27"/>
      <c r="K78" s="27"/>
    </row>
    <row r="79" spans="6:11" ht="15.75" customHeight="1" x14ac:dyDescent="0.15">
      <c r="F79" s="27"/>
      <c r="G79" s="27"/>
      <c r="H79" s="27"/>
      <c r="I79" s="27"/>
      <c r="J79" s="27"/>
      <c r="K79" s="27"/>
    </row>
    <row r="80" spans="6:11" ht="15.75" customHeight="1" x14ac:dyDescent="0.15">
      <c r="F80" s="27"/>
      <c r="G80" s="27"/>
      <c r="H80" s="27"/>
      <c r="I80" s="27"/>
      <c r="J80" s="27"/>
      <c r="K80" s="27"/>
    </row>
    <row r="81" spans="6:11" ht="15.75" customHeight="1" x14ac:dyDescent="0.15">
      <c r="F81" s="27"/>
      <c r="G81" s="27"/>
      <c r="H81" s="27"/>
      <c r="I81" s="27"/>
      <c r="J81" s="27"/>
      <c r="K81" s="27"/>
    </row>
    <row r="82" spans="6:11" ht="15.75" customHeight="1" x14ac:dyDescent="0.15">
      <c r="F82" s="27"/>
      <c r="G82" s="27"/>
      <c r="H82" s="27"/>
      <c r="I82" s="27"/>
      <c r="J82" s="27"/>
      <c r="K82" s="27"/>
    </row>
    <row r="83" spans="6:11" ht="15.75" customHeight="1" x14ac:dyDescent="0.15">
      <c r="F83" s="27"/>
      <c r="G83" s="27"/>
      <c r="H83" s="27"/>
      <c r="I83" s="27"/>
      <c r="J83" s="27"/>
      <c r="K83" s="27"/>
    </row>
    <row r="84" spans="6:11" ht="15.75" customHeight="1" x14ac:dyDescent="0.15">
      <c r="F84" s="27"/>
      <c r="G84" s="27"/>
      <c r="H84" s="27"/>
      <c r="I84" s="27"/>
      <c r="J84" s="27"/>
      <c r="K84" s="27"/>
    </row>
    <row r="85" spans="6:11" ht="15.75" customHeight="1" x14ac:dyDescent="0.15">
      <c r="F85" s="27"/>
      <c r="G85" s="27"/>
      <c r="H85" s="27"/>
      <c r="I85" s="27"/>
      <c r="J85" s="27"/>
      <c r="K85" s="27"/>
    </row>
    <row r="86" spans="6:11" ht="15.75" customHeight="1" x14ac:dyDescent="0.15">
      <c r="F86" s="27"/>
      <c r="G86" s="27"/>
      <c r="H86" s="27"/>
      <c r="I86" s="27"/>
      <c r="J86" s="27"/>
      <c r="K86" s="27"/>
    </row>
    <row r="87" spans="6:11" ht="15.75" customHeight="1" x14ac:dyDescent="0.15">
      <c r="F87" s="27"/>
      <c r="G87" s="27"/>
      <c r="H87" s="27"/>
      <c r="I87" s="27"/>
      <c r="J87" s="27"/>
      <c r="K87" s="27"/>
    </row>
    <row r="88" spans="6:11" ht="15.75" customHeight="1" x14ac:dyDescent="0.15">
      <c r="F88" s="27"/>
      <c r="G88" s="27"/>
      <c r="H88" s="27"/>
      <c r="I88" s="27"/>
      <c r="J88" s="27"/>
      <c r="K88" s="27"/>
    </row>
    <row r="89" spans="6:11" ht="15.75" customHeight="1" x14ac:dyDescent="0.15">
      <c r="F89" s="27"/>
      <c r="G89" s="27"/>
      <c r="H89" s="27"/>
      <c r="I89" s="27"/>
      <c r="J89" s="27"/>
      <c r="K89" s="27"/>
    </row>
    <row r="90" spans="6:11" ht="15.75" customHeight="1" x14ac:dyDescent="0.15">
      <c r="F90" s="27"/>
      <c r="G90" s="27"/>
      <c r="H90" s="27"/>
      <c r="I90" s="27"/>
      <c r="J90" s="27"/>
      <c r="K90" s="27"/>
    </row>
    <row r="91" spans="6:11" ht="15.75" customHeight="1" x14ac:dyDescent="0.15">
      <c r="F91" s="27"/>
      <c r="G91" s="27"/>
      <c r="H91" s="27"/>
      <c r="I91" s="27"/>
      <c r="J91" s="27"/>
      <c r="K91" s="27"/>
    </row>
    <row r="92" spans="6:11" ht="15.75" customHeight="1" x14ac:dyDescent="0.15">
      <c r="F92" s="27"/>
      <c r="G92" s="27"/>
      <c r="H92" s="27"/>
      <c r="I92" s="27"/>
      <c r="J92" s="27"/>
      <c r="K92" s="27"/>
    </row>
    <row r="93" spans="6:11" ht="15.75" customHeight="1" x14ac:dyDescent="0.15">
      <c r="F93" s="27"/>
      <c r="G93" s="27"/>
      <c r="H93" s="27"/>
      <c r="I93" s="27"/>
      <c r="J93" s="27"/>
      <c r="K93" s="27"/>
    </row>
    <row r="94" spans="6:11" ht="15.75" customHeight="1" x14ac:dyDescent="0.15">
      <c r="F94" s="27"/>
      <c r="G94" s="27"/>
      <c r="H94" s="27"/>
      <c r="I94" s="27"/>
      <c r="J94" s="27"/>
      <c r="K94" s="27"/>
    </row>
    <row r="95" spans="6:11" ht="15.75" customHeight="1" x14ac:dyDescent="0.15">
      <c r="F95" s="27"/>
      <c r="G95" s="27"/>
      <c r="H95" s="27"/>
      <c r="I95" s="27"/>
      <c r="J95" s="27"/>
      <c r="K95" s="27"/>
    </row>
    <row r="96" spans="6:11" ht="15.75" customHeight="1" x14ac:dyDescent="0.15">
      <c r="F96" s="27"/>
      <c r="G96" s="27"/>
      <c r="H96" s="27"/>
      <c r="I96" s="27"/>
      <c r="J96" s="27"/>
      <c r="K96" s="27"/>
    </row>
    <row r="97" spans="6:11" ht="15.75" customHeight="1" x14ac:dyDescent="0.15">
      <c r="F97" s="27"/>
      <c r="G97" s="27"/>
      <c r="H97" s="27"/>
      <c r="I97" s="27"/>
      <c r="J97" s="27"/>
      <c r="K97" s="27"/>
    </row>
  </sheetData>
  <sortState xmlns:xlrd2="http://schemas.microsoft.com/office/spreadsheetml/2017/richdata2" ref="A4:V17">
    <sortCondition ref="A4:A17"/>
  </sortState>
  <pageMargins left="0.75" right="0.75" top="1" bottom="1" header="0.5" footer="0.5"/>
  <headerFooter alignWithMargins="0"/>
  <ignoredErrors>
    <ignoredError sqref="D20 E20:U20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44"/>
  <sheetViews>
    <sheetView workbookViewId="0"/>
  </sheetViews>
  <sheetFormatPr baseColWidth="10" defaultColWidth="9.1640625" defaultRowHeight="15.75" customHeight="1" x14ac:dyDescent="0.15"/>
  <cols>
    <col min="1" max="1" width="9.1640625" style="3"/>
    <col min="2" max="2" width="9" style="3" customWidth="1"/>
    <col min="3" max="3" width="14.1640625" style="3" bestFit="1" customWidth="1"/>
    <col min="4" max="22" width="7.5" style="3" customWidth="1"/>
    <col min="23" max="16384" width="9.1640625" style="3"/>
  </cols>
  <sheetData>
    <row r="1" spans="1:24" ht="15.75" customHeight="1" x14ac:dyDescent="0.15">
      <c r="B1" s="12" t="s">
        <v>55</v>
      </c>
    </row>
    <row r="3" spans="1:24" s="7" customFormat="1" ht="15.75" customHeight="1" x14ac:dyDescent="0.15">
      <c r="A3" s="7" t="s">
        <v>72</v>
      </c>
      <c r="B3" s="7" t="s">
        <v>8</v>
      </c>
      <c r="C3" s="7" t="s">
        <v>27</v>
      </c>
      <c r="D3" s="8">
        <v>44256</v>
      </c>
      <c r="E3" s="8">
        <v>44287</v>
      </c>
      <c r="F3" s="8">
        <v>44317</v>
      </c>
      <c r="G3" s="8">
        <v>44348</v>
      </c>
      <c r="H3" s="8">
        <v>44378</v>
      </c>
      <c r="I3" s="8">
        <v>44409</v>
      </c>
      <c r="J3" s="8">
        <v>44440</v>
      </c>
      <c r="K3" s="8">
        <v>44470</v>
      </c>
      <c r="L3" s="8">
        <v>44501</v>
      </c>
      <c r="M3" s="8">
        <v>44531</v>
      </c>
      <c r="N3" s="8">
        <v>44562</v>
      </c>
      <c r="O3" s="8">
        <v>44593</v>
      </c>
      <c r="P3" s="8">
        <v>44621</v>
      </c>
      <c r="Q3" s="8">
        <v>44652</v>
      </c>
      <c r="R3" s="8">
        <v>44682</v>
      </c>
      <c r="S3" s="8">
        <v>44713</v>
      </c>
      <c r="T3" s="8">
        <v>44743</v>
      </c>
      <c r="U3" s="8">
        <v>44774</v>
      </c>
      <c r="W3" s="8"/>
    </row>
    <row r="4" spans="1:24" ht="15.75" customHeight="1" x14ac:dyDescent="0.15">
      <c r="A4" s="3" t="s">
        <v>13</v>
      </c>
      <c r="B4" s="3" t="s">
        <v>48</v>
      </c>
      <c r="C4" s="1" t="s">
        <v>40</v>
      </c>
      <c r="D4" s="13">
        <v>270.83333333333331</v>
      </c>
      <c r="E4" s="13">
        <v>260</v>
      </c>
      <c r="F4" s="13">
        <v>260</v>
      </c>
      <c r="G4" s="13">
        <v>270.83333333333331</v>
      </c>
      <c r="H4" s="13">
        <v>270.83333333333331</v>
      </c>
      <c r="I4" s="13">
        <v>270.83333333333331</v>
      </c>
      <c r="J4" s="13">
        <v>276.25</v>
      </c>
      <c r="K4" s="13">
        <v>276.25</v>
      </c>
      <c r="L4" s="13">
        <v>276.25</v>
      </c>
      <c r="M4" s="13">
        <v>276.25</v>
      </c>
      <c r="N4" s="13">
        <v>276.25</v>
      </c>
      <c r="O4" s="13">
        <v>276.25</v>
      </c>
      <c r="P4" s="13">
        <v>265.41666666666669</v>
      </c>
      <c r="Q4" s="13">
        <v>254.58333333333331</v>
      </c>
      <c r="R4" s="13">
        <v>254.58333333333331</v>
      </c>
      <c r="S4" s="13">
        <v>254.58333333333331</v>
      </c>
      <c r="T4" s="13">
        <v>276.25</v>
      </c>
      <c r="U4" s="13">
        <v>276.25</v>
      </c>
      <c r="W4" s="13"/>
      <c r="X4" s="2"/>
    </row>
    <row r="5" spans="1:24" ht="15.75" customHeight="1" x14ac:dyDescent="0.15">
      <c r="A5" s="3" t="s">
        <v>13</v>
      </c>
      <c r="B5" s="3" t="s">
        <v>58</v>
      </c>
      <c r="C5" s="3" t="s">
        <v>59</v>
      </c>
      <c r="D5" s="31">
        <v>260</v>
      </c>
      <c r="E5" s="31">
        <v>254.58333333333331</v>
      </c>
      <c r="F5" s="31">
        <v>254.58333333333331</v>
      </c>
      <c r="G5" s="31">
        <v>260</v>
      </c>
      <c r="H5" s="31">
        <v>265.41666666666669</v>
      </c>
      <c r="I5" s="31">
        <v>265.41666666666669</v>
      </c>
      <c r="J5" s="31">
        <v>265.41666666666669</v>
      </c>
      <c r="K5" s="31">
        <v>265.41666666666669</v>
      </c>
      <c r="L5" s="31">
        <v>265.41666666666669</v>
      </c>
      <c r="M5" s="31">
        <v>265.41666666666669</v>
      </c>
      <c r="N5" s="31">
        <v>265.41666666666669</v>
      </c>
      <c r="O5" s="31">
        <v>260</v>
      </c>
      <c r="P5" s="31">
        <v>260</v>
      </c>
      <c r="Q5" s="31">
        <v>249.16666666666669</v>
      </c>
      <c r="R5" s="31">
        <v>249.16666666666669</v>
      </c>
      <c r="S5" s="31">
        <v>260</v>
      </c>
      <c r="T5" s="31">
        <v>265.41666666666669</v>
      </c>
      <c r="U5" s="31">
        <v>265.41666666666669</v>
      </c>
      <c r="W5" s="31"/>
      <c r="X5" s="2"/>
    </row>
    <row r="6" spans="1:24" s="14" customFormat="1" ht="15.75" customHeight="1" x14ac:dyDescent="0.15">
      <c r="A6" s="3" t="s">
        <v>13</v>
      </c>
      <c r="B6" s="3" t="s">
        <v>51</v>
      </c>
      <c r="C6" s="1" t="s">
        <v>45</v>
      </c>
      <c r="D6" s="13">
        <v>270.83333333333331</v>
      </c>
      <c r="E6" s="13">
        <v>265.41666666666669</v>
      </c>
      <c r="F6" s="13">
        <v>265.41666666666669</v>
      </c>
      <c r="G6" s="13">
        <v>270.83333333333331</v>
      </c>
      <c r="H6" s="13">
        <v>270.83333333333331</v>
      </c>
      <c r="I6" s="13">
        <v>276.25</v>
      </c>
      <c r="J6" s="13">
        <v>276.25</v>
      </c>
      <c r="K6" s="13">
        <v>276.25</v>
      </c>
      <c r="L6" s="13">
        <v>276.25</v>
      </c>
      <c r="M6" s="13">
        <v>276.25</v>
      </c>
      <c r="N6" s="13">
        <v>276.25</v>
      </c>
      <c r="O6" s="13">
        <v>276.25</v>
      </c>
      <c r="P6" s="13">
        <v>270.83333333333331</v>
      </c>
      <c r="Q6" s="13">
        <v>260</v>
      </c>
      <c r="R6" s="13">
        <v>260</v>
      </c>
      <c r="S6" s="13">
        <v>260</v>
      </c>
      <c r="T6" s="13">
        <v>276.25</v>
      </c>
      <c r="U6" s="13">
        <v>276.25</v>
      </c>
      <c r="W6" s="13"/>
      <c r="X6" s="17"/>
    </row>
    <row r="7" spans="1:24" s="14" customFormat="1" ht="15.75" customHeight="1" x14ac:dyDescent="0.15">
      <c r="A7" s="3" t="s">
        <v>13</v>
      </c>
      <c r="B7" s="3" t="s">
        <v>47</v>
      </c>
      <c r="C7" s="1" t="s">
        <v>39</v>
      </c>
      <c r="D7" s="13">
        <v>260</v>
      </c>
      <c r="E7" s="13">
        <v>260</v>
      </c>
      <c r="F7" s="13">
        <v>260</v>
      </c>
      <c r="G7" s="13">
        <v>265.41666666666669</v>
      </c>
      <c r="H7" s="13">
        <v>265.41666666666669</v>
      </c>
      <c r="I7" s="13">
        <v>265.41666666666669</v>
      </c>
      <c r="J7" s="13">
        <v>276.25</v>
      </c>
      <c r="K7" s="13">
        <v>276.25</v>
      </c>
      <c r="L7" s="13">
        <v>276.25</v>
      </c>
      <c r="M7" s="13">
        <v>276.25</v>
      </c>
      <c r="N7" s="13">
        <v>276.25</v>
      </c>
      <c r="O7" s="13">
        <v>276.25</v>
      </c>
      <c r="P7" s="13">
        <v>260</v>
      </c>
      <c r="Q7" s="13">
        <v>249.16666666666669</v>
      </c>
      <c r="R7" s="13">
        <v>249.16666666666669</v>
      </c>
      <c r="S7" s="13">
        <v>249.16666666666669</v>
      </c>
      <c r="T7" s="13">
        <v>270.83333333333331</v>
      </c>
      <c r="U7" s="13">
        <v>270.83333333333331</v>
      </c>
      <c r="W7" s="13"/>
      <c r="X7" s="17"/>
    </row>
    <row r="8" spans="1:24" s="14" customFormat="1" ht="15.75" customHeight="1" x14ac:dyDescent="0.15">
      <c r="A8" s="3" t="s">
        <v>13</v>
      </c>
      <c r="B8" s="3" t="s">
        <v>33</v>
      </c>
      <c r="C8" s="1" t="s">
        <v>30</v>
      </c>
      <c r="D8" s="13">
        <v>265.41666666666669</v>
      </c>
      <c r="E8" s="13">
        <v>265.41666666666669</v>
      </c>
      <c r="F8" s="13">
        <v>254.58333333333331</v>
      </c>
      <c r="G8" s="13">
        <v>281.66666666666669</v>
      </c>
      <c r="H8" s="13">
        <v>281.66666666666669</v>
      </c>
      <c r="I8" s="13">
        <v>292.5</v>
      </c>
      <c r="J8" s="13">
        <v>292.5</v>
      </c>
      <c r="K8" s="13">
        <v>292.5</v>
      </c>
      <c r="L8" s="13">
        <v>292.5</v>
      </c>
      <c r="M8" s="13">
        <v>292.5</v>
      </c>
      <c r="N8" s="13">
        <v>292.5</v>
      </c>
      <c r="O8" s="13">
        <v>292.5</v>
      </c>
      <c r="P8" s="13">
        <v>292.5</v>
      </c>
      <c r="Q8" s="13">
        <v>287.08333333333331</v>
      </c>
      <c r="R8" s="13">
        <v>276.25</v>
      </c>
      <c r="S8" s="13">
        <v>276.25</v>
      </c>
      <c r="T8" s="13">
        <v>292.5</v>
      </c>
      <c r="U8" s="13">
        <v>292.5</v>
      </c>
      <c r="W8" s="13"/>
      <c r="X8" s="17"/>
    </row>
    <row r="9" spans="1:24" s="14" customFormat="1" ht="15.75" customHeight="1" x14ac:dyDescent="0.15">
      <c r="A9" s="3" t="s">
        <v>13</v>
      </c>
      <c r="B9" s="14" t="s">
        <v>50</v>
      </c>
      <c r="C9" s="15" t="s">
        <v>43</v>
      </c>
      <c r="D9" s="16">
        <v>270.83333333333331</v>
      </c>
      <c r="E9" s="16">
        <v>265.41666666666669</v>
      </c>
      <c r="F9" s="16">
        <v>265.41666666666669</v>
      </c>
      <c r="G9" s="16">
        <v>270.83333333333331</v>
      </c>
      <c r="H9" s="16">
        <v>270.83333333333331</v>
      </c>
      <c r="I9" s="16">
        <v>281.66666666666669</v>
      </c>
      <c r="J9" s="16">
        <v>281.66666666666669</v>
      </c>
      <c r="K9" s="16">
        <v>281.66666666666669</v>
      </c>
      <c r="L9" s="16">
        <v>281.66666666666669</v>
      </c>
      <c r="M9" s="16">
        <v>281.66666666666669</v>
      </c>
      <c r="N9" s="16">
        <v>281.66666666666669</v>
      </c>
      <c r="O9" s="16">
        <v>281.66666666666669</v>
      </c>
      <c r="P9" s="16">
        <v>281.66666666666669</v>
      </c>
      <c r="Q9" s="16">
        <v>265.41666666666669</v>
      </c>
      <c r="R9" s="16">
        <v>265.41666666666669</v>
      </c>
      <c r="S9" s="16">
        <v>265.41666666666669</v>
      </c>
      <c r="T9" s="16">
        <v>281.66666666666669</v>
      </c>
      <c r="U9" s="16">
        <v>281.66666666666669</v>
      </c>
      <c r="W9" s="16"/>
      <c r="X9" s="17"/>
    </row>
    <row r="10" spans="1:24" s="14" customFormat="1" ht="15.75" customHeight="1" x14ac:dyDescent="0.15">
      <c r="A10" s="3" t="s">
        <v>13</v>
      </c>
      <c r="B10" s="3" t="s">
        <v>34</v>
      </c>
      <c r="C10" s="1" t="s">
        <v>46</v>
      </c>
      <c r="D10" s="13">
        <v>270.83333333333331</v>
      </c>
      <c r="E10" s="13">
        <v>265.41666666666669</v>
      </c>
      <c r="F10" s="13">
        <v>265.41666666666669</v>
      </c>
      <c r="G10" s="13">
        <v>270.83333333333331</v>
      </c>
      <c r="H10" s="13">
        <v>276.25</v>
      </c>
      <c r="I10" s="13">
        <v>276.25</v>
      </c>
      <c r="J10" s="13">
        <v>276.25</v>
      </c>
      <c r="K10" s="13">
        <v>276.25</v>
      </c>
      <c r="L10" s="13">
        <v>276.25</v>
      </c>
      <c r="M10" s="13">
        <v>276.25</v>
      </c>
      <c r="N10" s="13">
        <v>276.25</v>
      </c>
      <c r="O10" s="13">
        <v>270.83333333333331</v>
      </c>
      <c r="P10" s="13">
        <v>270.83333333333331</v>
      </c>
      <c r="Q10" s="13">
        <v>260</v>
      </c>
      <c r="R10" s="13">
        <v>260</v>
      </c>
      <c r="S10" s="13">
        <v>270.83333333333331</v>
      </c>
      <c r="T10" s="13">
        <v>276.25</v>
      </c>
      <c r="U10" s="13">
        <v>276.25</v>
      </c>
      <c r="W10" s="13"/>
      <c r="X10" s="17"/>
    </row>
    <row r="11" spans="1:24" ht="15.75" customHeight="1" x14ac:dyDescent="0.15">
      <c r="A11" s="3" t="s">
        <v>13</v>
      </c>
      <c r="B11" s="3" t="s">
        <v>35</v>
      </c>
      <c r="C11" s="1" t="s">
        <v>31</v>
      </c>
      <c r="D11" s="13">
        <v>238.33333333333331</v>
      </c>
      <c r="E11" s="13">
        <v>238.33333333333331</v>
      </c>
      <c r="F11" s="13">
        <v>238.33333333333331</v>
      </c>
      <c r="G11" s="13">
        <v>238.33333333333331</v>
      </c>
      <c r="H11" s="13">
        <v>249.16666666666669</v>
      </c>
      <c r="I11" s="13">
        <v>249.16666666666669</v>
      </c>
      <c r="J11" s="13">
        <v>249.16666666666669</v>
      </c>
      <c r="K11" s="13">
        <v>260</v>
      </c>
      <c r="L11" s="13">
        <v>260</v>
      </c>
      <c r="M11" s="13">
        <v>260</v>
      </c>
      <c r="N11" s="13">
        <v>260</v>
      </c>
      <c r="O11" s="13">
        <v>260</v>
      </c>
      <c r="P11" s="13">
        <v>260</v>
      </c>
      <c r="Q11" s="13">
        <v>227.5</v>
      </c>
      <c r="R11" s="13">
        <v>227.5</v>
      </c>
      <c r="S11" s="13">
        <v>227.5</v>
      </c>
      <c r="T11" s="13">
        <v>249.16666666666669</v>
      </c>
      <c r="U11" s="13">
        <v>249.16666666666669</v>
      </c>
      <c r="W11" s="13"/>
      <c r="X11" s="2"/>
    </row>
    <row r="12" spans="1:24" ht="15.75" customHeight="1" x14ac:dyDescent="0.15">
      <c r="A12" s="3" t="s">
        <v>13</v>
      </c>
      <c r="B12" s="14" t="s">
        <v>49</v>
      </c>
      <c r="C12" s="15" t="s">
        <v>42</v>
      </c>
      <c r="D12" s="16">
        <v>281.66666666666669</v>
      </c>
      <c r="E12" s="16">
        <v>276.25</v>
      </c>
      <c r="F12" s="16">
        <v>276.25</v>
      </c>
      <c r="G12" s="16">
        <v>281.66666666666669</v>
      </c>
      <c r="H12" s="16">
        <v>281.66666666666669</v>
      </c>
      <c r="I12" s="16">
        <v>292.5</v>
      </c>
      <c r="J12" s="16">
        <v>292.5</v>
      </c>
      <c r="K12" s="16">
        <v>292.5</v>
      </c>
      <c r="L12" s="16">
        <v>292.5</v>
      </c>
      <c r="M12" s="16">
        <v>292.5</v>
      </c>
      <c r="N12" s="16">
        <v>292.5</v>
      </c>
      <c r="O12" s="16">
        <v>292.5</v>
      </c>
      <c r="P12" s="16">
        <v>292.5</v>
      </c>
      <c r="Q12" s="16">
        <v>276.25</v>
      </c>
      <c r="R12" s="16">
        <v>276.25</v>
      </c>
      <c r="S12" s="16">
        <v>276.25</v>
      </c>
      <c r="T12" s="16">
        <v>292.5</v>
      </c>
      <c r="U12" s="16">
        <v>292.5</v>
      </c>
      <c r="W12" s="16"/>
      <c r="X12" s="2"/>
    </row>
    <row r="13" spans="1:24" ht="15.75" customHeight="1" x14ac:dyDescent="0.15">
      <c r="A13" s="3" t="s">
        <v>13</v>
      </c>
      <c r="B13" s="14" t="s">
        <v>32</v>
      </c>
      <c r="C13" s="15" t="s">
        <v>44</v>
      </c>
      <c r="D13" s="16">
        <v>281.66666666666669</v>
      </c>
      <c r="E13" s="16">
        <v>276.25</v>
      </c>
      <c r="F13" s="16">
        <v>276.25</v>
      </c>
      <c r="G13" s="16">
        <v>281.66666666666669</v>
      </c>
      <c r="H13" s="16">
        <v>281.66666666666669</v>
      </c>
      <c r="I13" s="16">
        <v>292.5</v>
      </c>
      <c r="J13" s="16">
        <v>292.5</v>
      </c>
      <c r="K13" s="16">
        <v>292.5</v>
      </c>
      <c r="L13" s="16">
        <v>292.5</v>
      </c>
      <c r="M13" s="16">
        <v>292.5</v>
      </c>
      <c r="N13" s="16">
        <v>292.5</v>
      </c>
      <c r="O13" s="16">
        <v>292.5</v>
      </c>
      <c r="P13" s="16">
        <v>292.5</v>
      </c>
      <c r="Q13" s="16">
        <v>287.08333333333331</v>
      </c>
      <c r="R13" s="16">
        <v>276.25</v>
      </c>
      <c r="S13" s="16">
        <v>276.25</v>
      </c>
      <c r="T13" s="16">
        <v>292.5</v>
      </c>
      <c r="U13" s="16">
        <v>292.5</v>
      </c>
      <c r="W13" s="16"/>
      <c r="X13" s="2"/>
    </row>
    <row r="14" spans="1:24" ht="15.75" customHeight="1" x14ac:dyDescent="0.15">
      <c r="A14" s="3" t="s">
        <v>13</v>
      </c>
      <c r="B14" s="14" t="s">
        <v>52</v>
      </c>
      <c r="C14" s="15" t="s">
        <v>41</v>
      </c>
      <c r="D14" s="16">
        <v>270.83333333333331</v>
      </c>
      <c r="E14" s="16">
        <v>260</v>
      </c>
      <c r="F14" s="16">
        <v>265.41666666666669</v>
      </c>
      <c r="G14" s="16">
        <v>270.83333333333331</v>
      </c>
      <c r="H14" s="16">
        <v>270.83333333333331</v>
      </c>
      <c r="I14" s="16">
        <v>281.66666666666669</v>
      </c>
      <c r="J14" s="16">
        <v>281.66666666666669</v>
      </c>
      <c r="K14" s="16">
        <v>281.66666666666669</v>
      </c>
      <c r="L14" s="16">
        <v>281.66666666666669</v>
      </c>
      <c r="M14" s="16">
        <v>281.66666666666669</v>
      </c>
      <c r="N14" s="16">
        <v>281.66666666666669</v>
      </c>
      <c r="O14" s="16">
        <v>281.66666666666669</v>
      </c>
      <c r="P14" s="16">
        <v>281.66666666666669</v>
      </c>
      <c r="Q14" s="16">
        <v>265.41666666666669</v>
      </c>
      <c r="R14" s="16">
        <v>265.41666666666669</v>
      </c>
      <c r="S14" s="16">
        <v>265.41666666666669</v>
      </c>
      <c r="T14" s="16">
        <v>281.66666666666669</v>
      </c>
      <c r="U14" s="16">
        <v>281.66666666666669</v>
      </c>
      <c r="W14" s="16"/>
      <c r="X14" s="2"/>
    </row>
    <row r="15" spans="1:24" ht="15.75" customHeight="1" x14ac:dyDescent="0.15">
      <c r="A15" s="3" t="s">
        <v>13</v>
      </c>
      <c r="B15" s="3" t="s">
        <v>56</v>
      </c>
      <c r="C15" s="3" t="s">
        <v>57</v>
      </c>
      <c r="D15" s="13">
        <v>260</v>
      </c>
      <c r="E15" s="13">
        <v>260</v>
      </c>
      <c r="F15" s="13">
        <v>260</v>
      </c>
      <c r="G15" s="13">
        <v>265.41666666666669</v>
      </c>
      <c r="H15" s="13">
        <v>265.41666666666669</v>
      </c>
      <c r="I15" s="13">
        <v>265.41666666666669</v>
      </c>
      <c r="J15" s="13">
        <v>276.25</v>
      </c>
      <c r="K15" s="13">
        <v>276.25</v>
      </c>
      <c r="L15" s="13">
        <v>276.25</v>
      </c>
      <c r="M15" s="13">
        <v>276.25</v>
      </c>
      <c r="N15" s="13">
        <v>276.25</v>
      </c>
      <c r="O15" s="13">
        <v>276.25</v>
      </c>
      <c r="P15" s="13">
        <v>260</v>
      </c>
      <c r="Q15" s="13">
        <v>249.16666666666669</v>
      </c>
      <c r="R15" s="13">
        <v>249.16666666666669</v>
      </c>
      <c r="S15" s="13">
        <v>249.16666666666669</v>
      </c>
      <c r="T15" s="13">
        <v>270.83333333333331</v>
      </c>
      <c r="U15" s="13">
        <v>270.83333333333331</v>
      </c>
      <c r="W15" s="13"/>
      <c r="X15" s="2"/>
    </row>
    <row r="16" spans="1:24" ht="15.75" customHeight="1" x14ac:dyDescent="0.15">
      <c r="A16" s="3" t="s">
        <v>13</v>
      </c>
      <c r="B16" s="3" t="s">
        <v>37</v>
      </c>
      <c r="C16" s="1" t="s">
        <v>29</v>
      </c>
      <c r="D16" s="13">
        <v>276.25</v>
      </c>
      <c r="E16" s="13">
        <v>281.66666666666669</v>
      </c>
      <c r="F16" s="13">
        <v>281.66666666666669</v>
      </c>
      <c r="G16" s="13">
        <v>287.08333333333331</v>
      </c>
      <c r="H16" s="13">
        <v>287.08333333333331</v>
      </c>
      <c r="I16" s="13">
        <v>297.91666666666669</v>
      </c>
      <c r="J16" s="13">
        <v>297.91666666666669</v>
      </c>
      <c r="K16" s="13">
        <v>297.91666666666669</v>
      </c>
      <c r="L16" s="13">
        <v>297.91666666666669</v>
      </c>
      <c r="M16" s="13">
        <v>297.91666666666669</v>
      </c>
      <c r="N16" s="13">
        <v>297.91666666666669</v>
      </c>
      <c r="O16" s="13">
        <v>297.91666666666669</v>
      </c>
      <c r="P16" s="13">
        <v>297.91666666666669</v>
      </c>
      <c r="Q16" s="13">
        <v>292.5</v>
      </c>
      <c r="R16" s="13">
        <v>281.66666666666669</v>
      </c>
      <c r="S16" s="13">
        <v>281.66666666666669</v>
      </c>
      <c r="T16" s="13">
        <v>297.91666666666669</v>
      </c>
      <c r="U16" s="13">
        <v>297.91666666666669</v>
      </c>
      <c r="W16" s="13"/>
    </row>
    <row r="17" spans="1:23" ht="15.75" customHeight="1" x14ac:dyDescent="0.15">
      <c r="A17" s="3" t="s">
        <v>13</v>
      </c>
      <c r="B17" s="14" t="s">
        <v>36</v>
      </c>
      <c r="C17" s="15" t="s">
        <v>28</v>
      </c>
      <c r="D17" s="16">
        <v>265.41666666666669</v>
      </c>
      <c r="E17" s="16">
        <v>265.41666666666669</v>
      </c>
      <c r="F17" s="16">
        <v>260</v>
      </c>
      <c r="G17" s="16">
        <v>265.41666666666669</v>
      </c>
      <c r="H17" s="16">
        <v>265.41666666666669</v>
      </c>
      <c r="I17" s="16">
        <v>276.25</v>
      </c>
      <c r="J17" s="16">
        <v>276.25</v>
      </c>
      <c r="K17" s="16">
        <v>276.25</v>
      </c>
      <c r="L17" s="16">
        <v>276.25</v>
      </c>
      <c r="M17" s="16">
        <v>276.25</v>
      </c>
      <c r="N17" s="16">
        <v>276.25</v>
      </c>
      <c r="O17" s="16">
        <v>276.25</v>
      </c>
      <c r="P17" s="16">
        <v>276.25</v>
      </c>
      <c r="Q17" s="16">
        <v>260</v>
      </c>
      <c r="R17" s="16">
        <v>260</v>
      </c>
      <c r="S17" s="16">
        <v>260</v>
      </c>
      <c r="T17" s="16">
        <v>276.25</v>
      </c>
      <c r="U17" s="16">
        <v>276.25</v>
      </c>
      <c r="W17" s="16"/>
    </row>
    <row r="18" spans="1:23" ht="15.75" customHeight="1" x14ac:dyDescent="0.15">
      <c r="A18" s="3" t="s">
        <v>12</v>
      </c>
      <c r="B18" s="3" t="s">
        <v>48</v>
      </c>
      <c r="C18" s="1" t="s">
        <v>40</v>
      </c>
      <c r="D18" s="13">
        <v>270.83333333333331</v>
      </c>
      <c r="E18" s="13">
        <v>260</v>
      </c>
      <c r="F18" s="13">
        <v>260</v>
      </c>
      <c r="G18" s="13">
        <v>270.83333333333331</v>
      </c>
      <c r="H18" s="13">
        <v>270.83333333333331</v>
      </c>
      <c r="I18" s="13">
        <v>270.83333333333331</v>
      </c>
      <c r="J18" s="13">
        <v>276.25</v>
      </c>
      <c r="K18" s="13">
        <v>276.25</v>
      </c>
      <c r="L18" s="13">
        <v>276.25</v>
      </c>
      <c r="M18" s="13">
        <v>276.25</v>
      </c>
      <c r="N18" s="13">
        <v>276.25</v>
      </c>
      <c r="O18" s="13">
        <v>276.25</v>
      </c>
      <c r="P18" s="13">
        <v>265.41666666666669</v>
      </c>
      <c r="Q18" s="13">
        <v>254.58333333333331</v>
      </c>
      <c r="R18" s="13">
        <v>254.58333333333331</v>
      </c>
      <c r="S18" s="13">
        <v>254.58333333333331</v>
      </c>
      <c r="T18" s="13">
        <v>276.25</v>
      </c>
      <c r="U18" s="13">
        <v>276.25</v>
      </c>
    </row>
    <row r="19" spans="1:23" ht="15.75" customHeight="1" x14ac:dyDescent="0.15">
      <c r="A19" s="3" t="s">
        <v>12</v>
      </c>
      <c r="B19" s="3" t="s">
        <v>58</v>
      </c>
      <c r="C19" s="3" t="s">
        <v>59</v>
      </c>
      <c r="D19" s="31">
        <v>260</v>
      </c>
      <c r="E19" s="31">
        <v>254.58333333333331</v>
      </c>
      <c r="F19" s="31">
        <v>254.58333333333331</v>
      </c>
      <c r="G19" s="31">
        <v>260</v>
      </c>
      <c r="H19" s="31">
        <v>265.41666666666669</v>
      </c>
      <c r="I19" s="31">
        <v>265.41666666666669</v>
      </c>
      <c r="J19" s="31">
        <v>265.41666666666669</v>
      </c>
      <c r="K19" s="31">
        <v>265.41666666666669</v>
      </c>
      <c r="L19" s="31">
        <v>265.41666666666669</v>
      </c>
      <c r="M19" s="31">
        <v>265.41666666666669</v>
      </c>
      <c r="N19" s="31">
        <v>265.41666666666669</v>
      </c>
      <c r="O19" s="31">
        <v>260</v>
      </c>
      <c r="P19" s="31">
        <v>260</v>
      </c>
      <c r="Q19" s="31">
        <v>249.16666666666669</v>
      </c>
      <c r="R19" s="31">
        <v>249.16666666666669</v>
      </c>
      <c r="S19" s="31">
        <v>260</v>
      </c>
      <c r="T19" s="31">
        <v>265.41666666666669</v>
      </c>
      <c r="U19" s="31">
        <v>265.41666666666669</v>
      </c>
    </row>
    <row r="20" spans="1:23" ht="15.75" customHeight="1" x14ac:dyDescent="0.15">
      <c r="A20" s="3" t="s">
        <v>12</v>
      </c>
      <c r="B20" s="3" t="s">
        <v>51</v>
      </c>
      <c r="C20" s="1" t="s">
        <v>45</v>
      </c>
      <c r="D20" s="13">
        <v>270.83333333333331</v>
      </c>
      <c r="E20" s="13">
        <v>265.41666666666669</v>
      </c>
      <c r="F20" s="13">
        <v>265.41666666666669</v>
      </c>
      <c r="G20" s="13">
        <v>270.83333333333331</v>
      </c>
      <c r="H20" s="13">
        <v>270.83333333333331</v>
      </c>
      <c r="I20" s="13">
        <v>276.25</v>
      </c>
      <c r="J20" s="13">
        <v>276.25</v>
      </c>
      <c r="K20" s="13">
        <v>276.25</v>
      </c>
      <c r="L20" s="13">
        <v>276.25</v>
      </c>
      <c r="M20" s="13">
        <v>276.25</v>
      </c>
      <c r="N20" s="13">
        <v>276.25</v>
      </c>
      <c r="O20" s="13">
        <v>276.25</v>
      </c>
      <c r="P20" s="13">
        <v>270.83333333333331</v>
      </c>
      <c r="Q20" s="13">
        <v>260</v>
      </c>
      <c r="R20" s="13">
        <v>260</v>
      </c>
      <c r="S20" s="13">
        <v>260</v>
      </c>
      <c r="T20" s="13">
        <v>276.25</v>
      </c>
      <c r="U20" s="13">
        <v>276.25</v>
      </c>
    </row>
    <row r="21" spans="1:23" ht="15.75" customHeight="1" x14ac:dyDescent="0.15">
      <c r="A21" s="3" t="s">
        <v>12</v>
      </c>
      <c r="B21" s="3" t="s">
        <v>47</v>
      </c>
      <c r="C21" s="1" t="s">
        <v>39</v>
      </c>
      <c r="D21" s="13">
        <v>260</v>
      </c>
      <c r="E21" s="13">
        <v>260</v>
      </c>
      <c r="F21" s="13">
        <v>260</v>
      </c>
      <c r="G21" s="13">
        <v>265.41666666666669</v>
      </c>
      <c r="H21" s="13">
        <v>265.41666666666669</v>
      </c>
      <c r="I21" s="13">
        <v>265.41666666666669</v>
      </c>
      <c r="J21" s="13">
        <v>276.25</v>
      </c>
      <c r="K21" s="13">
        <v>276.25</v>
      </c>
      <c r="L21" s="13">
        <v>276.25</v>
      </c>
      <c r="M21" s="13">
        <v>276.25</v>
      </c>
      <c r="N21" s="13">
        <v>276.25</v>
      </c>
      <c r="O21" s="13">
        <v>276.25</v>
      </c>
      <c r="P21" s="13">
        <v>260</v>
      </c>
      <c r="Q21" s="13">
        <v>249.16666666666669</v>
      </c>
      <c r="R21" s="13">
        <v>249.16666666666669</v>
      </c>
      <c r="S21" s="13">
        <v>249.16666666666669</v>
      </c>
      <c r="T21" s="13">
        <v>270.83333333333331</v>
      </c>
      <c r="U21" s="13">
        <v>270.83333333333331</v>
      </c>
    </row>
    <row r="22" spans="1:23" ht="15.75" customHeight="1" x14ac:dyDescent="0.15">
      <c r="A22" s="3" t="s">
        <v>12</v>
      </c>
      <c r="B22" s="3" t="s">
        <v>33</v>
      </c>
      <c r="C22" s="1" t="s">
        <v>30</v>
      </c>
      <c r="D22" s="13">
        <v>265.41666666666669</v>
      </c>
      <c r="E22" s="13">
        <v>265.41666666666669</v>
      </c>
      <c r="F22" s="13">
        <v>254.58333333333331</v>
      </c>
      <c r="G22" s="13">
        <v>281.66666666666669</v>
      </c>
      <c r="H22" s="13">
        <v>281.66666666666669</v>
      </c>
      <c r="I22" s="13">
        <v>292.5</v>
      </c>
      <c r="J22" s="13">
        <v>292.5</v>
      </c>
      <c r="K22" s="13">
        <v>292.5</v>
      </c>
      <c r="L22" s="13">
        <v>292.5</v>
      </c>
      <c r="M22" s="13">
        <v>292.5</v>
      </c>
      <c r="N22" s="13">
        <v>292.5</v>
      </c>
      <c r="O22" s="13">
        <v>292.5</v>
      </c>
      <c r="P22" s="13">
        <v>292.5</v>
      </c>
      <c r="Q22" s="13">
        <v>287.08333333333331</v>
      </c>
      <c r="R22" s="13">
        <v>276.25</v>
      </c>
      <c r="S22" s="13">
        <v>276.25</v>
      </c>
      <c r="T22" s="13">
        <v>292.5</v>
      </c>
      <c r="U22" s="13">
        <v>292.5</v>
      </c>
    </row>
    <row r="23" spans="1:23" ht="15.75" customHeight="1" x14ac:dyDescent="0.15">
      <c r="A23" s="3" t="s">
        <v>12</v>
      </c>
      <c r="B23" s="14" t="s">
        <v>50</v>
      </c>
      <c r="C23" s="15" t="s">
        <v>43</v>
      </c>
      <c r="D23" s="16">
        <v>270.83333333333331</v>
      </c>
      <c r="E23" s="16">
        <v>265.41666666666669</v>
      </c>
      <c r="F23" s="16">
        <v>265.41666666666669</v>
      </c>
      <c r="G23" s="16">
        <v>270.83333333333331</v>
      </c>
      <c r="H23" s="16">
        <v>270.83333333333331</v>
      </c>
      <c r="I23" s="16">
        <v>281.66666666666669</v>
      </c>
      <c r="J23" s="16">
        <v>281.66666666666669</v>
      </c>
      <c r="K23" s="16">
        <v>281.66666666666669</v>
      </c>
      <c r="L23" s="16">
        <v>281.66666666666669</v>
      </c>
      <c r="M23" s="16">
        <v>281.66666666666669</v>
      </c>
      <c r="N23" s="16">
        <v>281.66666666666669</v>
      </c>
      <c r="O23" s="16">
        <v>281.66666666666669</v>
      </c>
      <c r="P23" s="16">
        <v>281.66666666666669</v>
      </c>
      <c r="Q23" s="16">
        <v>265.41666666666669</v>
      </c>
      <c r="R23" s="16">
        <v>265.41666666666669</v>
      </c>
      <c r="S23" s="16">
        <v>265.41666666666669</v>
      </c>
      <c r="T23" s="16">
        <v>281.66666666666669</v>
      </c>
      <c r="U23" s="16">
        <v>281.66666666666669</v>
      </c>
    </row>
    <row r="24" spans="1:23" ht="15.75" customHeight="1" x14ac:dyDescent="0.15">
      <c r="A24" s="3" t="s">
        <v>12</v>
      </c>
      <c r="B24" s="3" t="s">
        <v>34</v>
      </c>
      <c r="C24" s="1" t="s">
        <v>46</v>
      </c>
      <c r="D24" s="13">
        <v>270.83333333333331</v>
      </c>
      <c r="E24" s="13">
        <v>265.41666666666669</v>
      </c>
      <c r="F24" s="13">
        <v>265.41666666666669</v>
      </c>
      <c r="G24" s="13">
        <v>270.83333333333331</v>
      </c>
      <c r="H24" s="13">
        <v>276.25</v>
      </c>
      <c r="I24" s="13">
        <v>276.25</v>
      </c>
      <c r="J24" s="13">
        <v>276.25</v>
      </c>
      <c r="K24" s="13">
        <v>276.25</v>
      </c>
      <c r="L24" s="13">
        <v>276.25</v>
      </c>
      <c r="M24" s="13">
        <v>276.25</v>
      </c>
      <c r="N24" s="13">
        <v>276.25</v>
      </c>
      <c r="O24" s="13">
        <v>270.83333333333331</v>
      </c>
      <c r="P24" s="13">
        <v>270.83333333333331</v>
      </c>
      <c r="Q24" s="13">
        <v>260</v>
      </c>
      <c r="R24" s="13">
        <v>260</v>
      </c>
      <c r="S24" s="13">
        <v>270.83333333333331</v>
      </c>
      <c r="T24" s="13">
        <v>276.25</v>
      </c>
      <c r="U24" s="13">
        <v>276.25</v>
      </c>
    </row>
    <row r="25" spans="1:23" ht="15.75" customHeight="1" x14ac:dyDescent="0.15">
      <c r="A25" s="3" t="s">
        <v>12</v>
      </c>
      <c r="B25" s="3" t="s">
        <v>35</v>
      </c>
      <c r="C25" s="1" t="s">
        <v>31</v>
      </c>
      <c r="D25" s="13">
        <v>238.33333333333331</v>
      </c>
      <c r="E25" s="13">
        <v>238.33333333333331</v>
      </c>
      <c r="F25" s="13">
        <v>238.33333333333331</v>
      </c>
      <c r="G25" s="13">
        <v>238.33333333333331</v>
      </c>
      <c r="H25" s="13">
        <v>249.16666666666669</v>
      </c>
      <c r="I25" s="13">
        <v>249.16666666666669</v>
      </c>
      <c r="J25" s="13">
        <v>249.16666666666669</v>
      </c>
      <c r="K25" s="13">
        <v>260</v>
      </c>
      <c r="L25" s="13">
        <v>260</v>
      </c>
      <c r="M25" s="13">
        <v>260</v>
      </c>
      <c r="N25" s="13">
        <v>260</v>
      </c>
      <c r="O25" s="13">
        <v>260</v>
      </c>
      <c r="P25" s="13">
        <v>260</v>
      </c>
      <c r="Q25" s="13">
        <v>227.5</v>
      </c>
      <c r="R25" s="13">
        <v>227.5</v>
      </c>
      <c r="S25" s="13">
        <v>227.5</v>
      </c>
      <c r="T25" s="13">
        <v>249.16666666666669</v>
      </c>
      <c r="U25" s="13">
        <v>249.16666666666669</v>
      </c>
    </row>
    <row r="26" spans="1:23" ht="15.75" customHeight="1" x14ac:dyDescent="0.15">
      <c r="A26" s="3" t="s">
        <v>12</v>
      </c>
      <c r="B26" s="14" t="s">
        <v>49</v>
      </c>
      <c r="C26" s="15" t="s">
        <v>42</v>
      </c>
      <c r="D26" s="16">
        <v>281.66666666666669</v>
      </c>
      <c r="E26" s="16">
        <v>276.25</v>
      </c>
      <c r="F26" s="16">
        <v>276.25</v>
      </c>
      <c r="G26" s="16">
        <v>281.66666666666669</v>
      </c>
      <c r="H26" s="16">
        <v>281.66666666666669</v>
      </c>
      <c r="I26" s="16">
        <v>292.5</v>
      </c>
      <c r="J26" s="16">
        <v>292.5</v>
      </c>
      <c r="K26" s="16">
        <v>292.5</v>
      </c>
      <c r="L26" s="16">
        <v>292.5</v>
      </c>
      <c r="M26" s="16">
        <v>292.5</v>
      </c>
      <c r="N26" s="16">
        <v>292.5</v>
      </c>
      <c r="O26" s="16">
        <v>292.5</v>
      </c>
      <c r="P26" s="16">
        <v>292.5</v>
      </c>
      <c r="Q26" s="16">
        <v>276.25</v>
      </c>
      <c r="R26" s="16">
        <v>276.25</v>
      </c>
      <c r="S26" s="16">
        <v>276.25</v>
      </c>
      <c r="T26" s="16">
        <v>292.5</v>
      </c>
      <c r="U26" s="16">
        <v>292.5</v>
      </c>
    </row>
    <row r="27" spans="1:23" ht="15.75" customHeight="1" x14ac:dyDescent="0.15">
      <c r="A27" s="3" t="s">
        <v>12</v>
      </c>
      <c r="B27" s="14" t="s">
        <v>32</v>
      </c>
      <c r="C27" s="15" t="s">
        <v>44</v>
      </c>
      <c r="D27" s="16">
        <v>281.66666666666669</v>
      </c>
      <c r="E27" s="16">
        <v>276.25</v>
      </c>
      <c r="F27" s="16">
        <v>276.25</v>
      </c>
      <c r="G27" s="16">
        <v>281.66666666666669</v>
      </c>
      <c r="H27" s="16">
        <v>281.66666666666669</v>
      </c>
      <c r="I27" s="16">
        <v>292.5</v>
      </c>
      <c r="J27" s="16">
        <v>292.5</v>
      </c>
      <c r="K27" s="16">
        <v>292.5</v>
      </c>
      <c r="L27" s="16">
        <v>292.5</v>
      </c>
      <c r="M27" s="16">
        <v>292.5</v>
      </c>
      <c r="N27" s="16">
        <v>292.5</v>
      </c>
      <c r="O27" s="16">
        <v>292.5</v>
      </c>
      <c r="P27" s="16">
        <v>292.5</v>
      </c>
      <c r="Q27" s="16">
        <v>287.08333333333331</v>
      </c>
      <c r="R27" s="16">
        <v>276.25</v>
      </c>
      <c r="S27" s="16">
        <v>276.25</v>
      </c>
      <c r="T27" s="16">
        <v>292.5</v>
      </c>
      <c r="U27" s="16">
        <v>292.5</v>
      </c>
    </row>
    <row r="28" spans="1:23" ht="15.75" customHeight="1" x14ac:dyDescent="0.15">
      <c r="A28" s="3" t="s">
        <v>12</v>
      </c>
      <c r="B28" s="14" t="s">
        <v>52</v>
      </c>
      <c r="C28" s="15" t="s">
        <v>41</v>
      </c>
      <c r="D28" s="16">
        <v>270.83333333333331</v>
      </c>
      <c r="E28" s="16">
        <v>260</v>
      </c>
      <c r="F28" s="16">
        <v>265.41666666666669</v>
      </c>
      <c r="G28" s="16">
        <v>270.83333333333331</v>
      </c>
      <c r="H28" s="16">
        <v>270.83333333333331</v>
      </c>
      <c r="I28" s="16">
        <v>281.66666666666669</v>
      </c>
      <c r="J28" s="16">
        <v>281.66666666666669</v>
      </c>
      <c r="K28" s="16">
        <v>281.66666666666669</v>
      </c>
      <c r="L28" s="16">
        <v>281.66666666666669</v>
      </c>
      <c r="M28" s="16">
        <v>281.66666666666669</v>
      </c>
      <c r="N28" s="16">
        <v>281.66666666666669</v>
      </c>
      <c r="O28" s="16">
        <v>281.66666666666669</v>
      </c>
      <c r="P28" s="16">
        <v>281.66666666666669</v>
      </c>
      <c r="Q28" s="16">
        <v>265.41666666666669</v>
      </c>
      <c r="R28" s="16">
        <v>265.41666666666669</v>
      </c>
      <c r="S28" s="16">
        <v>265.41666666666669</v>
      </c>
      <c r="T28" s="16">
        <v>281.66666666666669</v>
      </c>
      <c r="U28" s="16">
        <v>281.66666666666669</v>
      </c>
    </row>
    <row r="29" spans="1:23" ht="15.75" customHeight="1" x14ac:dyDescent="0.15">
      <c r="A29" s="3" t="s">
        <v>12</v>
      </c>
      <c r="B29" s="3" t="s">
        <v>56</v>
      </c>
      <c r="C29" s="3" t="s">
        <v>57</v>
      </c>
      <c r="D29" s="13">
        <v>260</v>
      </c>
      <c r="E29" s="13">
        <v>260</v>
      </c>
      <c r="F29" s="13">
        <v>260</v>
      </c>
      <c r="G29" s="13">
        <v>265.41666666666669</v>
      </c>
      <c r="H29" s="13">
        <v>265.41666666666669</v>
      </c>
      <c r="I29" s="13">
        <v>265.41666666666669</v>
      </c>
      <c r="J29" s="13">
        <v>276.25</v>
      </c>
      <c r="K29" s="13">
        <v>276.25</v>
      </c>
      <c r="L29" s="13">
        <v>276.25</v>
      </c>
      <c r="M29" s="13">
        <v>276.25</v>
      </c>
      <c r="N29" s="13">
        <v>276.25</v>
      </c>
      <c r="O29" s="13">
        <v>276.25</v>
      </c>
      <c r="P29" s="13">
        <v>260</v>
      </c>
      <c r="Q29" s="13">
        <v>249.16666666666669</v>
      </c>
      <c r="R29" s="13">
        <v>249.16666666666669</v>
      </c>
      <c r="S29" s="13">
        <v>249.16666666666669</v>
      </c>
      <c r="T29" s="13">
        <v>270.83333333333331</v>
      </c>
      <c r="U29" s="13">
        <v>270.83333333333331</v>
      </c>
    </row>
    <row r="30" spans="1:23" ht="15.75" customHeight="1" x14ac:dyDescent="0.15">
      <c r="A30" s="3" t="s">
        <v>12</v>
      </c>
      <c r="B30" s="3" t="s">
        <v>37</v>
      </c>
      <c r="C30" s="1" t="s">
        <v>29</v>
      </c>
      <c r="D30" s="13">
        <v>276.25</v>
      </c>
      <c r="E30" s="13">
        <v>281.66666666666669</v>
      </c>
      <c r="F30" s="13">
        <v>281.66666666666669</v>
      </c>
      <c r="G30" s="13">
        <v>287.08333333333331</v>
      </c>
      <c r="H30" s="13">
        <v>287.08333333333331</v>
      </c>
      <c r="I30" s="13">
        <v>297.91666666666669</v>
      </c>
      <c r="J30" s="13">
        <v>297.91666666666669</v>
      </c>
      <c r="K30" s="13">
        <v>297.91666666666669</v>
      </c>
      <c r="L30" s="13">
        <v>297.91666666666669</v>
      </c>
      <c r="M30" s="13">
        <v>297.91666666666669</v>
      </c>
      <c r="N30" s="13">
        <v>297.91666666666669</v>
      </c>
      <c r="O30" s="13">
        <v>297.91666666666669</v>
      </c>
      <c r="P30" s="13">
        <v>297.91666666666669</v>
      </c>
      <c r="Q30" s="13">
        <v>292.5</v>
      </c>
      <c r="R30" s="13">
        <v>281.66666666666669</v>
      </c>
      <c r="S30" s="13">
        <v>281.66666666666669</v>
      </c>
      <c r="T30" s="13">
        <v>297.91666666666669</v>
      </c>
      <c r="U30" s="13">
        <v>297.91666666666669</v>
      </c>
    </row>
    <row r="31" spans="1:23" ht="15.75" customHeight="1" x14ac:dyDescent="0.15">
      <c r="A31" s="3" t="s">
        <v>12</v>
      </c>
      <c r="B31" s="14" t="s">
        <v>36</v>
      </c>
      <c r="C31" s="15" t="s">
        <v>28</v>
      </c>
      <c r="D31" s="16">
        <v>265.41666666666669</v>
      </c>
      <c r="E31" s="16">
        <v>265.41666666666669</v>
      </c>
      <c r="F31" s="16">
        <v>260</v>
      </c>
      <c r="G31" s="16">
        <v>265.41666666666669</v>
      </c>
      <c r="H31" s="16">
        <v>265.41666666666669</v>
      </c>
      <c r="I31" s="16">
        <v>276.25</v>
      </c>
      <c r="J31" s="16">
        <v>276.25</v>
      </c>
      <c r="K31" s="16">
        <v>276.25</v>
      </c>
      <c r="L31" s="16">
        <v>276.25</v>
      </c>
      <c r="M31" s="16">
        <v>276.25</v>
      </c>
      <c r="N31" s="16">
        <v>276.25</v>
      </c>
      <c r="O31" s="16">
        <v>276.25</v>
      </c>
      <c r="P31" s="16">
        <v>276.25</v>
      </c>
      <c r="Q31" s="16">
        <v>260</v>
      </c>
      <c r="R31" s="16">
        <v>260</v>
      </c>
      <c r="S31" s="16">
        <v>260</v>
      </c>
      <c r="T31" s="16">
        <v>276.25</v>
      </c>
      <c r="U31" s="16">
        <v>276.25</v>
      </c>
    </row>
    <row r="36" spans="3:21" ht="15.75" customHeight="1" x14ac:dyDescent="0.15"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</row>
    <row r="37" spans="3:21" ht="15.75" customHeight="1" x14ac:dyDescent="0.15"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</row>
    <row r="38" spans="3:21" ht="15.75" customHeight="1" x14ac:dyDescent="0.15"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</row>
    <row r="39" spans="3:21" ht="15.75" customHeight="1" x14ac:dyDescent="0.15"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</row>
    <row r="40" spans="3:21" ht="15.75" customHeight="1" x14ac:dyDescent="0.15"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</row>
    <row r="41" spans="3:21" ht="15.75" customHeight="1" x14ac:dyDescent="0.15"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</row>
    <row r="42" spans="3:21" ht="15.75" customHeight="1" x14ac:dyDescent="0.15"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</row>
    <row r="43" spans="3:21" ht="15.75" customHeight="1" x14ac:dyDescent="0.15"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</row>
    <row r="44" spans="3:21" ht="15.75" customHeight="1" x14ac:dyDescent="0.15"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</row>
    <row r="45" spans="3:21" ht="15.75" customHeight="1" x14ac:dyDescent="0.15"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</row>
    <row r="46" spans="3:21" ht="15.75" customHeight="1" x14ac:dyDescent="0.15"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</row>
    <row r="47" spans="3:21" ht="15.75" customHeight="1" x14ac:dyDescent="0.15"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</row>
    <row r="48" spans="3:21" ht="15.75" customHeight="1" x14ac:dyDescent="0.15"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</row>
    <row r="49" spans="3:21" ht="15.75" customHeight="1" x14ac:dyDescent="0.15"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</row>
    <row r="50" spans="3:21" ht="15.75" customHeight="1" x14ac:dyDescent="0.15"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</row>
    <row r="51" spans="3:21" ht="15.75" customHeight="1" x14ac:dyDescent="0.15"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</row>
    <row r="52" spans="3:21" ht="15.75" customHeight="1" x14ac:dyDescent="0.15"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</row>
    <row r="53" spans="3:21" ht="15.75" customHeight="1" x14ac:dyDescent="0.15"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</row>
    <row r="54" spans="3:21" ht="15.75" customHeight="1" x14ac:dyDescent="0.15"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</row>
    <row r="55" spans="3:21" ht="15.75" customHeight="1" x14ac:dyDescent="0.15"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</row>
    <row r="56" spans="3:21" ht="15.75" customHeight="1" x14ac:dyDescent="0.15"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</row>
    <row r="57" spans="3:21" ht="15.75" customHeight="1" x14ac:dyDescent="0.15"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</row>
    <row r="58" spans="3:21" ht="15.75" customHeight="1" x14ac:dyDescent="0.15"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</row>
    <row r="59" spans="3:21" ht="15.75" customHeight="1" x14ac:dyDescent="0.15"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</row>
    <row r="60" spans="3:21" ht="15.75" customHeight="1" x14ac:dyDescent="0.15"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</row>
    <row r="61" spans="3:21" ht="15.75" customHeight="1" x14ac:dyDescent="0.15"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</row>
    <row r="62" spans="3:21" ht="15.75" customHeight="1" x14ac:dyDescent="0.15"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</row>
    <row r="63" spans="3:21" ht="15.75" customHeight="1" x14ac:dyDescent="0.15"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</row>
    <row r="64" spans="3:21" ht="15.75" customHeight="1" x14ac:dyDescent="0.15"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</row>
    <row r="65" spans="4:21" ht="15.75" customHeight="1" x14ac:dyDescent="0.15"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</row>
    <row r="66" spans="4:21" ht="15.75" customHeight="1" x14ac:dyDescent="0.15"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</row>
    <row r="67" spans="4:21" ht="15.75" customHeight="1" x14ac:dyDescent="0.15"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</row>
    <row r="68" spans="4:21" ht="15.75" customHeight="1" x14ac:dyDescent="0.15"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</row>
    <row r="69" spans="4:21" ht="15.75" customHeight="1" x14ac:dyDescent="0.15"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</row>
    <row r="70" spans="4:21" ht="15.75" customHeight="1" x14ac:dyDescent="0.15"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</row>
    <row r="71" spans="4:21" ht="15.75" customHeight="1" x14ac:dyDescent="0.15"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</row>
    <row r="72" spans="4:21" ht="15.75" customHeight="1" x14ac:dyDescent="0.15"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</row>
    <row r="73" spans="4:21" ht="15.75" customHeight="1" x14ac:dyDescent="0.15"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</row>
    <row r="74" spans="4:21" ht="15.75" customHeight="1" x14ac:dyDescent="0.15"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</row>
    <row r="75" spans="4:21" ht="15.75" customHeight="1" x14ac:dyDescent="0.15"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</row>
    <row r="76" spans="4:21" ht="15.75" customHeight="1" x14ac:dyDescent="0.15"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</row>
    <row r="77" spans="4:21" ht="15.75" customHeight="1" x14ac:dyDescent="0.15"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</row>
    <row r="78" spans="4:21" ht="15.75" customHeight="1" x14ac:dyDescent="0.15"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</row>
    <row r="79" spans="4:21" ht="15.75" customHeight="1" x14ac:dyDescent="0.15"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</row>
    <row r="80" spans="4:21" ht="15.75" customHeight="1" x14ac:dyDescent="0.15"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</row>
    <row r="81" spans="4:21" ht="15.75" customHeight="1" x14ac:dyDescent="0.15"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</row>
    <row r="82" spans="4:21" ht="15.75" customHeight="1" x14ac:dyDescent="0.15"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</row>
    <row r="83" spans="4:21" ht="15.75" customHeight="1" x14ac:dyDescent="0.15"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</row>
    <row r="84" spans="4:21" ht="15.75" customHeight="1" x14ac:dyDescent="0.15"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</row>
    <row r="85" spans="4:21" ht="15.75" customHeight="1" x14ac:dyDescent="0.15"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</row>
    <row r="86" spans="4:21" ht="15.75" customHeight="1" x14ac:dyDescent="0.15"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</row>
    <row r="87" spans="4:21" ht="15.75" customHeight="1" x14ac:dyDescent="0.15"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</row>
    <row r="88" spans="4:21" ht="15.75" customHeight="1" x14ac:dyDescent="0.15"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</row>
    <row r="89" spans="4:21" ht="15.75" customHeight="1" x14ac:dyDescent="0.15"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</row>
    <row r="90" spans="4:21" ht="15.75" customHeight="1" x14ac:dyDescent="0.15"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</row>
    <row r="91" spans="4:21" ht="15.75" customHeight="1" x14ac:dyDescent="0.15"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</row>
    <row r="92" spans="4:21" ht="15.75" customHeight="1" x14ac:dyDescent="0.15"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</row>
    <row r="93" spans="4:21" ht="15.75" customHeight="1" x14ac:dyDescent="0.15"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</row>
    <row r="94" spans="4:21" ht="15.75" customHeight="1" x14ac:dyDescent="0.15"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</row>
    <row r="95" spans="4:21" ht="15.75" customHeight="1" x14ac:dyDescent="0.15"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</row>
    <row r="96" spans="4:21" ht="15.75" customHeight="1" x14ac:dyDescent="0.15"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</row>
    <row r="97" spans="4:21" ht="15.75" customHeight="1" x14ac:dyDescent="0.15"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</row>
    <row r="98" spans="4:21" ht="15.75" customHeight="1" x14ac:dyDescent="0.15"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</row>
    <row r="99" spans="4:21" ht="15.75" customHeight="1" x14ac:dyDescent="0.15"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</row>
    <row r="100" spans="4:21" ht="15.75" customHeight="1" x14ac:dyDescent="0.15"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</row>
    <row r="101" spans="4:21" ht="15.75" customHeight="1" x14ac:dyDescent="0.15"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</row>
    <row r="102" spans="4:21" ht="15.75" customHeight="1" x14ac:dyDescent="0.15"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</row>
    <row r="103" spans="4:21" ht="15.75" customHeight="1" x14ac:dyDescent="0.15"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</row>
    <row r="104" spans="4:21" ht="15.75" customHeight="1" x14ac:dyDescent="0.15"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</row>
    <row r="105" spans="4:21" ht="15.75" customHeight="1" x14ac:dyDescent="0.15"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</row>
    <row r="106" spans="4:21" ht="15.75" customHeight="1" x14ac:dyDescent="0.15"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</row>
    <row r="107" spans="4:21" ht="15.75" customHeight="1" x14ac:dyDescent="0.15"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</row>
    <row r="108" spans="4:21" ht="15.75" customHeight="1" x14ac:dyDescent="0.15"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</row>
    <row r="109" spans="4:21" ht="15.75" customHeight="1" x14ac:dyDescent="0.15"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</row>
    <row r="110" spans="4:21" ht="15.75" customHeight="1" x14ac:dyDescent="0.15"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</row>
    <row r="111" spans="4:21" ht="15.75" customHeight="1" x14ac:dyDescent="0.15"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</row>
    <row r="112" spans="4:21" ht="15.75" customHeight="1" x14ac:dyDescent="0.15"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</row>
    <row r="113" spans="4:21" ht="15.75" customHeight="1" x14ac:dyDescent="0.15"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</row>
    <row r="114" spans="4:21" ht="15.75" customHeight="1" x14ac:dyDescent="0.15"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</row>
    <row r="115" spans="4:21" ht="15.75" customHeight="1" x14ac:dyDescent="0.15"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</row>
    <row r="116" spans="4:21" ht="15.75" customHeight="1" x14ac:dyDescent="0.15"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</row>
    <row r="117" spans="4:21" ht="15.75" customHeight="1" x14ac:dyDescent="0.15"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</row>
    <row r="118" spans="4:21" ht="15.75" customHeight="1" x14ac:dyDescent="0.15"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</row>
    <row r="119" spans="4:21" ht="15.75" customHeight="1" x14ac:dyDescent="0.15"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</row>
    <row r="120" spans="4:21" ht="15.75" customHeight="1" x14ac:dyDescent="0.15"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</row>
    <row r="121" spans="4:21" ht="15.75" customHeight="1" x14ac:dyDescent="0.15"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</row>
    <row r="122" spans="4:21" ht="15.75" customHeight="1" x14ac:dyDescent="0.15"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</row>
    <row r="123" spans="4:21" ht="15.75" customHeight="1" x14ac:dyDescent="0.15"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</row>
    <row r="124" spans="4:21" ht="15.75" customHeight="1" x14ac:dyDescent="0.15"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</row>
    <row r="125" spans="4:21" ht="15.75" customHeight="1" x14ac:dyDescent="0.15"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</row>
    <row r="126" spans="4:21" ht="15.75" customHeight="1" x14ac:dyDescent="0.15"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</row>
    <row r="127" spans="4:21" ht="15.75" customHeight="1" x14ac:dyDescent="0.15"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</row>
    <row r="128" spans="4:21" ht="15.75" customHeight="1" x14ac:dyDescent="0.15"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</row>
    <row r="129" spans="4:21" ht="15.75" customHeight="1" x14ac:dyDescent="0.15"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</row>
    <row r="130" spans="4:21" ht="15.75" customHeight="1" x14ac:dyDescent="0.15"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</row>
    <row r="131" spans="4:21" ht="15.75" customHeight="1" x14ac:dyDescent="0.15"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</row>
    <row r="132" spans="4:21" ht="15.75" customHeight="1" x14ac:dyDescent="0.15"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</row>
    <row r="133" spans="4:21" ht="15.75" customHeight="1" x14ac:dyDescent="0.15"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</row>
    <row r="134" spans="4:21" ht="15.75" customHeight="1" x14ac:dyDescent="0.15"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</row>
    <row r="135" spans="4:21" ht="15.75" customHeight="1" x14ac:dyDescent="0.15"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</row>
    <row r="136" spans="4:21" ht="15.75" customHeight="1" x14ac:dyDescent="0.15"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</row>
    <row r="137" spans="4:21" ht="15.75" customHeight="1" x14ac:dyDescent="0.15"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</row>
    <row r="138" spans="4:21" ht="15.75" customHeight="1" x14ac:dyDescent="0.15"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</row>
    <row r="139" spans="4:21" ht="15.75" customHeight="1" x14ac:dyDescent="0.15"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</row>
    <row r="140" spans="4:21" ht="15.75" customHeight="1" x14ac:dyDescent="0.15"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</row>
    <row r="141" spans="4:21" ht="15.75" customHeight="1" x14ac:dyDescent="0.15"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</row>
    <row r="142" spans="4:21" ht="15.75" customHeight="1" x14ac:dyDescent="0.15"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</row>
    <row r="143" spans="4:21" ht="15.75" customHeight="1" x14ac:dyDescent="0.15"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</row>
    <row r="144" spans="4:21" ht="15.75" customHeight="1" x14ac:dyDescent="0.15"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</row>
  </sheetData>
  <sortState xmlns:xlrd2="http://schemas.microsoft.com/office/spreadsheetml/2017/richdata2" ref="A4:U31">
    <sortCondition ref="A4:A31"/>
    <sortCondition ref="B4:B31"/>
  </sortState>
  <conditionalFormatting sqref="E4:U15">
    <cfRule type="cellIs" dxfId="8" priority="3" operator="notEqual">
      <formula>D4</formula>
    </cfRule>
  </conditionalFormatting>
  <conditionalFormatting sqref="W4:W15">
    <cfRule type="cellIs" dxfId="7" priority="5" operator="notEqual">
      <formula>U4</formula>
    </cfRule>
  </conditionalFormatting>
  <conditionalFormatting sqref="E18:U29">
    <cfRule type="cellIs" dxfId="6" priority="1" operator="notEqual">
      <formula>D18</formula>
    </cfRule>
  </conditionalFormatting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137"/>
  <sheetViews>
    <sheetView workbookViewId="0">
      <pane xSplit="3" ySplit="3" topLeftCell="D4" activePane="bottomRight" state="frozen"/>
      <selection pane="topRight" activeCell="C1" sqref="C1"/>
      <selection pane="bottomLeft" activeCell="A4" sqref="A4"/>
      <selection pane="bottomRight" activeCell="H14" sqref="H14"/>
    </sheetView>
  </sheetViews>
  <sheetFormatPr baseColWidth="10" defaultColWidth="9.1640625" defaultRowHeight="15.75" customHeight="1" x14ac:dyDescent="0.15"/>
  <cols>
    <col min="1" max="2" width="9.1640625" style="3"/>
    <col min="3" max="3" width="9.6640625" style="3" customWidth="1"/>
    <col min="4" max="4" width="12.5" style="31" bestFit="1" customWidth="1"/>
    <col min="5" max="5" width="7.5" style="31" bestFit="1" customWidth="1"/>
    <col min="6" max="24" width="7.1640625" style="25" customWidth="1"/>
    <col min="25" max="26" width="6.1640625" style="3" customWidth="1"/>
    <col min="27" max="16384" width="9.1640625" style="3"/>
  </cols>
  <sheetData>
    <row r="1" spans="1:33" ht="15.75" customHeight="1" x14ac:dyDescent="0.15">
      <c r="B1" s="12" t="s">
        <v>62</v>
      </c>
    </row>
    <row r="2" spans="1:33" ht="15.75" customHeight="1" x14ac:dyDescent="0.15">
      <c r="A2" s="7" t="s">
        <v>72</v>
      </c>
      <c r="B2" s="45" t="s">
        <v>0</v>
      </c>
      <c r="C2" s="45" t="s">
        <v>6</v>
      </c>
      <c r="D2" s="47" t="s">
        <v>63</v>
      </c>
      <c r="E2" s="35"/>
      <c r="F2" s="8">
        <v>44256</v>
      </c>
      <c r="G2" s="8">
        <v>44287</v>
      </c>
      <c r="H2" s="8">
        <v>44317</v>
      </c>
      <c r="I2" s="8">
        <v>44348</v>
      </c>
      <c r="J2" s="8">
        <v>44378</v>
      </c>
      <c r="K2" s="8">
        <v>44409</v>
      </c>
      <c r="L2" s="8">
        <v>44440</v>
      </c>
      <c r="M2" s="8">
        <v>44470</v>
      </c>
      <c r="N2" s="8">
        <v>44501</v>
      </c>
      <c r="O2" s="8">
        <v>44531</v>
      </c>
      <c r="P2" s="8">
        <v>44562</v>
      </c>
      <c r="Q2" s="8">
        <v>44593</v>
      </c>
      <c r="R2" s="8">
        <v>44621</v>
      </c>
      <c r="S2" s="8">
        <v>44652</v>
      </c>
      <c r="T2" s="8">
        <v>44682</v>
      </c>
      <c r="U2" s="8">
        <v>44713</v>
      </c>
      <c r="V2" s="8">
        <v>44743</v>
      </c>
      <c r="W2" s="8">
        <v>44774</v>
      </c>
      <c r="X2" s="42"/>
    </row>
    <row r="3" spans="1:33" s="7" customFormat="1" ht="15.75" customHeight="1" x14ac:dyDescent="0.2">
      <c r="A3" s="3" t="s">
        <v>12</v>
      </c>
      <c r="B3" s="46" t="s">
        <v>9</v>
      </c>
      <c r="C3" s="46" t="s">
        <v>58</v>
      </c>
      <c r="D3" s="62">
        <v>58.333333333333329</v>
      </c>
      <c r="E3" s="41"/>
      <c r="F3" s="25">
        <v>1</v>
      </c>
      <c r="G3" s="25">
        <v>1</v>
      </c>
      <c r="H3" s="25">
        <v>1.1000000000000001</v>
      </c>
      <c r="I3" s="25">
        <v>1.1000000000000001</v>
      </c>
      <c r="J3" s="25">
        <v>1.1000000000000001</v>
      </c>
      <c r="K3" s="25">
        <v>1.1000000000000001</v>
      </c>
      <c r="L3" s="25">
        <v>1</v>
      </c>
      <c r="M3" s="25">
        <v>1</v>
      </c>
      <c r="N3" s="25">
        <v>1</v>
      </c>
      <c r="O3" s="25">
        <v>1</v>
      </c>
      <c r="P3" s="25">
        <v>1</v>
      </c>
      <c r="Q3" s="25">
        <v>1</v>
      </c>
      <c r="R3" s="25">
        <f t="shared" ref="R3:R48" si="0">F3</f>
        <v>1</v>
      </c>
      <c r="S3" s="25">
        <f t="shared" ref="S3:S48" si="1">G3</f>
        <v>1</v>
      </c>
      <c r="T3" s="25">
        <f t="shared" ref="T3:T48" si="2">H3</f>
        <v>1.1000000000000001</v>
      </c>
      <c r="U3" s="25">
        <f t="shared" ref="U3:U48" si="3">I3</f>
        <v>1.1000000000000001</v>
      </c>
      <c r="V3" s="25">
        <f t="shared" ref="V3:V48" si="4">J3</f>
        <v>1.1000000000000001</v>
      </c>
      <c r="W3" s="25">
        <f t="shared" ref="W3:W48" si="5">K3</f>
        <v>1.1000000000000001</v>
      </c>
      <c r="X3" s="25"/>
    </row>
    <row r="4" spans="1:33" ht="15.75" customHeight="1" x14ac:dyDescent="0.2">
      <c r="A4" s="3" t="s">
        <v>12</v>
      </c>
      <c r="B4" s="32" t="s">
        <v>9</v>
      </c>
      <c r="C4" s="32" t="s">
        <v>33</v>
      </c>
      <c r="D4" s="61">
        <v>41.666666666666671</v>
      </c>
      <c r="E4" s="41"/>
      <c r="F4" s="25">
        <v>1</v>
      </c>
      <c r="G4" s="25">
        <v>1</v>
      </c>
      <c r="H4" s="25">
        <v>1.1000000000000001</v>
      </c>
      <c r="I4" s="25">
        <v>1.1000000000000001</v>
      </c>
      <c r="J4" s="25">
        <v>1.1000000000000001</v>
      </c>
      <c r="K4" s="25">
        <v>1.1000000000000001</v>
      </c>
      <c r="L4" s="25">
        <v>1</v>
      </c>
      <c r="M4" s="25">
        <v>1</v>
      </c>
      <c r="N4" s="25">
        <v>1</v>
      </c>
      <c r="O4" s="25">
        <v>1</v>
      </c>
      <c r="P4" s="25">
        <v>1</v>
      </c>
      <c r="Q4" s="25">
        <v>1</v>
      </c>
      <c r="R4" s="25">
        <f t="shared" si="0"/>
        <v>1</v>
      </c>
      <c r="S4" s="25">
        <f t="shared" si="1"/>
        <v>1</v>
      </c>
      <c r="T4" s="25">
        <f t="shared" si="2"/>
        <v>1.1000000000000001</v>
      </c>
      <c r="U4" s="25">
        <f t="shared" si="3"/>
        <v>1.1000000000000001</v>
      </c>
      <c r="V4" s="25">
        <f t="shared" si="4"/>
        <v>1.1000000000000001</v>
      </c>
      <c r="W4" s="25">
        <f t="shared" si="5"/>
        <v>1.1000000000000001</v>
      </c>
    </row>
    <row r="5" spans="1:33" ht="15.75" customHeight="1" x14ac:dyDescent="0.2">
      <c r="A5" s="3" t="s">
        <v>12</v>
      </c>
      <c r="B5" s="32" t="s">
        <v>9</v>
      </c>
      <c r="C5" s="32" t="s">
        <v>34</v>
      </c>
      <c r="D5" s="61">
        <v>41.666666666666671</v>
      </c>
      <c r="E5" s="41"/>
      <c r="F5" s="25">
        <v>1</v>
      </c>
      <c r="G5" s="25">
        <v>1</v>
      </c>
      <c r="H5" s="25">
        <v>1.1000000000000001</v>
      </c>
      <c r="I5" s="25">
        <v>1.1000000000000001</v>
      </c>
      <c r="J5" s="25">
        <v>1.1000000000000001</v>
      </c>
      <c r="K5" s="25">
        <v>1.1000000000000001</v>
      </c>
      <c r="L5" s="25">
        <v>1</v>
      </c>
      <c r="M5" s="25">
        <v>1</v>
      </c>
      <c r="N5" s="25">
        <v>1</v>
      </c>
      <c r="O5" s="25">
        <v>1</v>
      </c>
      <c r="P5" s="25">
        <v>1</v>
      </c>
      <c r="Q5" s="25">
        <v>1</v>
      </c>
      <c r="R5" s="25">
        <f t="shared" si="0"/>
        <v>1</v>
      </c>
      <c r="S5" s="25">
        <f t="shared" si="1"/>
        <v>1</v>
      </c>
      <c r="T5" s="25">
        <f t="shared" si="2"/>
        <v>1.1000000000000001</v>
      </c>
      <c r="U5" s="25">
        <f t="shared" si="3"/>
        <v>1.1000000000000001</v>
      </c>
      <c r="V5" s="25">
        <f t="shared" si="4"/>
        <v>1.1000000000000001</v>
      </c>
      <c r="W5" s="25">
        <f t="shared" si="5"/>
        <v>1.1000000000000001</v>
      </c>
    </row>
    <row r="6" spans="1:33" ht="15.75" customHeight="1" x14ac:dyDescent="0.2">
      <c r="A6" s="3" t="s">
        <v>12</v>
      </c>
      <c r="B6" s="32" t="s">
        <v>9</v>
      </c>
      <c r="C6" s="32" t="s">
        <v>37</v>
      </c>
      <c r="D6" s="61">
        <v>50</v>
      </c>
      <c r="E6" s="41"/>
      <c r="F6" s="25">
        <v>1</v>
      </c>
      <c r="G6" s="25">
        <v>1</v>
      </c>
      <c r="H6" s="25">
        <v>1.1000000000000001</v>
      </c>
      <c r="I6" s="25">
        <v>1.1000000000000001</v>
      </c>
      <c r="J6" s="25">
        <v>1.1000000000000001</v>
      </c>
      <c r="K6" s="25">
        <v>1.1000000000000001</v>
      </c>
      <c r="L6" s="25">
        <v>1</v>
      </c>
      <c r="M6" s="25">
        <v>1</v>
      </c>
      <c r="N6" s="25">
        <v>1</v>
      </c>
      <c r="O6" s="25">
        <v>1</v>
      </c>
      <c r="P6" s="25">
        <v>1</v>
      </c>
      <c r="Q6" s="25">
        <v>1</v>
      </c>
      <c r="R6" s="25">
        <f t="shared" si="0"/>
        <v>1</v>
      </c>
      <c r="S6" s="25">
        <f t="shared" si="1"/>
        <v>1</v>
      </c>
      <c r="T6" s="25">
        <f t="shared" si="2"/>
        <v>1.1000000000000001</v>
      </c>
      <c r="U6" s="25">
        <f t="shared" si="3"/>
        <v>1.1000000000000001</v>
      </c>
      <c r="V6" s="25">
        <f t="shared" si="4"/>
        <v>1.1000000000000001</v>
      </c>
      <c r="W6" s="25">
        <f t="shared" si="5"/>
        <v>1.1000000000000001</v>
      </c>
    </row>
    <row r="7" spans="1:33" ht="15.75" customHeight="1" x14ac:dyDescent="0.2">
      <c r="A7" s="3" t="s">
        <v>12</v>
      </c>
      <c r="B7" s="32" t="s">
        <v>3</v>
      </c>
      <c r="C7" s="32" t="s">
        <v>47</v>
      </c>
      <c r="D7" s="61">
        <v>41.666666666666671</v>
      </c>
      <c r="E7" s="41"/>
      <c r="F7" s="25">
        <v>1</v>
      </c>
      <c r="G7" s="25">
        <v>1</v>
      </c>
      <c r="H7" s="25">
        <v>1</v>
      </c>
      <c r="I7" s="25">
        <v>1</v>
      </c>
      <c r="J7" s="25">
        <v>1.05</v>
      </c>
      <c r="K7" s="25">
        <v>1.05</v>
      </c>
      <c r="L7" s="25">
        <v>1</v>
      </c>
      <c r="M7" s="25">
        <v>1</v>
      </c>
      <c r="N7" s="25">
        <v>0.9</v>
      </c>
      <c r="O7" s="25">
        <v>0.9</v>
      </c>
      <c r="P7" s="25">
        <v>0.9</v>
      </c>
      <c r="Q7" s="25">
        <v>0.9</v>
      </c>
      <c r="R7" s="25">
        <f t="shared" si="0"/>
        <v>1</v>
      </c>
      <c r="S7" s="25">
        <f t="shared" si="1"/>
        <v>1</v>
      </c>
      <c r="T7" s="25">
        <f t="shared" si="2"/>
        <v>1</v>
      </c>
      <c r="U7" s="25">
        <f t="shared" si="3"/>
        <v>1</v>
      </c>
      <c r="V7" s="25">
        <f t="shared" si="4"/>
        <v>1.05</v>
      </c>
      <c r="W7" s="25">
        <f t="shared" si="5"/>
        <v>1.05</v>
      </c>
    </row>
    <row r="8" spans="1:33" ht="15.75" customHeight="1" x14ac:dyDescent="0.2">
      <c r="A8" s="3" t="s">
        <v>12</v>
      </c>
      <c r="B8" s="32" t="s">
        <v>3</v>
      </c>
      <c r="C8" s="32" t="s">
        <v>50</v>
      </c>
      <c r="D8" s="61">
        <v>58.333333333333329</v>
      </c>
      <c r="E8" s="41"/>
      <c r="F8" s="25">
        <v>1</v>
      </c>
      <c r="G8" s="25">
        <v>1</v>
      </c>
      <c r="H8" s="25">
        <v>1</v>
      </c>
      <c r="I8" s="25">
        <v>1</v>
      </c>
      <c r="J8" s="25">
        <v>1</v>
      </c>
      <c r="K8" s="25">
        <v>1</v>
      </c>
      <c r="L8" s="25">
        <v>1</v>
      </c>
      <c r="M8" s="25">
        <v>1</v>
      </c>
      <c r="N8" s="25">
        <v>0.95</v>
      </c>
      <c r="O8" s="25">
        <f>N8</f>
        <v>0.95</v>
      </c>
      <c r="P8" s="25">
        <f>O8</f>
        <v>0.95</v>
      </c>
      <c r="Q8" s="25">
        <f>P8</f>
        <v>0.95</v>
      </c>
      <c r="R8" s="25">
        <f t="shared" si="0"/>
        <v>1</v>
      </c>
      <c r="S8" s="25">
        <f t="shared" si="1"/>
        <v>1</v>
      </c>
      <c r="T8" s="25">
        <f t="shared" si="2"/>
        <v>1</v>
      </c>
      <c r="U8" s="25">
        <f t="shared" si="3"/>
        <v>1</v>
      </c>
      <c r="V8" s="25">
        <f t="shared" si="4"/>
        <v>1</v>
      </c>
      <c r="W8" s="25">
        <f t="shared" si="5"/>
        <v>1</v>
      </c>
    </row>
    <row r="9" spans="1:33" ht="15.75" customHeight="1" x14ac:dyDescent="0.2">
      <c r="A9" s="3" t="s">
        <v>12</v>
      </c>
      <c r="B9" s="32" t="s">
        <v>3</v>
      </c>
      <c r="C9" s="32" t="s">
        <v>49</v>
      </c>
      <c r="D9" s="61">
        <v>50</v>
      </c>
      <c r="E9" s="41"/>
      <c r="F9" s="25">
        <v>1</v>
      </c>
      <c r="G9" s="25">
        <v>1</v>
      </c>
      <c r="H9" s="25">
        <v>1</v>
      </c>
      <c r="I9" s="25">
        <v>1</v>
      </c>
      <c r="J9" s="25">
        <v>1</v>
      </c>
      <c r="K9" s="25">
        <v>1</v>
      </c>
      <c r="L9" s="25">
        <v>1</v>
      </c>
      <c r="M9" s="25">
        <v>1</v>
      </c>
      <c r="N9" s="25">
        <v>0.9</v>
      </c>
      <c r="O9" s="25">
        <v>0.9</v>
      </c>
      <c r="P9" s="25">
        <v>0.9</v>
      </c>
      <c r="Q9" s="25">
        <v>0.9</v>
      </c>
      <c r="R9" s="25">
        <f t="shared" si="0"/>
        <v>1</v>
      </c>
      <c r="S9" s="25">
        <f t="shared" si="1"/>
        <v>1</v>
      </c>
      <c r="T9" s="25">
        <f t="shared" si="2"/>
        <v>1</v>
      </c>
      <c r="U9" s="25">
        <f t="shared" si="3"/>
        <v>1</v>
      </c>
      <c r="V9" s="25">
        <f t="shared" si="4"/>
        <v>1</v>
      </c>
      <c r="W9" s="25">
        <f t="shared" si="5"/>
        <v>1</v>
      </c>
      <c r="AC9" s="70"/>
      <c r="AD9" s="70"/>
      <c r="AE9" s="48"/>
      <c r="AF9" s="71"/>
      <c r="AG9" s="72"/>
    </row>
    <row r="10" spans="1:33" ht="15.75" customHeight="1" x14ac:dyDescent="0.2">
      <c r="A10" s="3" t="s">
        <v>12</v>
      </c>
      <c r="B10" s="32" t="s">
        <v>3</v>
      </c>
      <c r="C10" s="32" t="s">
        <v>32</v>
      </c>
      <c r="D10" s="61">
        <v>66.666666666666671</v>
      </c>
      <c r="E10" s="41"/>
      <c r="F10" s="25">
        <v>1</v>
      </c>
      <c r="G10" s="25">
        <v>1</v>
      </c>
      <c r="H10" s="25">
        <v>1</v>
      </c>
      <c r="I10" s="25">
        <v>1</v>
      </c>
      <c r="J10" s="25">
        <v>1</v>
      </c>
      <c r="K10" s="25">
        <v>1</v>
      </c>
      <c r="L10" s="25">
        <v>1</v>
      </c>
      <c r="M10" s="25">
        <v>1</v>
      </c>
      <c r="N10" s="25">
        <v>0.9</v>
      </c>
      <c r="O10" s="25">
        <v>0.9</v>
      </c>
      <c r="P10" s="25">
        <v>0.9</v>
      </c>
      <c r="Q10" s="25">
        <v>0.9</v>
      </c>
      <c r="R10" s="25">
        <f t="shared" si="0"/>
        <v>1</v>
      </c>
      <c r="S10" s="25">
        <f t="shared" si="1"/>
        <v>1</v>
      </c>
      <c r="T10" s="25">
        <f t="shared" si="2"/>
        <v>1</v>
      </c>
      <c r="U10" s="25">
        <f t="shared" si="3"/>
        <v>1</v>
      </c>
      <c r="V10" s="25">
        <f t="shared" si="4"/>
        <v>1</v>
      </c>
      <c r="W10" s="25">
        <f t="shared" si="5"/>
        <v>1</v>
      </c>
      <c r="AC10" s="70"/>
      <c r="AD10" s="70"/>
      <c r="AE10" s="48"/>
      <c r="AF10" s="71"/>
      <c r="AG10" s="72"/>
    </row>
    <row r="11" spans="1:33" ht="15.75" customHeight="1" x14ac:dyDescent="0.2">
      <c r="A11" s="3" t="s">
        <v>12</v>
      </c>
      <c r="B11" s="32" t="s">
        <v>3</v>
      </c>
      <c r="C11" s="32" t="s">
        <v>52</v>
      </c>
      <c r="D11" s="61">
        <v>50</v>
      </c>
      <c r="E11" s="41"/>
      <c r="F11" s="25">
        <v>1</v>
      </c>
      <c r="G11" s="25">
        <v>1</v>
      </c>
      <c r="H11" s="25">
        <v>1</v>
      </c>
      <c r="I11" s="25">
        <v>1</v>
      </c>
      <c r="J11" s="25">
        <v>1</v>
      </c>
      <c r="K11" s="25">
        <v>1</v>
      </c>
      <c r="L11" s="25">
        <v>1</v>
      </c>
      <c r="M11" s="25">
        <v>1</v>
      </c>
      <c r="N11" s="25">
        <v>0.95</v>
      </c>
      <c r="O11" s="25">
        <f>N11</f>
        <v>0.95</v>
      </c>
      <c r="P11" s="25">
        <f>O11</f>
        <v>0.95</v>
      </c>
      <c r="Q11" s="25">
        <f>P11</f>
        <v>0.95</v>
      </c>
      <c r="R11" s="25">
        <f t="shared" si="0"/>
        <v>1</v>
      </c>
      <c r="S11" s="25">
        <f t="shared" si="1"/>
        <v>1</v>
      </c>
      <c r="T11" s="25">
        <f t="shared" si="2"/>
        <v>1</v>
      </c>
      <c r="U11" s="25">
        <f t="shared" si="3"/>
        <v>1</v>
      </c>
      <c r="V11" s="25">
        <f t="shared" si="4"/>
        <v>1</v>
      </c>
      <c r="W11" s="25">
        <f t="shared" si="5"/>
        <v>1</v>
      </c>
      <c r="AC11" s="70"/>
      <c r="AD11" s="70"/>
      <c r="AE11" s="48"/>
      <c r="AF11" s="71"/>
      <c r="AG11" s="72"/>
    </row>
    <row r="12" spans="1:33" ht="15.75" customHeight="1" x14ac:dyDescent="0.2">
      <c r="A12" s="3" t="s">
        <v>13</v>
      </c>
      <c r="B12" s="32" t="s">
        <v>10</v>
      </c>
      <c r="C12" s="32" t="s">
        <v>58</v>
      </c>
      <c r="D12" s="61">
        <v>141.66666666666666</v>
      </c>
      <c r="E12" s="41"/>
      <c r="F12" s="25">
        <v>1</v>
      </c>
      <c r="G12" s="25">
        <v>1.05</v>
      </c>
      <c r="H12" s="25">
        <v>1.05</v>
      </c>
      <c r="I12" s="25">
        <v>1.1000000000000001</v>
      </c>
      <c r="J12" s="25">
        <v>1.1499999999999999</v>
      </c>
      <c r="K12" s="25">
        <v>1.1000000000000001</v>
      </c>
      <c r="L12" s="25">
        <v>1.05</v>
      </c>
      <c r="M12" s="25">
        <v>1</v>
      </c>
      <c r="N12" s="25">
        <v>1</v>
      </c>
      <c r="O12" s="25">
        <v>0.95</v>
      </c>
      <c r="P12" s="25">
        <v>0.95</v>
      </c>
      <c r="Q12" s="25">
        <v>1</v>
      </c>
      <c r="R12" s="25">
        <f t="shared" si="0"/>
        <v>1</v>
      </c>
      <c r="S12" s="25">
        <f t="shared" si="1"/>
        <v>1.05</v>
      </c>
      <c r="T12" s="25">
        <f t="shared" si="2"/>
        <v>1.05</v>
      </c>
      <c r="U12" s="25">
        <f t="shared" si="3"/>
        <v>1.1000000000000001</v>
      </c>
      <c r="V12" s="25">
        <f t="shared" si="4"/>
        <v>1.1499999999999999</v>
      </c>
      <c r="W12" s="25">
        <f t="shared" si="5"/>
        <v>1.1000000000000001</v>
      </c>
      <c r="AC12" s="70"/>
      <c r="AD12" s="70"/>
      <c r="AE12" s="48"/>
      <c r="AF12" s="71"/>
      <c r="AG12" s="72"/>
    </row>
    <row r="13" spans="1:33" ht="15.75" customHeight="1" x14ac:dyDescent="0.2">
      <c r="A13" s="3" t="s">
        <v>13</v>
      </c>
      <c r="B13" s="32" t="s">
        <v>10</v>
      </c>
      <c r="C13" s="32" t="s">
        <v>33</v>
      </c>
      <c r="D13" s="61">
        <v>161.66666666666669</v>
      </c>
      <c r="E13" s="41"/>
      <c r="F13" s="25">
        <v>1</v>
      </c>
      <c r="G13" s="25">
        <v>1.05</v>
      </c>
      <c r="H13" s="25">
        <v>1.05</v>
      </c>
      <c r="I13" s="25">
        <v>1.1000000000000001</v>
      </c>
      <c r="J13" s="25">
        <v>1.1499999999999999</v>
      </c>
      <c r="K13" s="25">
        <v>1.1000000000000001</v>
      </c>
      <c r="L13" s="25">
        <v>1.05</v>
      </c>
      <c r="M13" s="25">
        <v>1</v>
      </c>
      <c r="N13" s="25">
        <v>1</v>
      </c>
      <c r="O13" s="25">
        <v>0.95</v>
      </c>
      <c r="P13" s="25">
        <v>0.95</v>
      </c>
      <c r="Q13" s="25">
        <v>1</v>
      </c>
      <c r="R13" s="25">
        <f t="shared" si="0"/>
        <v>1</v>
      </c>
      <c r="S13" s="25">
        <f t="shared" si="1"/>
        <v>1.05</v>
      </c>
      <c r="T13" s="25">
        <f t="shared" si="2"/>
        <v>1.05</v>
      </c>
      <c r="U13" s="25">
        <f t="shared" si="3"/>
        <v>1.1000000000000001</v>
      </c>
      <c r="V13" s="25">
        <f t="shared" si="4"/>
        <v>1.1499999999999999</v>
      </c>
      <c r="W13" s="25">
        <f t="shared" si="5"/>
        <v>1.1000000000000001</v>
      </c>
      <c r="AC13" s="70"/>
      <c r="AD13" s="70"/>
      <c r="AE13" s="48"/>
      <c r="AF13" s="71"/>
      <c r="AG13" s="72"/>
    </row>
    <row r="14" spans="1:33" ht="15.75" customHeight="1" x14ac:dyDescent="0.2">
      <c r="A14" s="3" t="s">
        <v>13</v>
      </c>
      <c r="B14" s="32" t="s">
        <v>10</v>
      </c>
      <c r="C14" s="32" t="s">
        <v>50</v>
      </c>
      <c r="D14" s="61">
        <v>175</v>
      </c>
      <c r="E14" s="41"/>
      <c r="F14" s="25">
        <v>1</v>
      </c>
      <c r="G14" s="25">
        <v>1.05</v>
      </c>
      <c r="H14" s="25">
        <v>1.05</v>
      </c>
      <c r="I14" s="25">
        <v>1.1000000000000001</v>
      </c>
      <c r="J14" s="25">
        <v>1.1499999999999999</v>
      </c>
      <c r="K14" s="25">
        <v>1.1000000000000001</v>
      </c>
      <c r="L14" s="25">
        <v>1.05</v>
      </c>
      <c r="M14" s="25">
        <v>1</v>
      </c>
      <c r="N14" s="25">
        <v>1</v>
      </c>
      <c r="O14" s="25">
        <v>0.95</v>
      </c>
      <c r="P14" s="25">
        <v>0.95</v>
      </c>
      <c r="Q14" s="25">
        <v>1</v>
      </c>
      <c r="R14" s="25">
        <f t="shared" si="0"/>
        <v>1</v>
      </c>
      <c r="S14" s="25">
        <f t="shared" si="1"/>
        <v>1.05</v>
      </c>
      <c r="T14" s="25">
        <f t="shared" si="2"/>
        <v>1.05</v>
      </c>
      <c r="U14" s="25">
        <f t="shared" si="3"/>
        <v>1.1000000000000001</v>
      </c>
      <c r="V14" s="25">
        <f t="shared" si="4"/>
        <v>1.1499999999999999</v>
      </c>
      <c r="W14" s="25">
        <f t="shared" si="5"/>
        <v>1.1000000000000001</v>
      </c>
      <c r="AC14" s="70"/>
      <c r="AD14" s="70"/>
      <c r="AE14" s="48"/>
      <c r="AF14" s="71"/>
      <c r="AG14" s="72"/>
    </row>
    <row r="15" spans="1:33" ht="15.75" customHeight="1" x14ac:dyDescent="0.2">
      <c r="A15" s="3" t="s">
        <v>13</v>
      </c>
      <c r="B15" s="32" t="s">
        <v>10</v>
      </c>
      <c r="C15" s="32" t="s">
        <v>34</v>
      </c>
      <c r="D15" s="61">
        <v>150</v>
      </c>
      <c r="E15" s="41"/>
      <c r="F15" s="25">
        <v>1</v>
      </c>
      <c r="G15" s="25">
        <v>1.05</v>
      </c>
      <c r="H15" s="25">
        <v>1.05</v>
      </c>
      <c r="I15" s="25">
        <v>1.1000000000000001</v>
      </c>
      <c r="J15" s="25">
        <v>1.1499999999999999</v>
      </c>
      <c r="K15" s="25">
        <v>1.1000000000000001</v>
      </c>
      <c r="L15" s="25">
        <v>1.05</v>
      </c>
      <c r="M15" s="25">
        <v>1</v>
      </c>
      <c r="N15" s="25">
        <v>1</v>
      </c>
      <c r="O15" s="25">
        <v>0.95</v>
      </c>
      <c r="P15" s="25">
        <v>0.95</v>
      </c>
      <c r="Q15" s="25">
        <v>1</v>
      </c>
      <c r="R15" s="25">
        <f t="shared" si="0"/>
        <v>1</v>
      </c>
      <c r="S15" s="25">
        <f t="shared" si="1"/>
        <v>1.05</v>
      </c>
      <c r="T15" s="25">
        <f t="shared" si="2"/>
        <v>1.05</v>
      </c>
      <c r="U15" s="25">
        <f t="shared" si="3"/>
        <v>1.1000000000000001</v>
      </c>
      <c r="V15" s="25">
        <f t="shared" si="4"/>
        <v>1.1499999999999999</v>
      </c>
      <c r="W15" s="25">
        <f t="shared" si="5"/>
        <v>1.1000000000000001</v>
      </c>
      <c r="AC15" s="70"/>
      <c r="AD15" s="70"/>
      <c r="AE15" s="48"/>
      <c r="AF15" s="71"/>
      <c r="AG15" s="72"/>
    </row>
    <row r="16" spans="1:33" ht="15.75" customHeight="1" x14ac:dyDescent="0.2">
      <c r="A16" s="3" t="s">
        <v>13</v>
      </c>
      <c r="B16" s="32" t="s">
        <v>10</v>
      </c>
      <c r="C16" s="32" t="s">
        <v>35</v>
      </c>
      <c r="D16" s="61">
        <v>75</v>
      </c>
      <c r="E16" s="41"/>
      <c r="F16" s="25">
        <v>1</v>
      </c>
      <c r="G16" s="25">
        <v>1</v>
      </c>
      <c r="H16" s="25">
        <v>1</v>
      </c>
      <c r="I16" s="25">
        <v>1</v>
      </c>
      <c r="J16" s="25">
        <v>1</v>
      </c>
      <c r="K16" s="25">
        <v>1</v>
      </c>
      <c r="L16" s="25">
        <v>1</v>
      </c>
      <c r="M16" s="25">
        <v>1</v>
      </c>
      <c r="N16" s="25">
        <v>1</v>
      </c>
      <c r="O16" s="25">
        <v>1</v>
      </c>
      <c r="P16" s="25">
        <v>1</v>
      </c>
      <c r="Q16" s="25">
        <v>1</v>
      </c>
      <c r="R16" s="25">
        <f t="shared" si="0"/>
        <v>1</v>
      </c>
      <c r="S16" s="25">
        <f t="shared" si="1"/>
        <v>1</v>
      </c>
      <c r="T16" s="25">
        <f t="shared" si="2"/>
        <v>1</v>
      </c>
      <c r="U16" s="25">
        <f t="shared" si="3"/>
        <v>1</v>
      </c>
      <c r="V16" s="25">
        <f t="shared" si="4"/>
        <v>1</v>
      </c>
      <c r="W16" s="25">
        <f t="shared" si="5"/>
        <v>1</v>
      </c>
      <c r="AC16" s="70"/>
      <c r="AD16" s="70"/>
      <c r="AE16" s="48"/>
      <c r="AF16" s="71"/>
      <c r="AG16" s="72"/>
    </row>
    <row r="17" spans="1:33" ht="15.75" customHeight="1" x14ac:dyDescent="0.2">
      <c r="A17" s="3" t="s">
        <v>13</v>
      </c>
      <c r="B17" s="32" t="s">
        <v>10</v>
      </c>
      <c r="C17" s="32" t="s">
        <v>32</v>
      </c>
      <c r="D17" s="61">
        <v>156.66666666666666</v>
      </c>
      <c r="E17" s="41"/>
      <c r="F17" s="25">
        <v>1</v>
      </c>
      <c r="G17" s="25">
        <v>1.05</v>
      </c>
      <c r="H17" s="25">
        <v>1.05</v>
      </c>
      <c r="I17" s="25">
        <v>1.1000000000000001</v>
      </c>
      <c r="J17" s="25">
        <v>1.1499999999999999</v>
      </c>
      <c r="K17" s="25">
        <v>1.1000000000000001</v>
      </c>
      <c r="L17" s="25">
        <v>1.05</v>
      </c>
      <c r="M17" s="25">
        <v>1</v>
      </c>
      <c r="N17" s="25">
        <v>1</v>
      </c>
      <c r="O17" s="25">
        <v>0.95</v>
      </c>
      <c r="P17" s="25">
        <v>0.95</v>
      </c>
      <c r="Q17" s="25">
        <v>1</v>
      </c>
      <c r="R17" s="25">
        <f t="shared" si="0"/>
        <v>1</v>
      </c>
      <c r="S17" s="25">
        <f t="shared" si="1"/>
        <v>1.05</v>
      </c>
      <c r="T17" s="25">
        <f t="shared" si="2"/>
        <v>1.05</v>
      </c>
      <c r="U17" s="25">
        <f t="shared" si="3"/>
        <v>1.1000000000000001</v>
      </c>
      <c r="V17" s="25">
        <f t="shared" si="4"/>
        <v>1.1499999999999999</v>
      </c>
      <c r="W17" s="25">
        <f t="shared" si="5"/>
        <v>1.1000000000000001</v>
      </c>
      <c r="AC17" s="70"/>
      <c r="AD17" s="70"/>
      <c r="AE17" s="48"/>
      <c r="AF17" s="71"/>
      <c r="AG17" s="72"/>
    </row>
    <row r="18" spans="1:33" ht="15.75" customHeight="1" x14ac:dyDescent="0.2">
      <c r="A18" s="3" t="s">
        <v>13</v>
      </c>
      <c r="B18" s="32" t="s">
        <v>10</v>
      </c>
      <c r="C18" s="32" t="s">
        <v>37</v>
      </c>
      <c r="D18" s="61">
        <v>171.66666666666669</v>
      </c>
      <c r="E18" s="41"/>
      <c r="F18" s="25">
        <v>1</v>
      </c>
      <c r="G18" s="25">
        <v>1.05</v>
      </c>
      <c r="H18" s="25">
        <v>1.05</v>
      </c>
      <c r="I18" s="25">
        <v>1.1000000000000001</v>
      </c>
      <c r="J18" s="25">
        <v>1.1499999999999999</v>
      </c>
      <c r="K18" s="25">
        <v>1.1000000000000001</v>
      </c>
      <c r="L18" s="25">
        <v>1.05</v>
      </c>
      <c r="M18" s="25">
        <v>1</v>
      </c>
      <c r="N18" s="25">
        <v>1</v>
      </c>
      <c r="O18" s="25">
        <v>0.95</v>
      </c>
      <c r="P18" s="25">
        <v>0.95</v>
      </c>
      <c r="Q18" s="25">
        <v>1</v>
      </c>
      <c r="R18" s="25">
        <f t="shared" si="0"/>
        <v>1</v>
      </c>
      <c r="S18" s="25">
        <f t="shared" si="1"/>
        <v>1.05</v>
      </c>
      <c r="T18" s="25">
        <f t="shared" si="2"/>
        <v>1.05</v>
      </c>
      <c r="U18" s="25">
        <f t="shared" si="3"/>
        <v>1.1000000000000001</v>
      </c>
      <c r="V18" s="25">
        <f t="shared" si="4"/>
        <v>1.1499999999999999</v>
      </c>
      <c r="W18" s="25">
        <f t="shared" si="5"/>
        <v>1.1000000000000001</v>
      </c>
      <c r="AC18" s="70"/>
      <c r="AD18" s="70"/>
      <c r="AE18" s="48"/>
      <c r="AF18" s="71"/>
      <c r="AG18" s="72"/>
    </row>
    <row r="19" spans="1:33" ht="15.75" customHeight="1" x14ac:dyDescent="0.2">
      <c r="A19" s="3" t="s">
        <v>13</v>
      </c>
      <c r="B19" s="32" t="s">
        <v>10</v>
      </c>
      <c r="C19" s="32" t="s">
        <v>36</v>
      </c>
      <c r="D19" s="61">
        <v>170</v>
      </c>
      <c r="E19" s="41"/>
      <c r="F19" s="25">
        <v>1</v>
      </c>
      <c r="G19" s="25">
        <v>1.05</v>
      </c>
      <c r="H19" s="25">
        <v>1.05</v>
      </c>
      <c r="I19" s="25">
        <v>1.1000000000000001</v>
      </c>
      <c r="J19" s="25">
        <v>1.1499999999999999</v>
      </c>
      <c r="K19" s="25">
        <v>1.1000000000000001</v>
      </c>
      <c r="L19" s="25">
        <v>1.05</v>
      </c>
      <c r="M19" s="25">
        <v>1</v>
      </c>
      <c r="N19" s="25">
        <v>1</v>
      </c>
      <c r="O19" s="25">
        <v>0.95</v>
      </c>
      <c r="P19" s="25">
        <v>0.95</v>
      </c>
      <c r="Q19" s="25">
        <v>1</v>
      </c>
      <c r="R19" s="25">
        <f t="shared" si="0"/>
        <v>1</v>
      </c>
      <c r="S19" s="25">
        <f t="shared" si="1"/>
        <v>1.05</v>
      </c>
      <c r="T19" s="25">
        <f t="shared" si="2"/>
        <v>1.05</v>
      </c>
      <c r="U19" s="25">
        <f t="shared" si="3"/>
        <v>1.1000000000000001</v>
      </c>
      <c r="V19" s="25">
        <f t="shared" si="4"/>
        <v>1.1499999999999999</v>
      </c>
      <c r="W19" s="25">
        <f t="shared" si="5"/>
        <v>1.1000000000000001</v>
      </c>
      <c r="AC19" s="70"/>
      <c r="AD19" s="70"/>
      <c r="AE19" s="48"/>
      <c r="AF19" s="71"/>
      <c r="AG19" s="72"/>
    </row>
    <row r="20" spans="1:33" ht="15.75" customHeight="1" x14ac:dyDescent="0.2">
      <c r="A20" s="3" t="s">
        <v>13</v>
      </c>
      <c r="B20" s="32" t="s">
        <v>4</v>
      </c>
      <c r="C20" s="32" t="s">
        <v>48</v>
      </c>
      <c r="D20" s="61">
        <v>41.666666666666671</v>
      </c>
      <c r="E20" s="41"/>
      <c r="F20" s="25">
        <v>1</v>
      </c>
      <c r="G20" s="25">
        <v>1</v>
      </c>
      <c r="H20" s="25">
        <v>1</v>
      </c>
      <c r="I20" s="25">
        <v>1</v>
      </c>
      <c r="J20" s="25">
        <v>1</v>
      </c>
      <c r="K20" s="25">
        <v>1</v>
      </c>
      <c r="L20" s="25">
        <v>1.05</v>
      </c>
      <c r="M20" s="25">
        <v>1.05</v>
      </c>
      <c r="N20" s="25">
        <v>1</v>
      </c>
      <c r="O20" s="25">
        <v>1</v>
      </c>
      <c r="P20" s="25">
        <v>1</v>
      </c>
      <c r="Q20" s="25">
        <v>1</v>
      </c>
      <c r="R20" s="25">
        <f t="shared" si="0"/>
        <v>1</v>
      </c>
      <c r="S20" s="25">
        <f t="shared" si="1"/>
        <v>1</v>
      </c>
      <c r="T20" s="25">
        <f t="shared" si="2"/>
        <v>1</v>
      </c>
      <c r="U20" s="25">
        <f t="shared" si="3"/>
        <v>1</v>
      </c>
      <c r="V20" s="25">
        <f t="shared" si="4"/>
        <v>1</v>
      </c>
      <c r="W20" s="25">
        <f t="shared" si="5"/>
        <v>1</v>
      </c>
      <c r="AC20" s="70"/>
      <c r="AD20" s="70"/>
      <c r="AE20" s="48"/>
      <c r="AF20" s="71"/>
      <c r="AG20" s="72"/>
    </row>
    <row r="21" spans="1:33" ht="15.75" customHeight="1" x14ac:dyDescent="0.2">
      <c r="A21" s="3" t="s">
        <v>13</v>
      </c>
      <c r="B21" s="32" t="s">
        <v>4</v>
      </c>
      <c r="C21" s="32" t="s">
        <v>52</v>
      </c>
      <c r="D21" s="61">
        <v>33.333333333333336</v>
      </c>
      <c r="E21" s="41"/>
      <c r="F21" s="25">
        <v>1</v>
      </c>
      <c r="G21" s="25">
        <v>1</v>
      </c>
      <c r="H21" s="25">
        <v>1</v>
      </c>
      <c r="I21" s="25">
        <v>1</v>
      </c>
      <c r="J21" s="25">
        <v>1</v>
      </c>
      <c r="K21" s="25">
        <v>1</v>
      </c>
      <c r="L21" s="25">
        <v>1</v>
      </c>
      <c r="M21" s="25">
        <v>1</v>
      </c>
      <c r="N21" s="25">
        <v>1</v>
      </c>
      <c r="O21" s="25">
        <v>1</v>
      </c>
      <c r="P21" s="25">
        <v>1</v>
      </c>
      <c r="Q21" s="25">
        <v>1</v>
      </c>
      <c r="R21" s="25">
        <f t="shared" si="0"/>
        <v>1</v>
      </c>
      <c r="S21" s="25">
        <f t="shared" si="1"/>
        <v>1</v>
      </c>
      <c r="T21" s="25">
        <f t="shared" si="2"/>
        <v>1</v>
      </c>
      <c r="U21" s="25">
        <f t="shared" si="3"/>
        <v>1</v>
      </c>
      <c r="V21" s="25">
        <f t="shared" si="4"/>
        <v>1</v>
      </c>
      <c r="W21" s="25">
        <f t="shared" si="5"/>
        <v>1</v>
      </c>
      <c r="AC21" s="70"/>
      <c r="AD21" s="70"/>
      <c r="AE21" s="48"/>
      <c r="AF21" s="71"/>
      <c r="AG21" s="72"/>
    </row>
    <row r="22" spans="1:33" ht="15.75" customHeight="1" x14ac:dyDescent="0.2">
      <c r="A22" s="3" t="s">
        <v>13</v>
      </c>
      <c r="B22" s="32" t="s">
        <v>4</v>
      </c>
      <c r="C22" s="32" t="s">
        <v>56</v>
      </c>
      <c r="D22" s="61">
        <v>33.333333333333336</v>
      </c>
      <c r="E22" s="41"/>
      <c r="F22" s="25">
        <v>1</v>
      </c>
      <c r="G22" s="25">
        <v>1</v>
      </c>
      <c r="H22" s="25">
        <v>1</v>
      </c>
      <c r="I22" s="25">
        <v>1</v>
      </c>
      <c r="J22" s="25">
        <v>1</v>
      </c>
      <c r="K22" s="25">
        <v>1</v>
      </c>
      <c r="L22" s="25">
        <v>1</v>
      </c>
      <c r="M22" s="25">
        <v>1</v>
      </c>
      <c r="N22" s="25">
        <v>1</v>
      </c>
      <c r="O22" s="25">
        <v>1</v>
      </c>
      <c r="P22" s="25">
        <v>1</v>
      </c>
      <c r="Q22" s="25">
        <v>1</v>
      </c>
      <c r="R22" s="25">
        <f t="shared" si="0"/>
        <v>1</v>
      </c>
      <c r="S22" s="25">
        <f t="shared" si="1"/>
        <v>1</v>
      </c>
      <c r="T22" s="25">
        <f t="shared" si="2"/>
        <v>1</v>
      </c>
      <c r="U22" s="25">
        <f t="shared" si="3"/>
        <v>1</v>
      </c>
      <c r="V22" s="25">
        <f t="shared" si="4"/>
        <v>1</v>
      </c>
      <c r="W22" s="25">
        <f t="shared" si="5"/>
        <v>1</v>
      </c>
      <c r="AC22" s="70"/>
      <c r="AD22" s="70"/>
      <c r="AE22" s="48"/>
      <c r="AF22" s="71"/>
      <c r="AG22" s="72"/>
    </row>
    <row r="23" spans="1:33" ht="15.75" customHeight="1" x14ac:dyDescent="0.2">
      <c r="A23" s="3" t="s">
        <v>13</v>
      </c>
      <c r="B23" s="32" t="s">
        <v>4</v>
      </c>
      <c r="C23" s="32" t="s">
        <v>36</v>
      </c>
      <c r="D23" s="61">
        <v>50</v>
      </c>
      <c r="E23" s="41"/>
      <c r="F23" s="25">
        <v>1</v>
      </c>
      <c r="G23" s="25">
        <v>1</v>
      </c>
      <c r="H23" s="25">
        <v>1</v>
      </c>
      <c r="I23" s="25">
        <v>1</v>
      </c>
      <c r="J23" s="25">
        <v>1</v>
      </c>
      <c r="K23" s="25">
        <v>1</v>
      </c>
      <c r="L23" s="25">
        <v>1.05</v>
      </c>
      <c r="M23" s="25">
        <v>1.05</v>
      </c>
      <c r="N23" s="25">
        <v>1</v>
      </c>
      <c r="O23" s="25">
        <v>1</v>
      </c>
      <c r="P23" s="25">
        <v>1</v>
      </c>
      <c r="Q23" s="25">
        <v>1</v>
      </c>
      <c r="R23" s="25">
        <f t="shared" si="0"/>
        <v>1</v>
      </c>
      <c r="S23" s="25">
        <f t="shared" si="1"/>
        <v>1</v>
      </c>
      <c r="T23" s="25">
        <f t="shared" si="2"/>
        <v>1</v>
      </c>
      <c r="U23" s="25">
        <f t="shared" si="3"/>
        <v>1</v>
      </c>
      <c r="V23" s="25">
        <f t="shared" si="4"/>
        <v>1</v>
      </c>
      <c r="W23" s="25">
        <f t="shared" si="5"/>
        <v>1</v>
      </c>
      <c r="AC23" s="70"/>
      <c r="AD23" s="70"/>
      <c r="AE23" s="48"/>
      <c r="AF23" s="71"/>
      <c r="AG23" s="72"/>
    </row>
    <row r="24" spans="1:33" ht="15.75" customHeight="1" x14ac:dyDescent="0.2">
      <c r="A24" s="3" t="s">
        <v>13</v>
      </c>
      <c r="B24" s="32" t="s">
        <v>15</v>
      </c>
      <c r="C24" s="32" t="s">
        <v>35</v>
      </c>
      <c r="D24" s="61">
        <v>66.666666666666671</v>
      </c>
      <c r="E24" s="41"/>
      <c r="F24" s="25">
        <v>1</v>
      </c>
      <c r="G24" s="25">
        <v>1</v>
      </c>
      <c r="H24" s="25">
        <v>1</v>
      </c>
      <c r="I24" s="25">
        <v>1</v>
      </c>
      <c r="J24" s="25">
        <v>1</v>
      </c>
      <c r="K24" s="25">
        <v>1</v>
      </c>
      <c r="L24" s="25">
        <v>1</v>
      </c>
      <c r="M24" s="25">
        <v>1</v>
      </c>
      <c r="N24" s="25">
        <v>1</v>
      </c>
      <c r="O24" s="25">
        <v>1</v>
      </c>
      <c r="P24" s="25">
        <v>1</v>
      </c>
      <c r="Q24" s="25">
        <v>1</v>
      </c>
      <c r="R24" s="25">
        <f t="shared" si="0"/>
        <v>1</v>
      </c>
      <c r="S24" s="25">
        <f t="shared" si="1"/>
        <v>1</v>
      </c>
      <c r="T24" s="25">
        <f t="shared" si="2"/>
        <v>1</v>
      </c>
      <c r="U24" s="25">
        <f t="shared" si="3"/>
        <v>1</v>
      </c>
      <c r="V24" s="25">
        <f t="shared" si="4"/>
        <v>1</v>
      </c>
      <c r="W24" s="25">
        <f t="shared" si="5"/>
        <v>1</v>
      </c>
      <c r="AC24" s="70"/>
      <c r="AD24" s="70"/>
      <c r="AE24" s="48"/>
      <c r="AF24" s="71"/>
      <c r="AG24" s="72"/>
    </row>
    <row r="25" spans="1:33" ht="15.75" customHeight="1" x14ac:dyDescent="0.2">
      <c r="A25" s="3" t="s">
        <v>13</v>
      </c>
      <c r="B25" s="32" t="s">
        <v>15</v>
      </c>
      <c r="C25" s="32" t="s">
        <v>36</v>
      </c>
      <c r="D25" s="61">
        <v>66.666666666666671</v>
      </c>
      <c r="E25" s="41"/>
      <c r="F25" s="25">
        <v>1</v>
      </c>
      <c r="G25" s="25">
        <v>1</v>
      </c>
      <c r="H25" s="25">
        <v>1</v>
      </c>
      <c r="I25" s="25">
        <v>1</v>
      </c>
      <c r="J25" s="25">
        <v>1</v>
      </c>
      <c r="K25" s="25">
        <v>1</v>
      </c>
      <c r="L25" s="25">
        <v>1</v>
      </c>
      <c r="M25" s="25">
        <v>1</v>
      </c>
      <c r="N25" s="25">
        <v>1</v>
      </c>
      <c r="O25" s="25">
        <v>1</v>
      </c>
      <c r="P25" s="25">
        <v>1</v>
      </c>
      <c r="Q25" s="25">
        <v>1</v>
      </c>
      <c r="R25" s="25">
        <f t="shared" si="0"/>
        <v>1</v>
      </c>
      <c r="S25" s="25">
        <f t="shared" si="1"/>
        <v>1</v>
      </c>
      <c r="T25" s="25">
        <f t="shared" si="2"/>
        <v>1</v>
      </c>
      <c r="U25" s="25">
        <f t="shared" si="3"/>
        <v>1</v>
      </c>
      <c r="V25" s="25">
        <f t="shared" si="4"/>
        <v>1</v>
      </c>
      <c r="W25" s="25">
        <f t="shared" si="5"/>
        <v>1</v>
      </c>
      <c r="AC25" s="70"/>
      <c r="AD25" s="70"/>
      <c r="AE25" s="48"/>
      <c r="AF25" s="71"/>
      <c r="AG25" s="72"/>
    </row>
    <row r="26" spans="1:33" ht="15.75" customHeight="1" x14ac:dyDescent="0.2">
      <c r="A26" s="3" t="s">
        <v>12</v>
      </c>
      <c r="B26" s="32" t="s">
        <v>11</v>
      </c>
      <c r="C26" s="32" t="s">
        <v>48</v>
      </c>
      <c r="D26" s="61">
        <v>183.33333333333331</v>
      </c>
      <c r="E26" s="41"/>
      <c r="F26" s="25">
        <v>1</v>
      </c>
      <c r="G26" s="25">
        <v>1</v>
      </c>
      <c r="H26" s="25">
        <v>1</v>
      </c>
      <c r="I26" s="25">
        <v>1</v>
      </c>
      <c r="J26" s="25">
        <v>1</v>
      </c>
      <c r="K26" s="25">
        <v>1</v>
      </c>
      <c r="L26" s="25">
        <v>1</v>
      </c>
      <c r="M26" s="25">
        <v>1</v>
      </c>
      <c r="N26" s="25">
        <v>1</v>
      </c>
      <c r="O26" s="25">
        <v>1</v>
      </c>
      <c r="P26" s="25">
        <v>1</v>
      </c>
      <c r="Q26" s="25">
        <v>1</v>
      </c>
      <c r="R26" s="25">
        <f t="shared" si="0"/>
        <v>1</v>
      </c>
      <c r="S26" s="25">
        <f t="shared" si="1"/>
        <v>1</v>
      </c>
      <c r="T26" s="25">
        <f t="shared" si="2"/>
        <v>1</v>
      </c>
      <c r="U26" s="25">
        <f t="shared" si="3"/>
        <v>1</v>
      </c>
      <c r="V26" s="25">
        <f t="shared" si="4"/>
        <v>1</v>
      </c>
      <c r="W26" s="25">
        <f t="shared" si="5"/>
        <v>1</v>
      </c>
      <c r="AC26" s="70"/>
      <c r="AD26" s="70"/>
      <c r="AE26" s="48"/>
      <c r="AF26" s="71"/>
      <c r="AG26" s="72"/>
    </row>
    <row r="27" spans="1:33" ht="15.75" customHeight="1" x14ac:dyDescent="0.2">
      <c r="A27" s="3" t="s">
        <v>12</v>
      </c>
      <c r="B27" s="32" t="s">
        <v>11</v>
      </c>
      <c r="C27" s="32" t="s">
        <v>58</v>
      </c>
      <c r="D27" s="61">
        <v>216.66666666666669</v>
      </c>
      <c r="E27" s="41"/>
      <c r="F27" s="25">
        <v>1</v>
      </c>
      <c r="G27" s="25">
        <v>1</v>
      </c>
      <c r="H27" s="25">
        <v>1</v>
      </c>
      <c r="I27" s="25">
        <v>1</v>
      </c>
      <c r="J27" s="25">
        <v>1</v>
      </c>
      <c r="K27" s="25">
        <v>1</v>
      </c>
      <c r="L27" s="25">
        <v>1</v>
      </c>
      <c r="M27" s="25">
        <v>1</v>
      </c>
      <c r="N27" s="25">
        <v>1</v>
      </c>
      <c r="O27" s="25">
        <v>1</v>
      </c>
      <c r="P27" s="25">
        <v>1</v>
      </c>
      <c r="Q27" s="25">
        <v>1</v>
      </c>
      <c r="R27" s="25">
        <f t="shared" si="0"/>
        <v>1</v>
      </c>
      <c r="S27" s="25">
        <f t="shared" si="1"/>
        <v>1</v>
      </c>
      <c r="T27" s="25">
        <f t="shared" si="2"/>
        <v>1</v>
      </c>
      <c r="U27" s="25">
        <f t="shared" si="3"/>
        <v>1</v>
      </c>
      <c r="V27" s="25">
        <f t="shared" si="4"/>
        <v>1</v>
      </c>
      <c r="W27" s="25">
        <f t="shared" si="5"/>
        <v>1</v>
      </c>
      <c r="AC27" s="70"/>
      <c r="AD27" s="70"/>
      <c r="AE27" s="48"/>
      <c r="AF27" s="71"/>
      <c r="AG27" s="72"/>
    </row>
    <row r="28" spans="1:33" ht="15.75" customHeight="1" x14ac:dyDescent="0.2">
      <c r="A28" s="3" t="s">
        <v>12</v>
      </c>
      <c r="B28" s="32" t="s">
        <v>11</v>
      </c>
      <c r="C28" s="32" t="s">
        <v>51</v>
      </c>
      <c r="D28" s="61">
        <v>190</v>
      </c>
      <c r="E28" s="41"/>
      <c r="F28" s="25">
        <v>1</v>
      </c>
      <c r="G28" s="25">
        <v>1</v>
      </c>
      <c r="H28" s="25">
        <v>1</v>
      </c>
      <c r="I28" s="25">
        <v>1</v>
      </c>
      <c r="J28" s="25">
        <v>1</v>
      </c>
      <c r="K28" s="25">
        <v>1</v>
      </c>
      <c r="L28" s="25">
        <v>1</v>
      </c>
      <c r="M28" s="25">
        <v>1</v>
      </c>
      <c r="N28" s="25">
        <v>1</v>
      </c>
      <c r="O28" s="25">
        <v>1</v>
      </c>
      <c r="P28" s="25">
        <v>1</v>
      </c>
      <c r="Q28" s="25">
        <v>1</v>
      </c>
      <c r="R28" s="25">
        <f t="shared" si="0"/>
        <v>1</v>
      </c>
      <c r="S28" s="25">
        <f t="shared" si="1"/>
        <v>1</v>
      </c>
      <c r="T28" s="25">
        <f t="shared" si="2"/>
        <v>1</v>
      </c>
      <c r="U28" s="25">
        <f t="shared" si="3"/>
        <v>1</v>
      </c>
      <c r="V28" s="25">
        <f t="shared" si="4"/>
        <v>1</v>
      </c>
      <c r="W28" s="25">
        <f t="shared" si="5"/>
        <v>1</v>
      </c>
      <c r="AC28" s="70"/>
      <c r="AD28" s="70"/>
      <c r="AE28" s="48"/>
      <c r="AF28" s="71"/>
      <c r="AG28" s="72"/>
    </row>
    <row r="29" spans="1:33" ht="15.75" customHeight="1" x14ac:dyDescent="0.2">
      <c r="A29" s="3" t="s">
        <v>12</v>
      </c>
      <c r="B29" s="32" t="s">
        <v>11</v>
      </c>
      <c r="C29" s="32" t="s">
        <v>47</v>
      </c>
      <c r="D29" s="61">
        <v>186.66666666666669</v>
      </c>
      <c r="E29" s="41"/>
      <c r="F29" s="25">
        <v>1</v>
      </c>
      <c r="G29" s="25">
        <v>1</v>
      </c>
      <c r="H29" s="25">
        <v>1</v>
      </c>
      <c r="I29" s="25">
        <v>1</v>
      </c>
      <c r="J29" s="25">
        <v>1</v>
      </c>
      <c r="K29" s="25">
        <v>1</v>
      </c>
      <c r="L29" s="25">
        <v>1</v>
      </c>
      <c r="M29" s="25">
        <v>1</v>
      </c>
      <c r="N29" s="25">
        <v>1</v>
      </c>
      <c r="O29" s="25">
        <v>1</v>
      </c>
      <c r="P29" s="25">
        <v>1</v>
      </c>
      <c r="Q29" s="25">
        <v>1</v>
      </c>
      <c r="R29" s="25">
        <f t="shared" si="0"/>
        <v>1</v>
      </c>
      <c r="S29" s="25">
        <f t="shared" si="1"/>
        <v>1</v>
      </c>
      <c r="T29" s="25">
        <f t="shared" si="2"/>
        <v>1</v>
      </c>
      <c r="U29" s="25">
        <f t="shared" si="3"/>
        <v>1</v>
      </c>
      <c r="V29" s="25">
        <f t="shared" si="4"/>
        <v>1</v>
      </c>
      <c r="W29" s="25">
        <f t="shared" si="5"/>
        <v>1</v>
      </c>
      <c r="AB29" s="14"/>
      <c r="AC29" s="70"/>
      <c r="AD29" s="70"/>
      <c r="AE29" s="48"/>
      <c r="AF29" s="71"/>
      <c r="AG29" s="72"/>
    </row>
    <row r="30" spans="1:33" ht="15.75" customHeight="1" x14ac:dyDescent="0.2">
      <c r="A30" s="3" t="s">
        <v>12</v>
      </c>
      <c r="B30" s="32" t="s">
        <v>11</v>
      </c>
      <c r="C30" s="32" t="s">
        <v>33</v>
      </c>
      <c r="D30" s="61">
        <v>233.33333333333331</v>
      </c>
      <c r="E30" s="41"/>
      <c r="F30" s="25">
        <v>1</v>
      </c>
      <c r="G30" s="25">
        <v>1</v>
      </c>
      <c r="H30" s="25">
        <v>1</v>
      </c>
      <c r="I30" s="25">
        <v>1</v>
      </c>
      <c r="J30" s="25">
        <v>1</v>
      </c>
      <c r="K30" s="25">
        <v>1</v>
      </c>
      <c r="L30" s="25">
        <v>1</v>
      </c>
      <c r="M30" s="25">
        <v>1</v>
      </c>
      <c r="N30" s="25">
        <v>1</v>
      </c>
      <c r="O30" s="25">
        <v>1</v>
      </c>
      <c r="P30" s="25">
        <v>1</v>
      </c>
      <c r="Q30" s="25">
        <v>1</v>
      </c>
      <c r="R30" s="25">
        <f t="shared" si="0"/>
        <v>1</v>
      </c>
      <c r="S30" s="25">
        <f t="shared" si="1"/>
        <v>1</v>
      </c>
      <c r="T30" s="25">
        <f t="shared" si="2"/>
        <v>1</v>
      </c>
      <c r="U30" s="25">
        <f t="shared" si="3"/>
        <v>1</v>
      </c>
      <c r="V30" s="25">
        <f t="shared" si="4"/>
        <v>1</v>
      </c>
      <c r="W30" s="25">
        <f t="shared" si="5"/>
        <v>1</v>
      </c>
      <c r="AB30" s="14"/>
      <c r="AC30" s="70"/>
      <c r="AD30" s="70"/>
      <c r="AE30" s="48"/>
      <c r="AF30" s="71"/>
      <c r="AG30" s="72"/>
    </row>
    <row r="31" spans="1:33" ht="15.75" customHeight="1" x14ac:dyDescent="0.2">
      <c r="A31" s="3" t="s">
        <v>12</v>
      </c>
      <c r="B31" s="32" t="s">
        <v>11</v>
      </c>
      <c r="C31" s="32" t="s">
        <v>50</v>
      </c>
      <c r="D31" s="61">
        <v>216.66666666666669</v>
      </c>
      <c r="E31" s="41"/>
      <c r="F31" s="25">
        <v>1</v>
      </c>
      <c r="G31" s="25">
        <v>1</v>
      </c>
      <c r="H31" s="25">
        <v>1</v>
      </c>
      <c r="I31" s="25">
        <v>1</v>
      </c>
      <c r="J31" s="25">
        <v>1</v>
      </c>
      <c r="K31" s="25">
        <v>1</v>
      </c>
      <c r="L31" s="25">
        <v>1</v>
      </c>
      <c r="M31" s="25">
        <v>1</v>
      </c>
      <c r="N31" s="25">
        <v>1</v>
      </c>
      <c r="O31" s="25">
        <v>1</v>
      </c>
      <c r="P31" s="25">
        <v>1</v>
      </c>
      <c r="Q31" s="25">
        <v>1</v>
      </c>
      <c r="R31" s="25">
        <f t="shared" si="0"/>
        <v>1</v>
      </c>
      <c r="S31" s="25">
        <f t="shared" si="1"/>
        <v>1</v>
      </c>
      <c r="T31" s="25">
        <f t="shared" si="2"/>
        <v>1</v>
      </c>
      <c r="U31" s="25">
        <f t="shared" si="3"/>
        <v>1</v>
      </c>
      <c r="V31" s="25">
        <f t="shared" si="4"/>
        <v>1</v>
      </c>
      <c r="W31" s="25">
        <f t="shared" si="5"/>
        <v>1</v>
      </c>
      <c r="AB31" s="14"/>
      <c r="AC31" s="70"/>
      <c r="AD31" s="70"/>
      <c r="AE31" s="48"/>
      <c r="AF31" s="71"/>
      <c r="AG31" s="72"/>
    </row>
    <row r="32" spans="1:33" ht="15.75" customHeight="1" x14ac:dyDescent="0.2">
      <c r="A32" s="3" t="s">
        <v>12</v>
      </c>
      <c r="B32" s="32" t="s">
        <v>11</v>
      </c>
      <c r="C32" s="32" t="s">
        <v>32</v>
      </c>
      <c r="D32" s="61">
        <v>216.66666666666669</v>
      </c>
      <c r="E32" s="41"/>
      <c r="F32" s="25">
        <v>1</v>
      </c>
      <c r="G32" s="25">
        <v>1</v>
      </c>
      <c r="H32" s="25">
        <v>1</v>
      </c>
      <c r="I32" s="25">
        <v>1</v>
      </c>
      <c r="J32" s="25">
        <v>1</v>
      </c>
      <c r="K32" s="25">
        <v>1</v>
      </c>
      <c r="L32" s="25">
        <v>1</v>
      </c>
      <c r="M32" s="25">
        <v>1</v>
      </c>
      <c r="N32" s="25">
        <v>1</v>
      </c>
      <c r="O32" s="25">
        <v>1</v>
      </c>
      <c r="P32" s="25">
        <v>1</v>
      </c>
      <c r="Q32" s="25">
        <v>1</v>
      </c>
      <c r="R32" s="25">
        <f t="shared" si="0"/>
        <v>1</v>
      </c>
      <c r="S32" s="25">
        <f t="shared" si="1"/>
        <v>1</v>
      </c>
      <c r="T32" s="25">
        <f t="shared" si="2"/>
        <v>1</v>
      </c>
      <c r="U32" s="25">
        <f t="shared" si="3"/>
        <v>1</v>
      </c>
      <c r="V32" s="25">
        <f t="shared" si="4"/>
        <v>1</v>
      </c>
      <c r="W32" s="25">
        <f t="shared" si="5"/>
        <v>1</v>
      </c>
      <c r="AB32" s="14"/>
      <c r="AC32" s="70"/>
      <c r="AD32" s="70"/>
      <c r="AE32" s="48"/>
      <c r="AF32" s="71"/>
      <c r="AG32" s="72"/>
    </row>
    <row r="33" spans="1:33" ht="15.75" customHeight="1" x14ac:dyDescent="0.2">
      <c r="A33" s="3" t="s">
        <v>12</v>
      </c>
      <c r="B33" s="32" t="s">
        <v>11</v>
      </c>
      <c r="C33" s="32" t="s">
        <v>52</v>
      </c>
      <c r="D33" s="61">
        <v>221.66666666666669</v>
      </c>
      <c r="E33" s="41"/>
      <c r="F33" s="25">
        <v>1</v>
      </c>
      <c r="G33" s="25">
        <v>1</v>
      </c>
      <c r="H33" s="25">
        <v>1</v>
      </c>
      <c r="I33" s="25">
        <v>1</v>
      </c>
      <c r="J33" s="25">
        <v>1</v>
      </c>
      <c r="K33" s="25">
        <v>1</v>
      </c>
      <c r="L33" s="25">
        <v>1</v>
      </c>
      <c r="M33" s="25">
        <v>1</v>
      </c>
      <c r="N33" s="25">
        <v>1</v>
      </c>
      <c r="O33" s="25">
        <v>1</v>
      </c>
      <c r="P33" s="25">
        <v>1</v>
      </c>
      <c r="Q33" s="25">
        <v>1</v>
      </c>
      <c r="R33" s="25">
        <f t="shared" si="0"/>
        <v>1</v>
      </c>
      <c r="S33" s="25">
        <f t="shared" si="1"/>
        <v>1</v>
      </c>
      <c r="T33" s="25">
        <f t="shared" si="2"/>
        <v>1</v>
      </c>
      <c r="U33" s="25">
        <f t="shared" si="3"/>
        <v>1</v>
      </c>
      <c r="V33" s="25">
        <f t="shared" si="4"/>
        <v>1</v>
      </c>
      <c r="W33" s="25">
        <f t="shared" si="5"/>
        <v>1</v>
      </c>
      <c r="AB33" s="14"/>
      <c r="AC33" s="70"/>
      <c r="AD33" s="70"/>
      <c r="AE33" s="48"/>
      <c r="AF33" s="71"/>
      <c r="AG33" s="72"/>
    </row>
    <row r="34" spans="1:33" ht="15.75" customHeight="1" x14ac:dyDescent="0.2">
      <c r="A34" s="3" t="s">
        <v>12</v>
      </c>
      <c r="B34" s="32" t="s">
        <v>11</v>
      </c>
      <c r="C34" s="32" t="s">
        <v>56</v>
      </c>
      <c r="D34" s="61">
        <v>178.33333333333331</v>
      </c>
      <c r="E34" s="41"/>
      <c r="F34" s="25">
        <v>1</v>
      </c>
      <c r="G34" s="25">
        <v>1</v>
      </c>
      <c r="H34" s="25">
        <v>1</v>
      </c>
      <c r="I34" s="25">
        <v>1</v>
      </c>
      <c r="J34" s="25">
        <v>1</v>
      </c>
      <c r="K34" s="25">
        <v>1</v>
      </c>
      <c r="L34" s="25">
        <v>1</v>
      </c>
      <c r="M34" s="25">
        <v>1</v>
      </c>
      <c r="N34" s="25">
        <v>1</v>
      </c>
      <c r="O34" s="25">
        <v>1</v>
      </c>
      <c r="P34" s="25">
        <v>1</v>
      </c>
      <c r="Q34" s="25">
        <v>1</v>
      </c>
      <c r="R34" s="25">
        <f t="shared" si="0"/>
        <v>1</v>
      </c>
      <c r="S34" s="25">
        <f t="shared" si="1"/>
        <v>1</v>
      </c>
      <c r="T34" s="25">
        <f t="shared" si="2"/>
        <v>1</v>
      </c>
      <c r="U34" s="25">
        <f t="shared" si="3"/>
        <v>1</v>
      </c>
      <c r="V34" s="25">
        <f t="shared" si="4"/>
        <v>1</v>
      </c>
      <c r="W34" s="25">
        <f t="shared" si="5"/>
        <v>1</v>
      </c>
      <c r="AB34" s="14"/>
      <c r="AC34" s="70"/>
      <c r="AD34" s="70"/>
      <c r="AE34" s="48"/>
      <c r="AF34" s="71"/>
      <c r="AG34" s="72"/>
    </row>
    <row r="35" spans="1:33" ht="15.75" customHeight="1" x14ac:dyDescent="0.2">
      <c r="A35" s="3" t="s">
        <v>12</v>
      </c>
      <c r="B35" s="32" t="s">
        <v>11</v>
      </c>
      <c r="C35" s="32" t="s">
        <v>37</v>
      </c>
      <c r="D35" s="61">
        <v>191.66666666666669</v>
      </c>
      <c r="E35" s="41"/>
      <c r="F35" s="25">
        <v>1</v>
      </c>
      <c r="G35" s="25">
        <v>1</v>
      </c>
      <c r="H35" s="25">
        <v>1</v>
      </c>
      <c r="I35" s="25">
        <v>1</v>
      </c>
      <c r="J35" s="25">
        <v>1</v>
      </c>
      <c r="K35" s="25">
        <v>1</v>
      </c>
      <c r="L35" s="25">
        <v>1</v>
      </c>
      <c r="M35" s="25">
        <v>1</v>
      </c>
      <c r="N35" s="25">
        <v>1</v>
      </c>
      <c r="O35" s="25">
        <v>1</v>
      </c>
      <c r="P35" s="25">
        <v>1</v>
      </c>
      <c r="Q35" s="25">
        <v>1</v>
      </c>
      <c r="R35" s="25">
        <f t="shared" si="0"/>
        <v>1</v>
      </c>
      <c r="S35" s="25">
        <f t="shared" si="1"/>
        <v>1</v>
      </c>
      <c r="T35" s="25">
        <f t="shared" si="2"/>
        <v>1</v>
      </c>
      <c r="U35" s="25">
        <f t="shared" si="3"/>
        <v>1</v>
      </c>
      <c r="V35" s="25">
        <f t="shared" si="4"/>
        <v>1</v>
      </c>
      <c r="W35" s="25">
        <f t="shared" si="5"/>
        <v>1</v>
      </c>
      <c r="AB35" s="14"/>
      <c r="AC35" s="70"/>
      <c r="AD35" s="70"/>
      <c r="AE35" s="48"/>
      <c r="AF35" s="71"/>
      <c r="AG35" s="72"/>
    </row>
    <row r="36" spans="1:33" ht="15.75" customHeight="1" x14ac:dyDescent="0.2">
      <c r="A36" s="3" t="s">
        <v>12</v>
      </c>
      <c r="B36" s="32" t="s">
        <v>11</v>
      </c>
      <c r="C36" s="32" t="s">
        <v>36</v>
      </c>
      <c r="D36" s="61">
        <v>186.66666666666669</v>
      </c>
      <c r="E36" s="41"/>
      <c r="F36" s="25">
        <v>1</v>
      </c>
      <c r="G36" s="25">
        <v>1</v>
      </c>
      <c r="H36" s="25">
        <v>1</v>
      </c>
      <c r="I36" s="25">
        <v>1</v>
      </c>
      <c r="J36" s="25">
        <v>1</v>
      </c>
      <c r="K36" s="25">
        <v>1</v>
      </c>
      <c r="L36" s="25">
        <v>1</v>
      </c>
      <c r="M36" s="25">
        <v>1</v>
      </c>
      <c r="N36" s="25">
        <v>1</v>
      </c>
      <c r="O36" s="25">
        <v>1</v>
      </c>
      <c r="P36" s="25">
        <v>1</v>
      </c>
      <c r="Q36" s="25">
        <v>1</v>
      </c>
      <c r="R36" s="25">
        <f t="shared" si="0"/>
        <v>1</v>
      </c>
      <c r="S36" s="25">
        <f t="shared" si="1"/>
        <v>1</v>
      </c>
      <c r="T36" s="25">
        <f t="shared" si="2"/>
        <v>1</v>
      </c>
      <c r="U36" s="25">
        <f t="shared" si="3"/>
        <v>1</v>
      </c>
      <c r="V36" s="25">
        <f t="shared" si="4"/>
        <v>1</v>
      </c>
      <c r="W36" s="25">
        <f t="shared" si="5"/>
        <v>1</v>
      </c>
      <c r="AB36" s="14"/>
      <c r="AC36" s="70"/>
      <c r="AD36" s="70"/>
      <c r="AE36" s="48"/>
      <c r="AF36" s="71"/>
      <c r="AG36" s="50"/>
    </row>
    <row r="37" spans="1:33" ht="15.75" customHeight="1" x14ac:dyDescent="0.2">
      <c r="A37" s="3" t="s">
        <v>13</v>
      </c>
      <c r="B37" s="32" t="s">
        <v>5</v>
      </c>
      <c r="C37" s="32" t="s">
        <v>48</v>
      </c>
      <c r="D37" s="61">
        <v>55</v>
      </c>
      <c r="E37" s="41"/>
      <c r="F37" s="25">
        <v>1</v>
      </c>
      <c r="G37" s="25">
        <v>1</v>
      </c>
      <c r="H37" s="25">
        <v>1</v>
      </c>
      <c r="I37" s="25">
        <v>1</v>
      </c>
      <c r="J37" s="25">
        <v>1</v>
      </c>
      <c r="K37" s="25">
        <v>1</v>
      </c>
      <c r="L37" s="25">
        <v>1</v>
      </c>
      <c r="M37" s="25">
        <v>1</v>
      </c>
      <c r="N37" s="25">
        <v>1</v>
      </c>
      <c r="O37" s="25">
        <v>1</v>
      </c>
      <c r="P37" s="25">
        <v>1</v>
      </c>
      <c r="Q37" s="25">
        <v>1</v>
      </c>
      <c r="R37" s="25">
        <f t="shared" si="0"/>
        <v>1</v>
      </c>
      <c r="S37" s="25">
        <f t="shared" si="1"/>
        <v>1</v>
      </c>
      <c r="T37" s="25">
        <f t="shared" si="2"/>
        <v>1</v>
      </c>
      <c r="U37" s="25">
        <f t="shared" si="3"/>
        <v>1</v>
      </c>
      <c r="V37" s="25">
        <f t="shared" si="4"/>
        <v>1</v>
      </c>
      <c r="W37" s="25">
        <f t="shared" si="5"/>
        <v>1</v>
      </c>
      <c r="AB37" s="14"/>
      <c r="AC37" s="70"/>
      <c r="AD37" s="70"/>
      <c r="AE37" s="48"/>
      <c r="AF37" s="71"/>
      <c r="AG37" s="50"/>
    </row>
    <row r="38" spans="1:33" ht="15.75" customHeight="1" x14ac:dyDescent="0.2">
      <c r="A38" s="3" t="s">
        <v>13</v>
      </c>
      <c r="B38" s="32" t="s">
        <v>5</v>
      </c>
      <c r="C38" s="32" t="s">
        <v>58</v>
      </c>
      <c r="D38" s="61">
        <v>58.333333333333329</v>
      </c>
      <c r="E38" s="41"/>
      <c r="F38" s="25">
        <v>1</v>
      </c>
      <c r="G38" s="25">
        <v>1</v>
      </c>
      <c r="H38" s="25">
        <v>1</v>
      </c>
      <c r="I38" s="25">
        <v>1</v>
      </c>
      <c r="J38" s="25">
        <v>1</v>
      </c>
      <c r="K38" s="25">
        <v>1</v>
      </c>
      <c r="L38" s="25">
        <v>1</v>
      </c>
      <c r="M38" s="25">
        <v>1</v>
      </c>
      <c r="N38" s="25">
        <v>1</v>
      </c>
      <c r="O38" s="25">
        <v>1</v>
      </c>
      <c r="P38" s="25">
        <v>1</v>
      </c>
      <c r="Q38" s="25">
        <v>1</v>
      </c>
      <c r="R38" s="25">
        <f t="shared" si="0"/>
        <v>1</v>
      </c>
      <c r="S38" s="25">
        <f t="shared" si="1"/>
        <v>1</v>
      </c>
      <c r="T38" s="25">
        <f t="shared" si="2"/>
        <v>1</v>
      </c>
      <c r="U38" s="25">
        <f t="shared" si="3"/>
        <v>1</v>
      </c>
      <c r="V38" s="25">
        <f t="shared" si="4"/>
        <v>1</v>
      </c>
      <c r="W38" s="25">
        <f t="shared" si="5"/>
        <v>1</v>
      </c>
      <c r="AB38" s="14"/>
      <c r="AC38" s="70"/>
      <c r="AD38" s="70"/>
      <c r="AE38" s="48"/>
      <c r="AF38" s="71"/>
      <c r="AG38" s="50"/>
    </row>
    <row r="39" spans="1:33" ht="15.75" customHeight="1" x14ac:dyDescent="0.2">
      <c r="A39" s="3" t="s">
        <v>13</v>
      </c>
      <c r="B39" s="32" t="s">
        <v>5</v>
      </c>
      <c r="C39" s="32" t="s">
        <v>33</v>
      </c>
      <c r="D39" s="61">
        <v>50</v>
      </c>
      <c r="E39" s="41"/>
      <c r="F39" s="25">
        <v>1</v>
      </c>
      <c r="G39" s="25">
        <v>1</v>
      </c>
      <c r="H39" s="25">
        <v>1</v>
      </c>
      <c r="I39" s="25">
        <v>1</v>
      </c>
      <c r="J39" s="25">
        <v>1</v>
      </c>
      <c r="K39" s="25">
        <v>1</v>
      </c>
      <c r="L39" s="25">
        <v>1</v>
      </c>
      <c r="M39" s="25">
        <v>1</v>
      </c>
      <c r="N39" s="25">
        <v>1</v>
      </c>
      <c r="O39" s="25">
        <v>1</v>
      </c>
      <c r="P39" s="25">
        <v>1</v>
      </c>
      <c r="Q39" s="25">
        <v>1</v>
      </c>
      <c r="R39" s="25">
        <f t="shared" si="0"/>
        <v>1</v>
      </c>
      <c r="S39" s="25">
        <f t="shared" si="1"/>
        <v>1</v>
      </c>
      <c r="T39" s="25">
        <f t="shared" si="2"/>
        <v>1</v>
      </c>
      <c r="U39" s="25">
        <f t="shared" si="3"/>
        <v>1</v>
      </c>
      <c r="V39" s="25">
        <f t="shared" si="4"/>
        <v>1</v>
      </c>
      <c r="W39" s="25">
        <f t="shared" si="5"/>
        <v>1</v>
      </c>
      <c r="AB39" s="14"/>
      <c r="AC39" s="70"/>
      <c r="AD39" s="70"/>
      <c r="AE39" s="48"/>
      <c r="AF39" s="71"/>
      <c r="AG39" s="50"/>
    </row>
    <row r="40" spans="1:33" ht="15.75" customHeight="1" x14ac:dyDescent="0.2">
      <c r="A40" s="3" t="s">
        <v>13</v>
      </c>
      <c r="B40" s="32" t="s">
        <v>5</v>
      </c>
      <c r="C40" s="32" t="s">
        <v>50</v>
      </c>
      <c r="D40" s="61">
        <v>66.666666666666671</v>
      </c>
      <c r="E40" s="41"/>
      <c r="F40" s="25">
        <v>1</v>
      </c>
      <c r="G40" s="25">
        <v>1</v>
      </c>
      <c r="H40" s="25">
        <v>1</v>
      </c>
      <c r="I40" s="25">
        <v>1</v>
      </c>
      <c r="J40" s="25">
        <v>1</v>
      </c>
      <c r="K40" s="25">
        <v>1</v>
      </c>
      <c r="L40" s="25">
        <v>1</v>
      </c>
      <c r="M40" s="25">
        <v>1</v>
      </c>
      <c r="N40" s="25">
        <v>1</v>
      </c>
      <c r="O40" s="25">
        <v>1</v>
      </c>
      <c r="P40" s="25">
        <v>1</v>
      </c>
      <c r="Q40" s="25">
        <v>1</v>
      </c>
      <c r="R40" s="25">
        <f t="shared" si="0"/>
        <v>1</v>
      </c>
      <c r="S40" s="25">
        <f t="shared" si="1"/>
        <v>1</v>
      </c>
      <c r="T40" s="25">
        <f t="shared" si="2"/>
        <v>1</v>
      </c>
      <c r="U40" s="25">
        <f t="shared" si="3"/>
        <v>1</v>
      </c>
      <c r="V40" s="25">
        <f t="shared" si="4"/>
        <v>1</v>
      </c>
      <c r="W40" s="25">
        <f t="shared" si="5"/>
        <v>1</v>
      </c>
      <c r="AC40" s="50"/>
      <c r="AD40" s="50"/>
      <c r="AE40" s="50"/>
      <c r="AF40" s="50"/>
      <c r="AG40" s="50"/>
    </row>
    <row r="41" spans="1:33" ht="15.75" customHeight="1" x14ac:dyDescent="0.2">
      <c r="A41" s="3" t="s">
        <v>13</v>
      </c>
      <c r="B41" s="32" t="s">
        <v>5</v>
      </c>
      <c r="C41" s="32" t="s">
        <v>34</v>
      </c>
      <c r="D41" s="61">
        <v>50</v>
      </c>
      <c r="E41" s="41"/>
      <c r="F41" s="25">
        <v>1</v>
      </c>
      <c r="G41" s="25">
        <v>1</v>
      </c>
      <c r="H41" s="25">
        <v>1</v>
      </c>
      <c r="I41" s="25">
        <v>1</v>
      </c>
      <c r="J41" s="25">
        <v>1</v>
      </c>
      <c r="K41" s="25">
        <v>1</v>
      </c>
      <c r="L41" s="25">
        <v>1</v>
      </c>
      <c r="M41" s="25">
        <v>1</v>
      </c>
      <c r="N41" s="25">
        <v>1</v>
      </c>
      <c r="O41" s="25">
        <v>1</v>
      </c>
      <c r="P41" s="25">
        <v>1</v>
      </c>
      <c r="Q41" s="25">
        <v>1</v>
      </c>
      <c r="R41" s="25">
        <f t="shared" si="0"/>
        <v>1</v>
      </c>
      <c r="S41" s="25">
        <f t="shared" si="1"/>
        <v>1</v>
      </c>
      <c r="T41" s="25">
        <f t="shared" si="2"/>
        <v>1</v>
      </c>
      <c r="U41" s="25">
        <f t="shared" si="3"/>
        <v>1</v>
      </c>
      <c r="V41" s="25">
        <f t="shared" si="4"/>
        <v>1</v>
      </c>
      <c r="W41" s="25">
        <f t="shared" si="5"/>
        <v>1</v>
      </c>
    </row>
    <row r="42" spans="1:33" ht="15.75" customHeight="1" x14ac:dyDescent="0.2">
      <c r="A42" s="3" t="s">
        <v>13</v>
      </c>
      <c r="B42" s="32" t="s">
        <v>5</v>
      </c>
      <c r="C42" s="32" t="s">
        <v>37</v>
      </c>
      <c r="D42" s="61">
        <v>63.333333333333329</v>
      </c>
      <c r="E42" s="41"/>
      <c r="F42" s="25">
        <v>1</v>
      </c>
      <c r="G42" s="25">
        <v>1</v>
      </c>
      <c r="H42" s="25">
        <v>1</v>
      </c>
      <c r="I42" s="25">
        <v>1</v>
      </c>
      <c r="J42" s="25">
        <v>1</v>
      </c>
      <c r="K42" s="25">
        <v>1</v>
      </c>
      <c r="L42" s="25">
        <v>1</v>
      </c>
      <c r="M42" s="25">
        <v>1</v>
      </c>
      <c r="N42" s="25">
        <v>1</v>
      </c>
      <c r="O42" s="25">
        <v>1</v>
      </c>
      <c r="P42" s="25">
        <v>1</v>
      </c>
      <c r="Q42" s="25">
        <v>1</v>
      </c>
      <c r="R42" s="25">
        <f t="shared" si="0"/>
        <v>1</v>
      </c>
      <c r="S42" s="25">
        <f t="shared" si="1"/>
        <v>1</v>
      </c>
      <c r="T42" s="25">
        <f t="shared" si="2"/>
        <v>1</v>
      </c>
      <c r="U42" s="25">
        <f t="shared" si="3"/>
        <v>1</v>
      </c>
      <c r="V42" s="25">
        <f t="shared" si="4"/>
        <v>1</v>
      </c>
      <c r="W42" s="25">
        <f t="shared" si="5"/>
        <v>1</v>
      </c>
    </row>
    <row r="43" spans="1:33" ht="15.75" customHeight="1" x14ac:dyDescent="0.2">
      <c r="A43" s="3" t="s">
        <v>13</v>
      </c>
      <c r="B43" s="32" t="s">
        <v>5</v>
      </c>
      <c r="C43" s="32" t="s">
        <v>36</v>
      </c>
      <c r="D43" s="61">
        <v>60</v>
      </c>
      <c r="E43" s="41"/>
      <c r="F43" s="25">
        <v>1</v>
      </c>
      <c r="G43" s="25">
        <v>1</v>
      </c>
      <c r="H43" s="25">
        <v>1</v>
      </c>
      <c r="I43" s="25">
        <v>1</v>
      </c>
      <c r="J43" s="25">
        <v>1</v>
      </c>
      <c r="K43" s="25">
        <v>1</v>
      </c>
      <c r="L43" s="25">
        <v>1</v>
      </c>
      <c r="M43" s="25">
        <v>1</v>
      </c>
      <c r="N43" s="25">
        <v>1</v>
      </c>
      <c r="O43" s="25">
        <v>1</v>
      </c>
      <c r="P43" s="25">
        <v>1</v>
      </c>
      <c r="Q43" s="25">
        <v>1</v>
      </c>
      <c r="R43" s="25">
        <f t="shared" si="0"/>
        <v>1</v>
      </c>
      <c r="S43" s="25">
        <f t="shared" si="1"/>
        <v>1</v>
      </c>
      <c r="T43" s="25">
        <f t="shared" si="2"/>
        <v>1</v>
      </c>
      <c r="U43" s="25">
        <f t="shared" si="3"/>
        <v>1</v>
      </c>
      <c r="V43" s="25">
        <f t="shared" si="4"/>
        <v>1</v>
      </c>
      <c r="W43" s="25">
        <f t="shared" si="5"/>
        <v>1</v>
      </c>
    </row>
    <row r="44" spans="1:33" ht="15.75" customHeight="1" x14ac:dyDescent="0.2">
      <c r="A44" s="3" t="s">
        <v>12</v>
      </c>
      <c r="B44" s="32" t="s">
        <v>2</v>
      </c>
      <c r="C44" s="32" t="s">
        <v>51</v>
      </c>
      <c r="D44" s="61">
        <v>83.333333333333343</v>
      </c>
      <c r="E44" s="41"/>
      <c r="F44" s="25">
        <v>1.05</v>
      </c>
      <c r="G44" s="25">
        <f>F44</f>
        <v>1.05</v>
      </c>
      <c r="H44" s="25">
        <v>1</v>
      </c>
      <c r="I44" s="25">
        <v>1</v>
      </c>
      <c r="J44" s="25">
        <v>1</v>
      </c>
      <c r="K44" s="25">
        <v>1</v>
      </c>
      <c r="L44" s="25">
        <v>0.95</v>
      </c>
      <c r="M44" s="25">
        <f>L44</f>
        <v>0.95</v>
      </c>
      <c r="N44" s="25">
        <f>M44</f>
        <v>0.95</v>
      </c>
      <c r="O44" s="25">
        <v>1</v>
      </c>
      <c r="P44" s="25">
        <v>1</v>
      </c>
      <c r="Q44" s="25">
        <v>1</v>
      </c>
      <c r="R44" s="25">
        <f t="shared" si="0"/>
        <v>1.05</v>
      </c>
      <c r="S44" s="25">
        <f t="shared" si="1"/>
        <v>1.05</v>
      </c>
      <c r="T44" s="25">
        <f t="shared" si="2"/>
        <v>1</v>
      </c>
      <c r="U44" s="25">
        <f t="shared" si="3"/>
        <v>1</v>
      </c>
      <c r="V44" s="25">
        <f t="shared" si="4"/>
        <v>1</v>
      </c>
      <c r="W44" s="25">
        <f t="shared" si="5"/>
        <v>1</v>
      </c>
    </row>
    <row r="45" spans="1:33" ht="15.75" customHeight="1" x14ac:dyDescent="0.2">
      <c r="A45" s="3" t="s">
        <v>12</v>
      </c>
      <c r="B45" s="32" t="s">
        <v>2</v>
      </c>
      <c r="C45" s="32" t="s">
        <v>47</v>
      </c>
      <c r="D45" s="61">
        <v>100</v>
      </c>
      <c r="E45" s="41"/>
      <c r="F45" s="25">
        <f t="shared" ref="F45:F52" si="6">F44</f>
        <v>1.05</v>
      </c>
      <c r="G45" s="25">
        <f>F45</f>
        <v>1.05</v>
      </c>
      <c r="H45" s="25">
        <v>1</v>
      </c>
      <c r="I45" s="25">
        <v>1</v>
      </c>
      <c r="J45" s="25">
        <v>1</v>
      </c>
      <c r="K45" s="25">
        <v>1</v>
      </c>
      <c r="L45" s="25">
        <f t="shared" ref="L45:N52" si="7">L44</f>
        <v>0.95</v>
      </c>
      <c r="M45" s="25">
        <f t="shared" si="7"/>
        <v>0.95</v>
      </c>
      <c r="N45" s="25">
        <f t="shared" si="7"/>
        <v>0.95</v>
      </c>
      <c r="O45" s="25">
        <v>1</v>
      </c>
      <c r="P45" s="25">
        <v>1</v>
      </c>
      <c r="Q45" s="25">
        <v>1</v>
      </c>
      <c r="R45" s="25">
        <f t="shared" si="0"/>
        <v>1.05</v>
      </c>
      <c r="S45" s="25">
        <f t="shared" si="1"/>
        <v>1.05</v>
      </c>
      <c r="T45" s="25">
        <f t="shared" si="2"/>
        <v>1</v>
      </c>
      <c r="U45" s="25">
        <f t="shared" si="3"/>
        <v>1</v>
      </c>
      <c r="V45" s="25">
        <f t="shared" si="4"/>
        <v>1</v>
      </c>
      <c r="W45" s="25">
        <f t="shared" si="5"/>
        <v>1</v>
      </c>
    </row>
    <row r="46" spans="1:33" ht="15.75" customHeight="1" x14ac:dyDescent="0.2">
      <c r="A46" s="3" t="s">
        <v>12</v>
      </c>
      <c r="B46" s="32" t="s">
        <v>2</v>
      </c>
      <c r="C46" s="32" t="s">
        <v>33</v>
      </c>
      <c r="D46" s="61">
        <v>133.33333333333334</v>
      </c>
      <c r="E46" s="41"/>
      <c r="F46" s="25">
        <f t="shared" si="6"/>
        <v>1.05</v>
      </c>
      <c r="G46" s="25">
        <f>F46</f>
        <v>1.05</v>
      </c>
      <c r="H46" s="25">
        <v>1</v>
      </c>
      <c r="I46" s="25">
        <v>1</v>
      </c>
      <c r="J46" s="25">
        <v>1</v>
      </c>
      <c r="K46" s="25">
        <v>1</v>
      </c>
      <c r="L46" s="25">
        <f t="shared" si="7"/>
        <v>0.95</v>
      </c>
      <c r="M46" s="25">
        <f t="shared" si="7"/>
        <v>0.95</v>
      </c>
      <c r="N46" s="25">
        <f t="shared" si="7"/>
        <v>0.95</v>
      </c>
      <c r="O46" s="25">
        <v>1</v>
      </c>
      <c r="P46" s="25">
        <v>1</v>
      </c>
      <c r="Q46" s="25">
        <v>1</v>
      </c>
      <c r="R46" s="25">
        <f t="shared" si="0"/>
        <v>1.05</v>
      </c>
      <c r="S46" s="25">
        <f t="shared" si="1"/>
        <v>1.05</v>
      </c>
      <c r="T46" s="25">
        <f t="shared" si="2"/>
        <v>1</v>
      </c>
      <c r="U46" s="25">
        <f t="shared" si="3"/>
        <v>1</v>
      </c>
      <c r="V46" s="25">
        <f t="shared" si="4"/>
        <v>1</v>
      </c>
      <c r="W46" s="25">
        <f t="shared" si="5"/>
        <v>1</v>
      </c>
    </row>
    <row r="47" spans="1:33" ht="15.75" customHeight="1" x14ac:dyDescent="0.2">
      <c r="A47" s="3" t="s">
        <v>12</v>
      </c>
      <c r="B47" s="32" t="s">
        <v>2</v>
      </c>
      <c r="C47" s="32" t="s">
        <v>50</v>
      </c>
      <c r="D47" s="61">
        <v>101.66666666666666</v>
      </c>
      <c r="E47" s="41"/>
      <c r="F47" s="25">
        <f t="shared" si="6"/>
        <v>1.05</v>
      </c>
      <c r="G47" s="25">
        <f>F47</f>
        <v>1.05</v>
      </c>
      <c r="H47" s="25">
        <v>1</v>
      </c>
      <c r="I47" s="25">
        <v>1</v>
      </c>
      <c r="J47" s="25">
        <v>1</v>
      </c>
      <c r="K47" s="25">
        <v>1</v>
      </c>
      <c r="L47" s="25">
        <f t="shared" si="7"/>
        <v>0.95</v>
      </c>
      <c r="M47" s="25">
        <f t="shared" si="7"/>
        <v>0.95</v>
      </c>
      <c r="N47" s="25">
        <f t="shared" si="7"/>
        <v>0.95</v>
      </c>
      <c r="O47" s="25">
        <v>1</v>
      </c>
      <c r="P47" s="25">
        <v>1</v>
      </c>
      <c r="Q47" s="25">
        <v>1</v>
      </c>
      <c r="R47" s="25">
        <f t="shared" si="0"/>
        <v>1.05</v>
      </c>
      <c r="S47" s="25">
        <f t="shared" si="1"/>
        <v>1.05</v>
      </c>
      <c r="T47" s="25">
        <f t="shared" si="2"/>
        <v>1</v>
      </c>
      <c r="U47" s="25">
        <f t="shared" si="3"/>
        <v>1</v>
      </c>
      <c r="V47" s="25">
        <f t="shared" si="4"/>
        <v>1</v>
      </c>
      <c r="W47" s="25">
        <f t="shared" si="5"/>
        <v>1</v>
      </c>
    </row>
    <row r="48" spans="1:33" ht="15.75" customHeight="1" x14ac:dyDescent="0.2">
      <c r="A48" s="3" t="s">
        <v>12</v>
      </c>
      <c r="B48" s="32" t="s">
        <v>2</v>
      </c>
      <c r="C48" s="32" t="s">
        <v>35</v>
      </c>
      <c r="D48" s="61">
        <v>133.33333333333334</v>
      </c>
      <c r="E48" s="41"/>
      <c r="F48" s="25">
        <f t="shared" si="6"/>
        <v>1.05</v>
      </c>
      <c r="G48" s="25">
        <f>F48</f>
        <v>1.05</v>
      </c>
      <c r="H48" s="25">
        <v>1</v>
      </c>
      <c r="I48" s="25">
        <v>1</v>
      </c>
      <c r="J48" s="25">
        <v>1</v>
      </c>
      <c r="K48" s="25">
        <v>1</v>
      </c>
      <c r="L48" s="25">
        <f t="shared" si="7"/>
        <v>0.95</v>
      </c>
      <c r="M48" s="25">
        <f t="shared" si="7"/>
        <v>0.95</v>
      </c>
      <c r="N48" s="25">
        <f t="shared" si="7"/>
        <v>0.95</v>
      </c>
      <c r="O48" s="25">
        <v>1</v>
      </c>
      <c r="P48" s="25">
        <v>1</v>
      </c>
      <c r="Q48" s="25">
        <v>1</v>
      </c>
      <c r="R48" s="25">
        <f t="shared" si="0"/>
        <v>1.05</v>
      </c>
      <c r="S48" s="25">
        <f t="shared" si="1"/>
        <v>1.05</v>
      </c>
      <c r="T48" s="25">
        <f t="shared" si="2"/>
        <v>1</v>
      </c>
      <c r="U48" s="25">
        <f t="shared" si="3"/>
        <v>1</v>
      </c>
      <c r="V48" s="25">
        <f t="shared" si="4"/>
        <v>1</v>
      </c>
      <c r="W48" s="25">
        <f t="shared" si="5"/>
        <v>1</v>
      </c>
    </row>
    <row r="49" spans="1:23" ht="15.75" customHeight="1" x14ac:dyDescent="0.2">
      <c r="A49" s="3" t="s">
        <v>12</v>
      </c>
      <c r="B49" s="32" t="s">
        <v>2</v>
      </c>
      <c r="C49" s="32" t="s">
        <v>52</v>
      </c>
      <c r="D49" s="61">
        <v>115</v>
      </c>
      <c r="E49" s="41"/>
      <c r="F49" s="25">
        <f t="shared" si="6"/>
        <v>1.05</v>
      </c>
      <c r="G49" s="25">
        <f>G48</f>
        <v>1.05</v>
      </c>
      <c r="H49" s="25">
        <f>H48</f>
        <v>1</v>
      </c>
      <c r="I49" s="25">
        <f>I48</f>
        <v>1</v>
      </c>
      <c r="J49" s="25">
        <f>J48</f>
        <v>1</v>
      </c>
      <c r="K49" s="25">
        <f>K48</f>
        <v>1</v>
      </c>
      <c r="L49" s="25">
        <f t="shared" si="7"/>
        <v>0.95</v>
      </c>
      <c r="M49" s="25">
        <f t="shared" si="7"/>
        <v>0.95</v>
      </c>
      <c r="N49" s="25">
        <f t="shared" si="7"/>
        <v>0.95</v>
      </c>
      <c r="O49" s="25">
        <f t="shared" ref="O49:W49" si="8">O48</f>
        <v>1</v>
      </c>
      <c r="P49" s="25">
        <f t="shared" si="8"/>
        <v>1</v>
      </c>
      <c r="Q49" s="25">
        <f t="shared" si="8"/>
        <v>1</v>
      </c>
      <c r="R49" s="25">
        <f t="shared" si="8"/>
        <v>1.05</v>
      </c>
      <c r="S49" s="25">
        <f t="shared" si="8"/>
        <v>1.05</v>
      </c>
      <c r="T49" s="25">
        <f t="shared" si="8"/>
        <v>1</v>
      </c>
      <c r="U49" s="25">
        <f t="shared" si="8"/>
        <v>1</v>
      </c>
      <c r="V49" s="25">
        <f t="shared" si="8"/>
        <v>1</v>
      </c>
      <c r="W49" s="25">
        <f t="shared" si="8"/>
        <v>1</v>
      </c>
    </row>
    <row r="50" spans="1:23" ht="15.75" customHeight="1" x14ac:dyDescent="0.2">
      <c r="A50" s="3" t="s">
        <v>12</v>
      </c>
      <c r="B50" s="32" t="s">
        <v>2</v>
      </c>
      <c r="C50" s="32" t="s">
        <v>56</v>
      </c>
      <c r="D50" s="61">
        <v>68.333333333333329</v>
      </c>
      <c r="E50" s="41"/>
      <c r="F50" s="25">
        <f t="shared" si="6"/>
        <v>1.05</v>
      </c>
      <c r="G50" s="25">
        <f>F50</f>
        <v>1.05</v>
      </c>
      <c r="H50" s="25">
        <v>1</v>
      </c>
      <c r="I50" s="25">
        <v>1</v>
      </c>
      <c r="J50" s="25">
        <v>1</v>
      </c>
      <c r="K50" s="25">
        <v>1</v>
      </c>
      <c r="L50" s="25">
        <f t="shared" si="7"/>
        <v>0.95</v>
      </c>
      <c r="M50" s="25">
        <f t="shared" si="7"/>
        <v>0.95</v>
      </c>
      <c r="N50" s="25">
        <f t="shared" si="7"/>
        <v>0.95</v>
      </c>
      <c r="O50" s="25">
        <v>1</v>
      </c>
      <c r="P50" s="25">
        <v>1</v>
      </c>
      <c r="Q50" s="25">
        <v>1</v>
      </c>
      <c r="R50" s="25">
        <f t="shared" ref="R50:W52" si="9">F50</f>
        <v>1.05</v>
      </c>
      <c r="S50" s="25">
        <f t="shared" si="9"/>
        <v>1.05</v>
      </c>
      <c r="T50" s="25">
        <f t="shared" si="9"/>
        <v>1</v>
      </c>
      <c r="U50" s="25">
        <f t="shared" si="9"/>
        <v>1</v>
      </c>
      <c r="V50" s="25">
        <f t="shared" si="9"/>
        <v>1</v>
      </c>
      <c r="W50" s="25">
        <f t="shared" si="9"/>
        <v>1</v>
      </c>
    </row>
    <row r="51" spans="1:23" ht="15.75" customHeight="1" x14ac:dyDescent="0.2">
      <c r="A51" s="3" t="s">
        <v>12</v>
      </c>
      <c r="B51" s="32" t="s">
        <v>2</v>
      </c>
      <c r="C51" s="32" t="s">
        <v>37</v>
      </c>
      <c r="D51" s="61">
        <v>86.666666666666657</v>
      </c>
      <c r="E51" s="41"/>
      <c r="F51" s="25">
        <f t="shared" si="6"/>
        <v>1.05</v>
      </c>
      <c r="G51" s="25">
        <f>F51</f>
        <v>1.05</v>
      </c>
      <c r="H51" s="25">
        <v>1</v>
      </c>
      <c r="I51" s="25">
        <v>1</v>
      </c>
      <c r="J51" s="25">
        <v>1</v>
      </c>
      <c r="K51" s="25">
        <v>1</v>
      </c>
      <c r="L51" s="25">
        <f t="shared" si="7"/>
        <v>0.95</v>
      </c>
      <c r="M51" s="25">
        <f t="shared" si="7"/>
        <v>0.95</v>
      </c>
      <c r="N51" s="25">
        <f t="shared" si="7"/>
        <v>0.95</v>
      </c>
      <c r="O51" s="25">
        <v>1</v>
      </c>
      <c r="P51" s="25">
        <v>1</v>
      </c>
      <c r="Q51" s="25">
        <v>1</v>
      </c>
      <c r="R51" s="25">
        <f t="shared" si="9"/>
        <v>1.05</v>
      </c>
      <c r="S51" s="25">
        <f t="shared" si="9"/>
        <v>1.05</v>
      </c>
      <c r="T51" s="25">
        <f t="shared" si="9"/>
        <v>1</v>
      </c>
      <c r="U51" s="25">
        <f t="shared" si="9"/>
        <v>1</v>
      </c>
      <c r="V51" s="25">
        <f t="shared" si="9"/>
        <v>1</v>
      </c>
      <c r="W51" s="25">
        <f t="shared" si="9"/>
        <v>1</v>
      </c>
    </row>
    <row r="52" spans="1:23" ht="15.75" customHeight="1" x14ac:dyDescent="0.2">
      <c r="A52" s="3" t="s">
        <v>12</v>
      </c>
      <c r="B52" s="32" t="s">
        <v>2</v>
      </c>
      <c r="C52" s="32" t="s">
        <v>36</v>
      </c>
      <c r="D52" s="61">
        <v>78.333333333333329</v>
      </c>
      <c r="E52" s="41"/>
      <c r="F52" s="25">
        <f t="shared" si="6"/>
        <v>1.05</v>
      </c>
      <c r="G52" s="25">
        <f>F52</f>
        <v>1.05</v>
      </c>
      <c r="H52" s="25">
        <v>1</v>
      </c>
      <c r="I52" s="25">
        <v>1</v>
      </c>
      <c r="J52" s="25">
        <v>1</v>
      </c>
      <c r="K52" s="25">
        <v>1</v>
      </c>
      <c r="L52" s="25">
        <f t="shared" si="7"/>
        <v>0.95</v>
      </c>
      <c r="M52" s="25">
        <f t="shared" si="7"/>
        <v>0.95</v>
      </c>
      <c r="N52" s="25">
        <f t="shared" si="7"/>
        <v>0.95</v>
      </c>
      <c r="O52" s="25">
        <v>1</v>
      </c>
      <c r="P52" s="25">
        <v>1</v>
      </c>
      <c r="Q52" s="25">
        <v>1</v>
      </c>
      <c r="R52" s="25">
        <f t="shared" si="9"/>
        <v>1.05</v>
      </c>
      <c r="S52" s="25">
        <f t="shared" si="9"/>
        <v>1.05</v>
      </c>
      <c r="T52" s="25">
        <f t="shared" si="9"/>
        <v>1</v>
      </c>
      <c r="U52" s="25">
        <f t="shared" si="9"/>
        <v>1</v>
      </c>
      <c r="V52" s="25">
        <f t="shared" si="9"/>
        <v>1</v>
      </c>
      <c r="W52" s="25">
        <f t="shared" si="9"/>
        <v>1</v>
      </c>
    </row>
    <row r="53" spans="1:23" ht="15.75" customHeight="1" x14ac:dyDescent="0.2">
      <c r="B53" s="32"/>
      <c r="C53" s="32"/>
      <c r="D53" s="33"/>
    </row>
    <row r="54" spans="1:23" ht="15.75" customHeight="1" x14ac:dyDescent="0.2">
      <c r="B54" s="32"/>
      <c r="C54" s="32"/>
      <c r="D54" s="33"/>
    </row>
    <row r="55" spans="1:23" ht="15.75" customHeight="1" x14ac:dyDescent="0.2">
      <c r="B55" s="32"/>
      <c r="C55" s="32"/>
      <c r="D55" s="61"/>
    </row>
    <row r="56" spans="1:23" ht="15.75" customHeight="1" x14ac:dyDescent="0.2">
      <c r="B56" s="32"/>
      <c r="C56" s="32"/>
      <c r="D56" s="61"/>
    </row>
    <row r="57" spans="1:23" ht="15.75" customHeight="1" x14ac:dyDescent="0.2">
      <c r="B57" s="32"/>
      <c r="C57" s="32"/>
      <c r="D57" s="61"/>
    </row>
    <row r="58" spans="1:23" ht="15.75" customHeight="1" x14ac:dyDescent="0.2">
      <c r="B58" s="32"/>
      <c r="C58" s="32"/>
      <c r="D58" s="61"/>
    </row>
    <row r="59" spans="1:23" ht="15.75" customHeight="1" x14ac:dyDescent="0.2">
      <c r="B59" s="32"/>
      <c r="C59" s="32"/>
      <c r="D59" s="61"/>
    </row>
    <row r="60" spans="1:23" ht="15.75" customHeight="1" x14ac:dyDescent="0.2">
      <c r="B60" s="32"/>
      <c r="C60" s="32"/>
      <c r="D60" s="61"/>
    </row>
    <row r="61" spans="1:23" ht="15.75" customHeight="1" x14ac:dyDescent="0.2">
      <c r="B61" s="32"/>
      <c r="C61" s="32"/>
      <c r="D61" s="61"/>
    </row>
    <row r="62" spans="1:23" ht="15.75" customHeight="1" x14ac:dyDescent="0.2">
      <c r="B62" s="32"/>
      <c r="C62" s="32"/>
      <c r="D62" s="61"/>
    </row>
    <row r="63" spans="1:23" ht="15.75" customHeight="1" x14ac:dyDescent="0.2">
      <c r="B63" s="32"/>
      <c r="C63" s="32"/>
      <c r="D63" s="61"/>
    </row>
    <row r="64" spans="1:23" ht="15.75" customHeight="1" x14ac:dyDescent="0.2">
      <c r="B64" s="32"/>
      <c r="C64" s="32"/>
      <c r="D64" s="61"/>
    </row>
    <row r="65" spans="2:4" ht="15.75" customHeight="1" x14ac:dyDescent="0.2">
      <c r="B65" s="32"/>
      <c r="C65" s="32"/>
      <c r="D65" s="61"/>
    </row>
    <row r="66" spans="2:4" ht="15.75" customHeight="1" x14ac:dyDescent="0.2">
      <c r="B66" s="32"/>
      <c r="C66" s="32"/>
      <c r="D66" s="61"/>
    </row>
    <row r="67" spans="2:4" ht="15.75" customHeight="1" x14ac:dyDescent="0.2">
      <c r="B67" s="32"/>
      <c r="C67" s="32"/>
      <c r="D67" s="61"/>
    </row>
    <row r="68" spans="2:4" ht="15.75" customHeight="1" x14ac:dyDescent="0.2">
      <c r="B68" s="32"/>
      <c r="C68" s="32"/>
      <c r="D68" s="61"/>
    </row>
    <row r="69" spans="2:4" ht="15.75" customHeight="1" x14ac:dyDescent="0.2">
      <c r="B69" s="32"/>
      <c r="C69" s="32"/>
      <c r="D69" s="61"/>
    </row>
    <row r="70" spans="2:4" ht="15.75" customHeight="1" x14ac:dyDescent="0.2">
      <c r="B70" s="32"/>
      <c r="C70" s="32"/>
      <c r="D70" s="61"/>
    </row>
    <row r="71" spans="2:4" ht="15.75" customHeight="1" x14ac:dyDescent="0.2">
      <c r="B71" s="32"/>
      <c r="C71" s="32"/>
      <c r="D71" s="61"/>
    </row>
    <row r="72" spans="2:4" ht="15.75" customHeight="1" x14ac:dyDescent="0.2">
      <c r="B72" s="32"/>
      <c r="C72" s="32"/>
      <c r="D72" s="61"/>
    </row>
    <row r="73" spans="2:4" ht="15.75" customHeight="1" x14ac:dyDescent="0.2">
      <c r="B73" s="32"/>
      <c r="C73" s="32"/>
      <c r="D73" s="61"/>
    </row>
    <row r="74" spans="2:4" ht="15.75" customHeight="1" x14ac:dyDescent="0.2">
      <c r="D74" s="61"/>
    </row>
    <row r="75" spans="2:4" ht="15.75" customHeight="1" x14ac:dyDescent="0.2">
      <c r="D75" s="61"/>
    </row>
    <row r="76" spans="2:4" ht="15.75" customHeight="1" x14ac:dyDescent="0.2">
      <c r="D76" s="61"/>
    </row>
    <row r="77" spans="2:4" ht="15.75" customHeight="1" x14ac:dyDescent="0.2">
      <c r="D77" s="61"/>
    </row>
    <row r="78" spans="2:4" ht="15.75" customHeight="1" x14ac:dyDescent="0.2">
      <c r="D78" s="61"/>
    </row>
    <row r="79" spans="2:4" ht="15.75" customHeight="1" x14ac:dyDescent="0.2">
      <c r="D79" s="61"/>
    </row>
    <row r="80" spans="2:4" ht="15.75" customHeight="1" x14ac:dyDescent="0.2">
      <c r="D80" s="61"/>
    </row>
    <row r="81" spans="4:4" ht="15.75" customHeight="1" x14ac:dyDescent="0.2">
      <c r="D81" s="61"/>
    </row>
    <row r="82" spans="4:4" ht="15.75" customHeight="1" x14ac:dyDescent="0.2">
      <c r="D82" s="61"/>
    </row>
    <row r="83" spans="4:4" ht="15.75" customHeight="1" x14ac:dyDescent="0.2">
      <c r="D83" s="61"/>
    </row>
    <row r="84" spans="4:4" ht="15.75" customHeight="1" x14ac:dyDescent="0.2">
      <c r="D84" s="61"/>
    </row>
    <row r="85" spans="4:4" ht="15.75" customHeight="1" x14ac:dyDescent="0.2">
      <c r="D85" s="61"/>
    </row>
    <row r="86" spans="4:4" ht="15.75" customHeight="1" x14ac:dyDescent="0.2">
      <c r="D86" s="61"/>
    </row>
    <row r="87" spans="4:4" ht="15.75" customHeight="1" x14ac:dyDescent="0.2">
      <c r="D87" s="61"/>
    </row>
    <row r="88" spans="4:4" ht="15.75" customHeight="1" x14ac:dyDescent="0.2">
      <c r="D88" s="61"/>
    </row>
    <row r="89" spans="4:4" ht="15.75" customHeight="1" x14ac:dyDescent="0.2">
      <c r="D89" s="61"/>
    </row>
    <row r="90" spans="4:4" ht="15.75" customHeight="1" x14ac:dyDescent="0.2">
      <c r="D90" s="61"/>
    </row>
    <row r="91" spans="4:4" ht="15.75" customHeight="1" x14ac:dyDescent="0.2">
      <c r="D91" s="61"/>
    </row>
    <row r="92" spans="4:4" ht="15.75" customHeight="1" x14ac:dyDescent="0.2">
      <c r="D92" s="61"/>
    </row>
    <row r="93" spans="4:4" ht="15.75" customHeight="1" x14ac:dyDescent="0.2">
      <c r="D93" s="61"/>
    </row>
    <row r="94" spans="4:4" ht="15.75" customHeight="1" x14ac:dyDescent="0.2">
      <c r="D94" s="61"/>
    </row>
    <row r="95" spans="4:4" ht="15.75" customHeight="1" x14ac:dyDescent="0.2">
      <c r="D95" s="61"/>
    </row>
    <row r="96" spans="4:4" ht="15.75" customHeight="1" x14ac:dyDescent="0.2">
      <c r="D96" s="61"/>
    </row>
    <row r="97" spans="4:4" ht="15.75" customHeight="1" x14ac:dyDescent="0.2">
      <c r="D97" s="61"/>
    </row>
    <row r="98" spans="4:4" ht="15.75" customHeight="1" x14ac:dyDescent="0.2">
      <c r="D98" s="61"/>
    </row>
    <row r="99" spans="4:4" ht="15.75" customHeight="1" x14ac:dyDescent="0.2">
      <c r="D99" s="61"/>
    </row>
    <row r="100" spans="4:4" ht="15.75" customHeight="1" x14ac:dyDescent="0.2">
      <c r="D100" s="61"/>
    </row>
    <row r="101" spans="4:4" ht="15.75" customHeight="1" x14ac:dyDescent="0.2">
      <c r="D101" s="61"/>
    </row>
    <row r="102" spans="4:4" ht="15.75" customHeight="1" x14ac:dyDescent="0.2">
      <c r="D102" s="61"/>
    </row>
    <row r="103" spans="4:4" ht="15.75" customHeight="1" x14ac:dyDescent="0.2">
      <c r="D103" s="61"/>
    </row>
    <row r="104" spans="4:4" ht="15.75" customHeight="1" x14ac:dyDescent="0.2">
      <c r="D104" s="61"/>
    </row>
    <row r="105" spans="4:4" ht="15.75" customHeight="1" x14ac:dyDescent="0.2">
      <c r="D105" s="61"/>
    </row>
    <row r="106" spans="4:4" ht="15.75" customHeight="1" x14ac:dyDescent="0.2">
      <c r="D106" s="61"/>
    </row>
    <row r="107" spans="4:4" ht="15.75" customHeight="1" x14ac:dyDescent="0.2">
      <c r="D107" s="61"/>
    </row>
    <row r="108" spans="4:4" ht="15.75" customHeight="1" x14ac:dyDescent="0.2">
      <c r="D108" s="61"/>
    </row>
    <row r="109" spans="4:4" ht="15.75" customHeight="1" x14ac:dyDescent="0.2">
      <c r="D109" s="61"/>
    </row>
    <row r="110" spans="4:4" ht="15.75" customHeight="1" x14ac:dyDescent="0.2">
      <c r="D110" s="61"/>
    </row>
    <row r="111" spans="4:4" ht="15.75" customHeight="1" x14ac:dyDescent="0.2">
      <c r="D111" s="61"/>
    </row>
    <row r="112" spans="4:4" ht="15.75" customHeight="1" x14ac:dyDescent="0.2">
      <c r="D112" s="61"/>
    </row>
    <row r="113" spans="4:4" ht="15.75" customHeight="1" x14ac:dyDescent="0.2">
      <c r="D113" s="61"/>
    </row>
    <row r="114" spans="4:4" ht="15.75" customHeight="1" x14ac:dyDescent="0.2">
      <c r="D114" s="61"/>
    </row>
    <row r="115" spans="4:4" ht="15.75" customHeight="1" x14ac:dyDescent="0.2">
      <c r="D115" s="61"/>
    </row>
    <row r="116" spans="4:4" ht="15.75" customHeight="1" x14ac:dyDescent="0.2">
      <c r="D116" s="61"/>
    </row>
    <row r="117" spans="4:4" ht="15.75" customHeight="1" x14ac:dyDescent="0.2">
      <c r="D117" s="61"/>
    </row>
    <row r="118" spans="4:4" ht="15.75" customHeight="1" x14ac:dyDescent="0.2">
      <c r="D118" s="61"/>
    </row>
    <row r="119" spans="4:4" ht="15.75" customHeight="1" x14ac:dyDescent="0.2">
      <c r="D119" s="61"/>
    </row>
    <row r="120" spans="4:4" ht="15.75" customHeight="1" x14ac:dyDescent="0.2">
      <c r="D120" s="61"/>
    </row>
    <row r="121" spans="4:4" ht="15.75" customHeight="1" x14ac:dyDescent="0.2">
      <c r="D121" s="61"/>
    </row>
    <row r="122" spans="4:4" ht="15.75" customHeight="1" x14ac:dyDescent="0.2">
      <c r="D122" s="61"/>
    </row>
    <row r="123" spans="4:4" ht="15.75" customHeight="1" x14ac:dyDescent="0.2">
      <c r="D123" s="61"/>
    </row>
    <row r="124" spans="4:4" ht="15.75" customHeight="1" x14ac:dyDescent="0.2">
      <c r="D124" s="61"/>
    </row>
    <row r="125" spans="4:4" ht="15.75" customHeight="1" x14ac:dyDescent="0.2">
      <c r="D125" s="61"/>
    </row>
    <row r="126" spans="4:4" ht="15.75" customHeight="1" x14ac:dyDescent="0.2">
      <c r="D126" s="61"/>
    </row>
    <row r="127" spans="4:4" ht="15.75" customHeight="1" x14ac:dyDescent="0.2">
      <c r="D127" s="61"/>
    </row>
    <row r="128" spans="4:4" ht="15.75" customHeight="1" x14ac:dyDescent="0.2">
      <c r="D128" s="61"/>
    </row>
    <row r="129" spans="4:4" ht="15.75" customHeight="1" x14ac:dyDescent="0.2">
      <c r="D129" s="61"/>
    </row>
    <row r="130" spans="4:4" ht="15.75" customHeight="1" x14ac:dyDescent="0.2">
      <c r="D130" s="61"/>
    </row>
    <row r="131" spans="4:4" ht="15.75" customHeight="1" x14ac:dyDescent="0.2">
      <c r="D131" s="61"/>
    </row>
    <row r="132" spans="4:4" ht="15.75" customHeight="1" x14ac:dyDescent="0.2">
      <c r="D132" s="61"/>
    </row>
    <row r="133" spans="4:4" ht="15.75" customHeight="1" x14ac:dyDescent="0.2">
      <c r="D133" s="61"/>
    </row>
    <row r="134" spans="4:4" ht="15.75" customHeight="1" x14ac:dyDescent="0.2">
      <c r="D134" s="61"/>
    </row>
    <row r="135" spans="4:4" ht="15.75" customHeight="1" x14ac:dyDescent="0.2">
      <c r="D135" s="61"/>
    </row>
    <row r="136" spans="4:4" ht="15.75" customHeight="1" x14ac:dyDescent="0.2">
      <c r="D136" s="61"/>
    </row>
    <row r="137" spans="4:4" ht="15.75" customHeight="1" x14ac:dyDescent="0.2">
      <c r="D137" s="61"/>
    </row>
  </sheetData>
  <sortState xmlns:xlrd2="http://schemas.microsoft.com/office/spreadsheetml/2017/richdata2" ref="A3:C52">
    <sortCondition ref="B3:B53"/>
    <sortCondition ref="C3:C53"/>
  </sortState>
  <conditionalFormatting sqref="F4:X52 X2">
    <cfRule type="cellIs" dxfId="5" priority="1" operator="lessThan">
      <formula>1</formula>
    </cfRule>
    <cfRule type="cellIs" dxfId="4" priority="2" operator="greaterThan">
      <formula>1</formula>
    </cfRule>
  </conditionalFormatting>
  <pageMargins left="0.75" right="0.75" top="1" bottom="1" header="0.5" footer="0.5"/>
  <pageSetup orientation="portrait" verticalDpi="0" r:id="rId1"/>
  <headerFooter alignWithMargins="0">
    <oddFooter>&amp;L&amp;F&amp;R&amp;D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17"/>
  <sheetViews>
    <sheetView workbookViewId="0"/>
  </sheetViews>
  <sheetFormatPr baseColWidth="10" defaultColWidth="9.1640625" defaultRowHeight="15.75" customHeight="1" x14ac:dyDescent="0.15"/>
  <cols>
    <col min="1" max="5" width="9.1640625" style="3"/>
    <col min="6" max="24" width="7.1640625" style="25" customWidth="1"/>
    <col min="25" max="26" width="6.1640625" style="3" customWidth="1"/>
    <col min="27" max="16384" width="9.1640625" style="3"/>
  </cols>
  <sheetData>
    <row r="1" spans="1:24" ht="15.75" customHeight="1" x14ac:dyDescent="0.15">
      <c r="B1" s="12" t="s">
        <v>64</v>
      </c>
    </row>
    <row r="3" spans="1:24" s="7" customFormat="1" ht="15.75" customHeight="1" x14ac:dyDescent="0.15">
      <c r="A3" s="7" t="s">
        <v>72</v>
      </c>
      <c r="B3" s="7" t="s">
        <v>65</v>
      </c>
      <c r="C3" s="7" t="s">
        <v>66</v>
      </c>
      <c r="D3" s="35" t="s">
        <v>63</v>
      </c>
      <c r="F3" s="8">
        <v>44256</v>
      </c>
      <c r="G3" s="8">
        <v>44287</v>
      </c>
      <c r="H3" s="8">
        <v>44317</v>
      </c>
      <c r="I3" s="8">
        <v>44348</v>
      </c>
      <c r="J3" s="8">
        <v>44378</v>
      </c>
      <c r="K3" s="8">
        <v>44409</v>
      </c>
      <c r="L3" s="8">
        <v>44440</v>
      </c>
      <c r="M3" s="8">
        <v>44470</v>
      </c>
      <c r="N3" s="8">
        <v>44501</v>
      </c>
      <c r="O3" s="8">
        <v>44531</v>
      </c>
      <c r="P3" s="8">
        <v>44562</v>
      </c>
      <c r="Q3" s="8">
        <v>44593</v>
      </c>
      <c r="R3" s="8">
        <v>44621</v>
      </c>
      <c r="S3" s="8">
        <v>44652</v>
      </c>
      <c r="T3" s="8">
        <v>44682</v>
      </c>
      <c r="U3" s="8">
        <v>44713</v>
      </c>
      <c r="V3" s="8">
        <v>44743</v>
      </c>
      <c r="W3" s="8">
        <v>44774</v>
      </c>
      <c r="X3" s="42"/>
    </row>
    <row r="4" spans="1:24" ht="15.75" customHeight="1" x14ac:dyDescent="0.2">
      <c r="A4" s="3" t="s">
        <v>13</v>
      </c>
      <c r="B4" s="32" t="s">
        <v>36</v>
      </c>
      <c r="C4" s="32" t="s">
        <v>48</v>
      </c>
      <c r="D4" s="61">
        <v>8.3333333333333339</v>
      </c>
      <c r="F4" s="25">
        <v>1</v>
      </c>
      <c r="G4" s="25">
        <v>1</v>
      </c>
      <c r="H4" s="25">
        <v>1</v>
      </c>
      <c r="I4" s="25">
        <v>1</v>
      </c>
      <c r="J4" s="25">
        <v>1</v>
      </c>
      <c r="K4" s="25">
        <v>1</v>
      </c>
      <c r="L4" s="25">
        <v>1</v>
      </c>
      <c r="M4" s="25">
        <v>1</v>
      </c>
      <c r="N4" s="25">
        <v>1</v>
      </c>
      <c r="O4" s="25">
        <v>1</v>
      </c>
      <c r="P4" s="25">
        <v>1</v>
      </c>
      <c r="Q4" s="25">
        <v>1</v>
      </c>
      <c r="R4" s="25">
        <f t="shared" ref="R4:W4" si="0">F4</f>
        <v>1</v>
      </c>
      <c r="S4" s="25">
        <f t="shared" si="0"/>
        <v>1</v>
      </c>
      <c r="T4" s="25">
        <f t="shared" si="0"/>
        <v>1</v>
      </c>
      <c r="U4" s="25">
        <f t="shared" si="0"/>
        <v>1</v>
      </c>
      <c r="V4" s="25">
        <f t="shared" si="0"/>
        <v>1</v>
      </c>
      <c r="W4" s="25">
        <f t="shared" si="0"/>
        <v>1</v>
      </c>
    </row>
    <row r="5" spans="1:24" ht="15.75" customHeight="1" x14ac:dyDescent="0.15">
      <c r="A5" s="3" t="s">
        <v>13</v>
      </c>
      <c r="B5" s="49" t="s">
        <v>48</v>
      </c>
      <c r="C5" s="49" t="s">
        <v>48</v>
      </c>
      <c r="D5" s="63">
        <v>0</v>
      </c>
      <c r="F5" s="25">
        <v>1</v>
      </c>
      <c r="G5" s="25">
        <v>1</v>
      </c>
      <c r="H5" s="25">
        <v>1</v>
      </c>
      <c r="I5" s="25">
        <v>1</v>
      </c>
      <c r="J5" s="25">
        <v>1</v>
      </c>
      <c r="K5" s="25">
        <v>1</v>
      </c>
      <c r="L5" s="25">
        <v>1</v>
      </c>
      <c r="M5" s="25">
        <v>1</v>
      </c>
      <c r="N5" s="25">
        <v>1</v>
      </c>
      <c r="O5" s="25">
        <v>1</v>
      </c>
      <c r="P5" s="25">
        <v>1</v>
      </c>
      <c r="Q5" s="25">
        <v>1</v>
      </c>
      <c r="R5" s="25">
        <v>1</v>
      </c>
      <c r="S5" s="25">
        <v>1</v>
      </c>
      <c r="T5" s="25">
        <v>1</v>
      </c>
      <c r="U5" s="25">
        <v>1</v>
      </c>
      <c r="V5" s="25">
        <v>1</v>
      </c>
      <c r="W5" s="25">
        <v>1</v>
      </c>
    </row>
    <row r="6" spans="1:24" ht="15.75" customHeight="1" x14ac:dyDescent="0.15">
      <c r="A6" s="3" t="s">
        <v>13</v>
      </c>
      <c r="B6" s="49" t="s">
        <v>58</v>
      </c>
      <c r="C6" s="49" t="s">
        <v>58</v>
      </c>
      <c r="D6" s="63">
        <v>0</v>
      </c>
      <c r="F6" s="25">
        <v>1</v>
      </c>
      <c r="G6" s="25">
        <v>1</v>
      </c>
      <c r="H6" s="25">
        <v>1</v>
      </c>
      <c r="I6" s="25">
        <v>1</v>
      </c>
      <c r="J6" s="25">
        <v>1</v>
      </c>
      <c r="K6" s="25">
        <v>1</v>
      </c>
      <c r="L6" s="25">
        <v>1</v>
      </c>
      <c r="M6" s="25">
        <v>1</v>
      </c>
      <c r="N6" s="25">
        <v>1</v>
      </c>
      <c r="O6" s="25">
        <v>1</v>
      </c>
      <c r="P6" s="25">
        <v>1</v>
      </c>
      <c r="Q6" s="25">
        <v>1</v>
      </c>
      <c r="R6" s="25">
        <v>1</v>
      </c>
      <c r="S6" s="25">
        <v>1</v>
      </c>
      <c r="T6" s="25">
        <v>1</v>
      </c>
      <c r="U6" s="25">
        <v>1</v>
      </c>
      <c r="V6" s="25">
        <v>1</v>
      </c>
      <c r="W6" s="25">
        <v>1</v>
      </c>
    </row>
    <row r="7" spans="1:24" ht="15.75" customHeight="1" x14ac:dyDescent="0.15">
      <c r="A7" s="3" t="s">
        <v>13</v>
      </c>
      <c r="B7" s="49" t="s">
        <v>51</v>
      </c>
      <c r="C7" s="49" t="s">
        <v>51</v>
      </c>
      <c r="D7" s="63">
        <v>0</v>
      </c>
      <c r="F7" s="25">
        <v>1</v>
      </c>
      <c r="G7" s="25">
        <v>1</v>
      </c>
      <c r="H7" s="25">
        <v>1</v>
      </c>
      <c r="I7" s="25">
        <v>1</v>
      </c>
      <c r="J7" s="25">
        <v>1</v>
      </c>
      <c r="K7" s="25">
        <v>1</v>
      </c>
      <c r="L7" s="25">
        <v>1</v>
      </c>
      <c r="M7" s="25">
        <v>1</v>
      </c>
      <c r="N7" s="25">
        <v>1</v>
      </c>
      <c r="O7" s="25">
        <v>1</v>
      </c>
      <c r="P7" s="25">
        <v>1</v>
      </c>
      <c r="Q7" s="25">
        <v>1</v>
      </c>
      <c r="R7" s="25">
        <v>1</v>
      </c>
      <c r="S7" s="25">
        <v>1</v>
      </c>
      <c r="T7" s="25">
        <v>1</v>
      </c>
      <c r="U7" s="25">
        <v>1</v>
      </c>
      <c r="V7" s="25">
        <v>1</v>
      </c>
      <c r="W7" s="25">
        <v>1</v>
      </c>
    </row>
    <row r="8" spans="1:24" ht="15.75" customHeight="1" x14ac:dyDescent="0.15">
      <c r="A8" s="3" t="s">
        <v>13</v>
      </c>
      <c r="B8" s="49" t="s">
        <v>47</v>
      </c>
      <c r="C8" s="49" t="s">
        <v>47</v>
      </c>
      <c r="D8" s="63">
        <v>0</v>
      </c>
      <c r="F8" s="25">
        <v>1</v>
      </c>
      <c r="G8" s="25">
        <v>1</v>
      </c>
      <c r="H8" s="25">
        <v>1</v>
      </c>
      <c r="I8" s="25">
        <v>1</v>
      </c>
      <c r="J8" s="25">
        <v>1</v>
      </c>
      <c r="K8" s="25">
        <v>1</v>
      </c>
      <c r="L8" s="25">
        <v>1</v>
      </c>
      <c r="M8" s="25">
        <v>1</v>
      </c>
      <c r="N8" s="25">
        <v>1</v>
      </c>
      <c r="O8" s="25">
        <v>1</v>
      </c>
      <c r="P8" s="25">
        <v>1</v>
      </c>
      <c r="Q8" s="25">
        <v>1</v>
      </c>
      <c r="R8" s="25">
        <v>1</v>
      </c>
      <c r="S8" s="25">
        <v>1</v>
      </c>
      <c r="T8" s="25">
        <v>1</v>
      </c>
      <c r="U8" s="25">
        <v>1</v>
      </c>
      <c r="V8" s="25">
        <v>1</v>
      </c>
      <c r="W8" s="25">
        <v>1</v>
      </c>
    </row>
    <row r="9" spans="1:24" ht="15.75" customHeight="1" x14ac:dyDescent="0.2">
      <c r="A9" s="3" t="s">
        <v>13</v>
      </c>
      <c r="B9" s="32" t="s">
        <v>36</v>
      </c>
      <c r="C9" s="32" t="s">
        <v>33</v>
      </c>
      <c r="D9" s="61">
        <v>38.333333333333336</v>
      </c>
      <c r="F9" s="25">
        <v>1</v>
      </c>
      <c r="G9" s="25">
        <v>1</v>
      </c>
      <c r="H9" s="25">
        <v>1.05</v>
      </c>
      <c r="I9" s="25">
        <f>H9</f>
        <v>1.05</v>
      </c>
      <c r="J9" s="25">
        <f>I9</f>
        <v>1.05</v>
      </c>
      <c r="K9" s="25">
        <v>1</v>
      </c>
      <c r="L9" s="25">
        <v>1</v>
      </c>
      <c r="M9" s="25">
        <v>1</v>
      </c>
      <c r="N9" s="25">
        <v>1</v>
      </c>
      <c r="O9" s="25">
        <v>1</v>
      </c>
      <c r="P9" s="25">
        <v>1</v>
      </c>
      <c r="Q9" s="25">
        <v>1</v>
      </c>
      <c r="R9" s="25">
        <f t="shared" ref="R9:W9" si="1">F9</f>
        <v>1</v>
      </c>
      <c r="S9" s="25">
        <f t="shared" si="1"/>
        <v>1</v>
      </c>
      <c r="T9" s="25">
        <f t="shared" si="1"/>
        <v>1.05</v>
      </c>
      <c r="U9" s="25">
        <f t="shared" si="1"/>
        <v>1.05</v>
      </c>
      <c r="V9" s="25">
        <f t="shared" si="1"/>
        <v>1.05</v>
      </c>
      <c r="W9" s="25">
        <f t="shared" si="1"/>
        <v>1</v>
      </c>
    </row>
    <row r="10" spans="1:24" ht="15.75" customHeight="1" x14ac:dyDescent="0.15">
      <c r="A10" s="3" t="s">
        <v>13</v>
      </c>
      <c r="B10" s="49" t="s">
        <v>33</v>
      </c>
      <c r="C10" s="49" t="s">
        <v>33</v>
      </c>
      <c r="D10" s="63">
        <v>0</v>
      </c>
      <c r="F10" s="25">
        <v>1</v>
      </c>
      <c r="G10" s="25">
        <v>1</v>
      </c>
      <c r="H10" s="25">
        <v>1</v>
      </c>
      <c r="I10" s="25">
        <v>1</v>
      </c>
      <c r="J10" s="25">
        <v>1</v>
      </c>
      <c r="K10" s="25">
        <v>1</v>
      </c>
      <c r="L10" s="25">
        <v>1</v>
      </c>
      <c r="M10" s="25">
        <v>1</v>
      </c>
      <c r="N10" s="25">
        <v>1</v>
      </c>
      <c r="O10" s="25">
        <v>1</v>
      </c>
      <c r="P10" s="25">
        <v>1</v>
      </c>
      <c r="Q10" s="25">
        <v>1</v>
      </c>
      <c r="R10" s="25">
        <v>1</v>
      </c>
      <c r="S10" s="25">
        <v>1</v>
      </c>
      <c r="T10" s="25">
        <v>1</v>
      </c>
      <c r="U10" s="25">
        <v>1</v>
      </c>
      <c r="V10" s="25">
        <v>1</v>
      </c>
      <c r="W10" s="25">
        <v>1</v>
      </c>
    </row>
    <row r="11" spans="1:24" ht="15.75" customHeight="1" x14ac:dyDescent="0.2">
      <c r="A11" s="3" t="s">
        <v>13</v>
      </c>
      <c r="B11" s="32" t="s">
        <v>51</v>
      </c>
      <c r="C11" s="32" t="s">
        <v>50</v>
      </c>
      <c r="D11" s="61">
        <v>33.333333333333336</v>
      </c>
      <c r="F11" s="25">
        <v>1</v>
      </c>
      <c r="G11" s="25">
        <v>1</v>
      </c>
      <c r="H11" s="25">
        <v>1</v>
      </c>
      <c r="I11" s="25">
        <v>1</v>
      </c>
      <c r="J11" s="25">
        <v>1</v>
      </c>
      <c r="K11" s="25">
        <v>1</v>
      </c>
      <c r="L11" s="25">
        <v>1</v>
      </c>
      <c r="M11" s="25">
        <v>1</v>
      </c>
      <c r="N11" s="25">
        <v>1</v>
      </c>
      <c r="O11" s="25">
        <v>1</v>
      </c>
      <c r="P11" s="25">
        <v>1</v>
      </c>
      <c r="Q11" s="25">
        <v>1</v>
      </c>
      <c r="R11" s="25">
        <f t="shared" ref="R11:W13" si="2">F11</f>
        <v>1</v>
      </c>
      <c r="S11" s="25">
        <f t="shared" si="2"/>
        <v>1</v>
      </c>
      <c r="T11" s="25">
        <f t="shared" si="2"/>
        <v>1</v>
      </c>
      <c r="U11" s="25">
        <f t="shared" si="2"/>
        <v>1</v>
      </c>
      <c r="V11" s="25">
        <f t="shared" si="2"/>
        <v>1</v>
      </c>
      <c r="W11" s="25">
        <f t="shared" si="2"/>
        <v>1</v>
      </c>
    </row>
    <row r="12" spans="1:24" ht="15.75" customHeight="1" x14ac:dyDescent="0.2">
      <c r="A12" s="3" t="s">
        <v>13</v>
      </c>
      <c r="B12" s="32" t="s">
        <v>56</v>
      </c>
      <c r="C12" s="32" t="s">
        <v>50</v>
      </c>
      <c r="D12" s="61">
        <v>38.333333333333336</v>
      </c>
      <c r="F12" s="25">
        <v>1</v>
      </c>
      <c r="G12" s="25">
        <v>1</v>
      </c>
      <c r="H12" s="25">
        <v>1</v>
      </c>
      <c r="I12" s="25">
        <v>1</v>
      </c>
      <c r="J12" s="25">
        <v>1</v>
      </c>
      <c r="K12" s="25">
        <v>1</v>
      </c>
      <c r="L12" s="25">
        <v>1</v>
      </c>
      <c r="M12" s="25">
        <v>1</v>
      </c>
      <c r="N12" s="25">
        <v>1</v>
      </c>
      <c r="O12" s="25">
        <v>1</v>
      </c>
      <c r="P12" s="25">
        <v>1</v>
      </c>
      <c r="Q12" s="25">
        <v>1</v>
      </c>
      <c r="R12" s="25">
        <f t="shared" si="2"/>
        <v>1</v>
      </c>
      <c r="S12" s="25">
        <f t="shared" si="2"/>
        <v>1</v>
      </c>
      <c r="T12" s="25">
        <f t="shared" si="2"/>
        <v>1</v>
      </c>
      <c r="U12" s="25">
        <f t="shared" si="2"/>
        <v>1</v>
      </c>
      <c r="V12" s="25">
        <f t="shared" si="2"/>
        <v>1</v>
      </c>
      <c r="W12" s="25">
        <f t="shared" si="2"/>
        <v>1</v>
      </c>
    </row>
    <row r="13" spans="1:24" ht="15.75" customHeight="1" x14ac:dyDescent="0.2">
      <c r="A13" s="3" t="s">
        <v>13</v>
      </c>
      <c r="B13" s="32" t="s">
        <v>36</v>
      </c>
      <c r="C13" s="32" t="s">
        <v>50</v>
      </c>
      <c r="D13" s="61">
        <v>31.666666666666664</v>
      </c>
      <c r="F13" s="25">
        <v>1</v>
      </c>
      <c r="G13" s="25">
        <v>1</v>
      </c>
      <c r="H13" s="25">
        <v>1</v>
      </c>
      <c r="I13" s="25">
        <v>1</v>
      </c>
      <c r="J13" s="25">
        <v>1</v>
      </c>
      <c r="K13" s="25">
        <v>1</v>
      </c>
      <c r="L13" s="25">
        <v>1</v>
      </c>
      <c r="M13" s="25">
        <v>1</v>
      </c>
      <c r="N13" s="25">
        <v>1</v>
      </c>
      <c r="O13" s="25">
        <v>1</v>
      </c>
      <c r="P13" s="25">
        <v>1</v>
      </c>
      <c r="Q13" s="25">
        <v>1</v>
      </c>
      <c r="R13" s="25">
        <f t="shared" si="2"/>
        <v>1</v>
      </c>
      <c r="S13" s="25">
        <f t="shared" si="2"/>
        <v>1</v>
      </c>
      <c r="T13" s="25">
        <f t="shared" si="2"/>
        <v>1</v>
      </c>
      <c r="U13" s="25">
        <f t="shared" si="2"/>
        <v>1</v>
      </c>
      <c r="V13" s="25">
        <f t="shared" si="2"/>
        <v>1</v>
      </c>
      <c r="W13" s="25">
        <f t="shared" si="2"/>
        <v>1</v>
      </c>
    </row>
    <row r="14" spans="1:24" ht="15.75" customHeight="1" x14ac:dyDescent="0.15">
      <c r="A14" s="3" t="s">
        <v>13</v>
      </c>
      <c r="B14" s="49" t="s">
        <v>50</v>
      </c>
      <c r="C14" s="49" t="s">
        <v>50</v>
      </c>
      <c r="D14" s="63">
        <v>0</v>
      </c>
      <c r="F14" s="25">
        <v>1</v>
      </c>
      <c r="G14" s="25">
        <v>1</v>
      </c>
      <c r="H14" s="25">
        <v>1</v>
      </c>
      <c r="I14" s="25">
        <v>1</v>
      </c>
      <c r="J14" s="25">
        <v>1</v>
      </c>
      <c r="K14" s="25">
        <v>1</v>
      </c>
      <c r="L14" s="25">
        <v>1</v>
      </c>
      <c r="M14" s="25">
        <v>1</v>
      </c>
      <c r="N14" s="25">
        <v>1</v>
      </c>
      <c r="O14" s="25">
        <v>1</v>
      </c>
      <c r="P14" s="25">
        <v>1</v>
      </c>
      <c r="Q14" s="25">
        <v>1</v>
      </c>
      <c r="R14" s="25">
        <v>1</v>
      </c>
      <c r="S14" s="25">
        <v>1</v>
      </c>
      <c r="T14" s="25">
        <v>1</v>
      </c>
      <c r="U14" s="25">
        <v>1</v>
      </c>
      <c r="V14" s="25">
        <v>1</v>
      </c>
      <c r="W14" s="25">
        <v>1</v>
      </c>
    </row>
    <row r="15" spans="1:24" ht="15.75" customHeight="1" x14ac:dyDescent="0.15">
      <c r="A15" s="3" t="s">
        <v>13</v>
      </c>
      <c r="B15" s="49" t="s">
        <v>34</v>
      </c>
      <c r="C15" s="49" t="s">
        <v>34</v>
      </c>
      <c r="D15" s="63">
        <v>0</v>
      </c>
      <c r="F15" s="25">
        <v>1</v>
      </c>
      <c r="G15" s="25">
        <v>1</v>
      </c>
      <c r="H15" s="25">
        <v>1</v>
      </c>
      <c r="I15" s="25">
        <v>1</v>
      </c>
      <c r="J15" s="25">
        <v>1</v>
      </c>
      <c r="K15" s="25">
        <v>1</v>
      </c>
      <c r="L15" s="25">
        <v>1</v>
      </c>
      <c r="M15" s="25">
        <v>1</v>
      </c>
      <c r="N15" s="25">
        <v>1</v>
      </c>
      <c r="O15" s="25">
        <v>1</v>
      </c>
      <c r="P15" s="25">
        <v>1</v>
      </c>
      <c r="Q15" s="25">
        <v>1</v>
      </c>
      <c r="R15" s="25">
        <v>1</v>
      </c>
      <c r="S15" s="25">
        <v>1</v>
      </c>
      <c r="T15" s="25">
        <v>1</v>
      </c>
      <c r="U15" s="25">
        <v>1</v>
      </c>
      <c r="V15" s="25">
        <v>1</v>
      </c>
      <c r="W15" s="25">
        <v>1</v>
      </c>
    </row>
    <row r="16" spans="1:24" ht="15.75" customHeight="1" x14ac:dyDescent="0.15">
      <c r="A16" s="3" t="s">
        <v>13</v>
      </c>
      <c r="B16" s="49" t="s">
        <v>35</v>
      </c>
      <c r="C16" s="49" t="s">
        <v>35</v>
      </c>
      <c r="D16" s="63">
        <v>0</v>
      </c>
      <c r="F16" s="25">
        <v>1</v>
      </c>
      <c r="G16" s="25">
        <v>1</v>
      </c>
      <c r="H16" s="25">
        <v>1</v>
      </c>
      <c r="I16" s="25">
        <v>1</v>
      </c>
      <c r="J16" s="25">
        <v>1</v>
      </c>
      <c r="K16" s="25">
        <v>1</v>
      </c>
      <c r="L16" s="25">
        <v>1</v>
      </c>
      <c r="M16" s="25">
        <v>1</v>
      </c>
      <c r="N16" s="25">
        <v>1</v>
      </c>
      <c r="O16" s="25">
        <v>1</v>
      </c>
      <c r="P16" s="25">
        <v>1</v>
      </c>
      <c r="Q16" s="25">
        <v>1</v>
      </c>
      <c r="R16" s="25">
        <v>1</v>
      </c>
      <c r="S16" s="25">
        <v>1</v>
      </c>
      <c r="T16" s="25">
        <v>1</v>
      </c>
      <c r="U16" s="25">
        <v>1</v>
      </c>
      <c r="V16" s="25">
        <v>1</v>
      </c>
      <c r="W16" s="25">
        <v>1</v>
      </c>
    </row>
    <row r="17" spans="1:23" ht="15.75" customHeight="1" x14ac:dyDescent="0.2">
      <c r="A17" s="3" t="s">
        <v>13</v>
      </c>
      <c r="B17" s="46" t="s">
        <v>56</v>
      </c>
      <c r="C17" s="46" t="s">
        <v>49</v>
      </c>
      <c r="D17" s="62">
        <v>35</v>
      </c>
      <c r="F17" s="25">
        <v>1</v>
      </c>
      <c r="G17" s="25">
        <v>1</v>
      </c>
      <c r="H17" s="25">
        <v>1</v>
      </c>
      <c r="I17" s="25">
        <v>1</v>
      </c>
      <c r="J17" s="25">
        <v>1</v>
      </c>
      <c r="K17" s="25">
        <v>1</v>
      </c>
      <c r="L17" s="25">
        <v>1</v>
      </c>
      <c r="M17" s="25">
        <v>1</v>
      </c>
      <c r="N17" s="25">
        <v>1</v>
      </c>
      <c r="O17" s="25">
        <v>1</v>
      </c>
      <c r="P17" s="25">
        <v>1</v>
      </c>
      <c r="Q17" s="25">
        <v>1</v>
      </c>
      <c r="R17" s="25">
        <f t="shared" ref="R17:W18" si="3">F17</f>
        <v>1</v>
      </c>
      <c r="S17" s="25">
        <f t="shared" si="3"/>
        <v>1</v>
      </c>
      <c r="T17" s="25">
        <f t="shared" si="3"/>
        <v>1</v>
      </c>
      <c r="U17" s="25">
        <f t="shared" si="3"/>
        <v>1</v>
      </c>
      <c r="V17" s="25">
        <f t="shared" si="3"/>
        <v>1</v>
      </c>
      <c r="W17" s="25">
        <f t="shared" si="3"/>
        <v>1</v>
      </c>
    </row>
    <row r="18" spans="1:23" ht="15.75" customHeight="1" x14ac:dyDescent="0.2">
      <c r="A18" s="3" t="s">
        <v>13</v>
      </c>
      <c r="B18" s="46" t="s">
        <v>36</v>
      </c>
      <c r="C18" s="46" t="s">
        <v>49</v>
      </c>
      <c r="D18" s="62">
        <v>33.333333333333336</v>
      </c>
      <c r="F18" s="25">
        <v>1</v>
      </c>
      <c r="G18" s="25">
        <v>1</v>
      </c>
      <c r="H18" s="25">
        <v>1</v>
      </c>
      <c r="I18" s="25">
        <v>1</v>
      </c>
      <c r="J18" s="25">
        <v>1</v>
      </c>
      <c r="K18" s="25">
        <v>1</v>
      </c>
      <c r="L18" s="25">
        <v>1</v>
      </c>
      <c r="M18" s="25">
        <v>1</v>
      </c>
      <c r="N18" s="25">
        <v>1</v>
      </c>
      <c r="O18" s="25">
        <v>1</v>
      </c>
      <c r="P18" s="25">
        <v>1</v>
      </c>
      <c r="Q18" s="25">
        <v>1</v>
      </c>
      <c r="R18" s="25">
        <f t="shared" si="3"/>
        <v>1</v>
      </c>
      <c r="S18" s="25">
        <f t="shared" si="3"/>
        <v>1</v>
      </c>
      <c r="T18" s="25">
        <f t="shared" si="3"/>
        <v>1</v>
      </c>
      <c r="U18" s="25">
        <f t="shared" si="3"/>
        <v>1</v>
      </c>
      <c r="V18" s="25">
        <f t="shared" si="3"/>
        <v>1</v>
      </c>
      <c r="W18" s="25">
        <f t="shared" si="3"/>
        <v>1</v>
      </c>
    </row>
    <row r="19" spans="1:23" ht="15.75" customHeight="1" x14ac:dyDescent="0.15">
      <c r="A19" s="3" t="s">
        <v>13</v>
      </c>
      <c r="B19" s="50" t="s">
        <v>49</v>
      </c>
      <c r="C19" s="50" t="s">
        <v>49</v>
      </c>
      <c r="D19" s="64">
        <v>0</v>
      </c>
      <c r="F19" s="25">
        <v>1</v>
      </c>
      <c r="G19" s="25">
        <v>1</v>
      </c>
      <c r="H19" s="25">
        <v>1</v>
      </c>
      <c r="I19" s="25">
        <v>1</v>
      </c>
      <c r="J19" s="25">
        <v>1</v>
      </c>
      <c r="K19" s="25">
        <v>1</v>
      </c>
      <c r="L19" s="25">
        <v>1</v>
      </c>
      <c r="M19" s="25">
        <v>1</v>
      </c>
      <c r="N19" s="25">
        <v>1</v>
      </c>
      <c r="O19" s="25">
        <v>1</v>
      </c>
      <c r="P19" s="25">
        <v>1</v>
      </c>
      <c r="Q19" s="25">
        <v>1</v>
      </c>
      <c r="R19" s="25">
        <v>1</v>
      </c>
      <c r="S19" s="25">
        <v>1</v>
      </c>
      <c r="T19" s="25">
        <v>1</v>
      </c>
      <c r="U19" s="25">
        <v>1</v>
      </c>
      <c r="V19" s="25">
        <v>1</v>
      </c>
      <c r="W19" s="25">
        <v>1</v>
      </c>
    </row>
    <row r="20" spans="1:23" ht="15.75" customHeight="1" x14ac:dyDescent="0.2">
      <c r="A20" s="3" t="s">
        <v>13</v>
      </c>
      <c r="B20" s="46" t="s">
        <v>51</v>
      </c>
      <c r="C20" s="46" t="s">
        <v>32</v>
      </c>
      <c r="D20" s="62">
        <v>33.333333333333336</v>
      </c>
      <c r="F20" s="25">
        <v>1</v>
      </c>
      <c r="G20" s="25">
        <v>1</v>
      </c>
      <c r="H20" s="25">
        <v>1</v>
      </c>
      <c r="I20" s="25">
        <v>1</v>
      </c>
      <c r="J20" s="25">
        <v>1</v>
      </c>
      <c r="K20" s="25">
        <v>1</v>
      </c>
      <c r="L20" s="25">
        <v>1</v>
      </c>
      <c r="M20" s="25">
        <v>1</v>
      </c>
      <c r="N20" s="25">
        <v>1</v>
      </c>
      <c r="O20" s="25">
        <v>1</v>
      </c>
      <c r="P20" s="25">
        <v>1</v>
      </c>
      <c r="Q20" s="25">
        <v>1</v>
      </c>
      <c r="R20" s="25">
        <f t="shared" ref="R20:W21" si="4">F20</f>
        <v>1</v>
      </c>
      <c r="S20" s="25">
        <f t="shared" si="4"/>
        <v>1</v>
      </c>
      <c r="T20" s="25">
        <f t="shared" si="4"/>
        <v>1</v>
      </c>
      <c r="U20" s="25">
        <f t="shared" si="4"/>
        <v>1</v>
      </c>
      <c r="V20" s="25">
        <f t="shared" si="4"/>
        <v>1</v>
      </c>
      <c r="W20" s="25">
        <f t="shared" si="4"/>
        <v>1</v>
      </c>
    </row>
    <row r="21" spans="1:23" ht="15.75" customHeight="1" x14ac:dyDescent="0.2">
      <c r="A21" s="3" t="s">
        <v>13</v>
      </c>
      <c r="B21" s="46" t="s">
        <v>36</v>
      </c>
      <c r="C21" s="46" t="s">
        <v>32</v>
      </c>
      <c r="D21" s="62">
        <v>31.666666666666664</v>
      </c>
      <c r="F21" s="25">
        <v>1</v>
      </c>
      <c r="G21" s="25">
        <v>1</v>
      </c>
      <c r="H21" s="25">
        <v>1</v>
      </c>
      <c r="I21" s="25">
        <v>1</v>
      </c>
      <c r="J21" s="25">
        <v>1</v>
      </c>
      <c r="K21" s="25">
        <v>1</v>
      </c>
      <c r="L21" s="25">
        <v>1</v>
      </c>
      <c r="M21" s="25">
        <v>1</v>
      </c>
      <c r="N21" s="25">
        <v>1</v>
      </c>
      <c r="O21" s="25">
        <v>1</v>
      </c>
      <c r="P21" s="25">
        <v>1</v>
      </c>
      <c r="Q21" s="25">
        <v>1</v>
      </c>
      <c r="R21" s="25">
        <f t="shared" si="4"/>
        <v>1</v>
      </c>
      <c r="S21" s="25">
        <f t="shared" si="4"/>
        <v>1</v>
      </c>
      <c r="T21" s="25">
        <f t="shared" si="4"/>
        <v>1</v>
      </c>
      <c r="U21" s="25">
        <f t="shared" si="4"/>
        <v>1</v>
      </c>
      <c r="V21" s="25">
        <f t="shared" si="4"/>
        <v>1</v>
      </c>
      <c r="W21" s="25">
        <f t="shared" si="4"/>
        <v>1</v>
      </c>
    </row>
    <row r="22" spans="1:23" ht="15.75" customHeight="1" x14ac:dyDescent="0.15">
      <c r="A22" s="3" t="s">
        <v>13</v>
      </c>
      <c r="B22" s="50" t="s">
        <v>32</v>
      </c>
      <c r="C22" s="50" t="s">
        <v>32</v>
      </c>
      <c r="D22" s="64">
        <v>0</v>
      </c>
      <c r="F22" s="25">
        <v>1</v>
      </c>
      <c r="G22" s="25">
        <v>1</v>
      </c>
      <c r="H22" s="25">
        <v>1</v>
      </c>
      <c r="I22" s="25">
        <v>1</v>
      </c>
      <c r="J22" s="25">
        <v>1</v>
      </c>
      <c r="K22" s="25">
        <v>1</v>
      </c>
      <c r="L22" s="25">
        <v>1</v>
      </c>
      <c r="M22" s="25">
        <v>1</v>
      </c>
      <c r="N22" s="25">
        <v>1</v>
      </c>
      <c r="O22" s="25">
        <v>1</v>
      </c>
      <c r="P22" s="25">
        <v>1</v>
      </c>
      <c r="Q22" s="25">
        <v>1</v>
      </c>
      <c r="R22" s="25">
        <v>1</v>
      </c>
      <c r="S22" s="25">
        <v>1</v>
      </c>
      <c r="T22" s="25">
        <v>1</v>
      </c>
      <c r="U22" s="25">
        <v>1</v>
      </c>
      <c r="V22" s="25">
        <v>1</v>
      </c>
      <c r="W22" s="25">
        <v>1</v>
      </c>
    </row>
    <row r="23" spans="1:23" ht="15.75" customHeight="1" x14ac:dyDescent="0.2">
      <c r="A23" s="3" t="s">
        <v>13</v>
      </c>
      <c r="B23" s="46" t="s">
        <v>56</v>
      </c>
      <c r="C23" s="46" t="s">
        <v>52</v>
      </c>
      <c r="D23" s="62">
        <v>30</v>
      </c>
      <c r="F23" s="25">
        <v>1</v>
      </c>
      <c r="G23" s="25">
        <v>1</v>
      </c>
      <c r="H23" s="25">
        <v>1</v>
      </c>
      <c r="I23" s="25">
        <v>1</v>
      </c>
      <c r="J23" s="25">
        <v>1</v>
      </c>
      <c r="K23" s="25">
        <v>1</v>
      </c>
      <c r="L23" s="25">
        <v>1</v>
      </c>
      <c r="M23" s="25">
        <v>1</v>
      </c>
      <c r="N23" s="25">
        <v>1</v>
      </c>
      <c r="O23" s="25">
        <v>1</v>
      </c>
      <c r="P23" s="25">
        <v>1</v>
      </c>
      <c r="Q23" s="25">
        <v>1</v>
      </c>
      <c r="R23" s="25">
        <f t="shared" ref="R23:W24" si="5">F23</f>
        <v>1</v>
      </c>
      <c r="S23" s="25">
        <f t="shared" si="5"/>
        <v>1</v>
      </c>
      <c r="T23" s="25">
        <f t="shared" si="5"/>
        <v>1</v>
      </c>
      <c r="U23" s="25">
        <f t="shared" si="5"/>
        <v>1</v>
      </c>
      <c r="V23" s="25">
        <f t="shared" si="5"/>
        <v>1</v>
      </c>
      <c r="W23" s="25">
        <f t="shared" si="5"/>
        <v>1</v>
      </c>
    </row>
    <row r="24" spans="1:23" ht="15.75" customHeight="1" x14ac:dyDescent="0.2">
      <c r="A24" s="3" t="s">
        <v>13</v>
      </c>
      <c r="B24" s="46" t="s">
        <v>36</v>
      </c>
      <c r="C24" s="46" t="s">
        <v>52</v>
      </c>
      <c r="D24" s="62">
        <v>35</v>
      </c>
      <c r="F24" s="25">
        <v>1</v>
      </c>
      <c r="G24" s="25">
        <v>1</v>
      </c>
      <c r="H24" s="25">
        <v>1</v>
      </c>
      <c r="I24" s="25">
        <v>1</v>
      </c>
      <c r="J24" s="25">
        <v>1</v>
      </c>
      <c r="K24" s="25">
        <v>1</v>
      </c>
      <c r="L24" s="25">
        <v>1.05</v>
      </c>
      <c r="M24" s="25">
        <v>1.05</v>
      </c>
      <c r="N24" s="25">
        <v>1.05</v>
      </c>
      <c r="O24" s="25">
        <v>1</v>
      </c>
      <c r="P24" s="25">
        <v>1</v>
      </c>
      <c r="Q24" s="25">
        <v>1</v>
      </c>
      <c r="R24" s="25">
        <f t="shared" si="5"/>
        <v>1</v>
      </c>
      <c r="S24" s="25">
        <f t="shared" si="5"/>
        <v>1</v>
      </c>
      <c r="T24" s="25">
        <f t="shared" si="5"/>
        <v>1</v>
      </c>
      <c r="U24" s="25">
        <f t="shared" si="5"/>
        <v>1</v>
      </c>
      <c r="V24" s="25">
        <f t="shared" si="5"/>
        <v>1</v>
      </c>
      <c r="W24" s="25">
        <f t="shared" si="5"/>
        <v>1</v>
      </c>
    </row>
    <row r="25" spans="1:23" ht="15.75" customHeight="1" x14ac:dyDescent="0.15">
      <c r="A25" s="3" t="s">
        <v>13</v>
      </c>
      <c r="B25" s="3" t="s">
        <v>52</v>
      </c>
      <c r="C25" s="3" t="s">
        <v>52</v>
      </c>
      <c r="D25" s="60">
        <v>0</v>
      </c>
      <c r="F25" s="25">
        <v>1</v>
      </c>
      <c r="G25" s="25">
        <v>1</v>
      </c>
      <c r="H25" s="25">
        <v>1</v>
      </c>
      <c r="I25" s="25">
        <v>1</v>
      </c>
      <c r="J25" s="25">
        <v>1</v>
      </c>
      <c r="K25" s="25">
        <v>1</v>
      </c>
      <c r="L25" s="25">
        <v>1</v>
      </c>
      <c r="M25" s="25">
        <v>1</v>
      </c>
      <c r="N25" s="25">
        <v>1</v>
      </c>
      <c r="O25" s="25">
        <v>1</v>
      </c>
      <c r="P25" s="25">
        <v>1</v>
      </c>
      <c r="Q25" s="25">
        <v>1</v>
      </c>
      <c r="R25" s="25">
        <v>1</v>
      </c>
      <c r="S25" s="25">
        <v>1</v>
      </c>
      <c r="T25" s="25">
        <v>1</v>
      </c>
      <c r="U25" s="25">
        <v>1</v>
      </c>
      <c r="V25" s="25">
        <v>1</v>
      </c>
      <c r="W25" s="25">
        <v>1</v>
      </c>
    </row>
    <row r="26" spans="1:23" ht="15.75" customHeight="1" x14ac:dyDescent="0.15">
      <c r="A26" s="3" t="s">
        <v>13</v>
      </c>
      <c r="B26" s="3" t="s">
        <v>56</v>
      </c>
      <c r="C26" s="3" t="s">
        <v>56</v>
      </c>
      <c r="D26" s="60">
        <v>0</v>
      </c>
      <c r="F26" s="25">
        <v>1</v>
      </c>
      <c r="G26" s="25">
        <v>1</v>
      </c>
      <c r="H26" s="25">
        <v>1</v>
      </c>
      <c r="I26" s="25">
        <v>1</v>
      </c>
      <c r="J26" s="25">
        <v>1</v>
      </c>
      <c r="K26" s="25">
        <v>1</v>
      </c>
      <c r="L26" s="25">
        <v>1</v>
      </c>
      <c r="M26" s="25">
        <v>1</v>
      </c>
      <c r="N26" s="25">
        <v>1</v>
      </c>
      <c r="O26" s="25">
        <v>1</v>
      </c>
      <c r="P26" s="25">
        <v>1</v>
      </c>
      <c r="Q26" s="25">
        <v>1</v>
      </c>
      <c r="R26" s="25">
        <v>1</v>
      </c>
      <c r="S26" s="25">
        <v>1</v>
      </c>
      <c r="T26" s="25">
        <v>1</v>
      </c>
      <c r="U26" s="25">
        <v>1</v>
      </c>
      <c r="V26" s="25">
        <v>1</v>
      </c>
      <c r="W26" s="25">
        <v>1</v>
      </c>
    </row>
    <row r="27" spans="1:23" ht="15.75" customHeight="1" x14ac:dyDescent="0.2">
      <c r="A27" s="3" t="s">
        <v>13</v>
      </c>
      <c r="B27" s="46" t="s">
        <v>51</v>
      </c>
      <c r="C27" s="46" t="s">
        <v>37</v>
      </c>
      <c r="D27" s="62">
        <v>33.333333333333336</v>
      </c>
      <c r="F27" s="25">
        <v>1</v>
      </c>
      <c r="G27" s="25">
        <v>0.95</v>
      </c>
      <c r="H27" s="25">
        <v>0.95</v>
      </c>
      <c r="I27" s="25">
        <v>0.95</v>
      </c>
      <c r="J27" s="25">
        <v>1</v>
      </c>
      <c r="K27" s="25">
        <v>1</v>
      </c>
      <c r="L27" s="25">
        <v>1</v>
      </c>
      <c r="M27" s="25">
        <v>1</v>
      </c>
      <c r="N27" s="25">
        <v>1</v>
      </c>
      <c r="O27" s="25">
        <v>1</v>
      </c>
      <c r="P27" s="25">
        <v>1</v>
      </c>
      <c r="Q27" s="25">
        <v>1</v>
      </c>
      <c r="R27" s="25">
        <f t="shared" ref="R27:W28" si="6">F27</f>
        <v>1</v>
      </c>
      <c r="S27" s="25">
        <f t="shared" si="6"/>
        <v>0.95</v>
      </c>
      <c r="T27" s="25">
        <f t="shared" si="6"/>
        <v>0.95</v>
      </c>
      <c r="U27" s="25">
        <f t="shared" si="6"/>
        <v>0.95</v>
      </c>
      <c r="V27" s="25">
        <f t="shared" si="6"/>
        <v>1</v>
      </c>
      <c r="W27" s="25">
        <f t="shared" si="6"/>
        <v>1</v>
      </c>
    </row>
    <row r="28" spans="1:23" ht="15.75" customHeight="1" x14ac:dyDescent="0.2">
      <c r="A28" s="3" t="s">
        <v>13</v>
      </c>
      <c r="B28" s="46" t="s">
        <v>36</v>
      </c>
      <c r="C28" s="46" t="s">
        <v>37</v>
      </c>
      <c r="D28" s="62">
        <v>31.666666666666664</v>
      </c>
      <c r="F28" s="25">
        <v>1</v>
      </c>
      <c r="G28" s="25">
        <v>1</v>
      </c>
      <c r="H28" s="25">
        <v>1</v>
      </c>
      <c r="I28" s="25">
        <v>1</v>
      </c>
      <c r="J28" s="25">
        <v>1</v>
      </c>
      <c r="K28" s="25">
        <v>1</v>
      </c>
      <c r="L28" s="25">
        <v>1</v>
      </c>
      <c r="M28" s="25">
        <v>1</v>
      </c>
      <c r="N28" s="25">
        <v>1</v>
      </c>
      <c r="O28" s="25">
        <v>1</v>
      </c>
      <c r="P28" s="25">
        <v>1</v>
      </c>
      <c r="Q28" s="25">
        <v>1</v>
      </c>
      <c r="R28" s="25">
        <f t="shared" si="6"/>
        <v>1</v>
      </c>
      <c r="S28" s="25">
        <f t="shared" si="6"/>
        <v>1</v>
      </c>
      <c r="T28" s="25">
        <f t="shared" si="6"/>
        <v>1</v>
      </c>
      <c r="U28" s="25">
        <f t="shared" si="6"/>
        <v>1</v>
      </c>
      <c r="V28" s="25">
        <f t="shared" si="6"/>
        <v>1</v>
      </c>
      <c r="W28" s="25">
        <f t="shared" si="6"/>
        <v>1</v>
      </c>
    </row>
    <row r="29" spans="1:23" ht="15.75" customHeight="1" x14ac:dyDescent="0.15">
      <c r="A29" s="3" t="s">
        <v>13</v>
      </c>
      <c r="B29" s="3" t="s">
        <v>37</v>
      </c>
      <c r="C29" s="3" t="s">
        <v>37</v>
      </c>
      <c r="D29" s="60">
        <v>0</v>
      </c>
      <c r="F29" s="25">
        <v>1</v>
      </c>
      <c r="G29" s="25">
        <v>1</v>
      </c>
      <c r="H29" s="25">
        <v>1</v>
      </c>
      <c r="I29" s="25">
        <v>1</v>
      </c>
      <c r="J29" s="25">
        <v>1</v>
      </c>
      <c r="K29" s="25">
        <v>1</v>
      </c>
      <c r="L29" s="25">
        <v>1</v>
      </c>
      <c r="M29" s="25">
        <v>1</v>
      </c>
      <c r="N29" s="25">
        <v>1</v>
      </c>
      <c r="O29" s="25">
        <v>1</v>
      </c>
      <c r="P29" s="25">
        <v>1</v>
      </c>
      <c r="Q29" s="25">
        <v>1</v>
      </c>
      <c r="R29" s="25">
        <v>1</v>
      </c>
      <c r="S29" s="25">
        <v>1</v>
      </c>
      <c r="T29" s="25">
        <v>1</v>
      </c>
      <c r="U29" s="25">
        <v>1</v>
      </c>
      <c r="V29" s="25">
        <v>1</v>
      </c>
      <c r="W29" s="25">
        <v>1</v>
      </c>
    </row>
    <row r="30" spans="1:23" ht="15.75" customHeight="1" x14ac:dyDescent="0.15">
      <c r="A30" s="3" t="s">
        <v>13</v>
      </c>
      <c r="B30" s="50" t="s">
        <v>36</v>
      </c>
      <c r="C30" s="50" t="s">
        <v>36</v>
      </c>
      <c r="D30" s="64">
        <v>0</v>
      </c>
      <c r="F30" s="25">
        <v>1</v>
      </c>
      <c r="G30" s="25">
        <v>1</v>
      </c>
      <c r="H30" s="25">
        <v>1</v>
      </c>
      <c r="I30" s="25">
        <v>1</v>
      </c>
      <c r="J30" s="25">
        <v>1</v>
      </c>
      <c r="K30" s="25">
        <v>1</v>
      </c>
      <c r="L30" s="25">
        <v>1</v>
      </c>
      <c r="M30" s="25">
        <v>1</v>
      </c>
      <c r="N30" s="25">
        <v>1</v>
      </c>
      <c r="O30" s="25">
        <v>1</v>
      </c>
      <c r="P30" s="25">
        <v>1</v>
      </c>
      <c r="Q30" s="25">
        <v>1</v>
      </c>
      <c r="R30" s="25">
        <v>1</v>
      </c>
      <c r="S30" s="25">
        <v>1</v>
      </c>
      <c r="T30" s="25">
        <v>1</v>
      </c>
      <c r="U30" s="25">
        <v>1</v>
      </c>
      <c r="V30" s="25">
        <v>1</v>
      </c>
      <c r="W30" s="25">
        <v>1</v>
      </c>
    </row>
    <row r="31" spans="1:23" ht="15.75" customHeight="1" x14ac:dyDescent="0.2">
      <c r="A31" s="3" t="s">
        <v>12</v>
      </c>
      <c r="B31" s="32" t="s">
        <v>36</v>
      </c>
      <c r="C31" s="32" t="s">
        <v>48</v>
      </c>
      <c r="D31" s="61">
        <v>8.3333333333333339</v>
      </c>
      <c r="F31" s="25">
        <v>1</v>
      </c>
      <c r="G31" s="25">
        <v>1</v>
      </c>
      <c r="H31" s="25">
        <v>1</v>
      </c>
      <c r="I31" s="25">
        <v>1</v>
      </c>
      <c r="J31" s="25">
        <v>1</v>
      </c>
      <c r="K31" s="25">
        <v>1</v>
      </c>
      <c r="L31" s="25">
        <v>1</v>
      </c>
      <c r="M31" s="25">
        <v>1</v>
      </c>
      <c r="N31" s="25">
        <v>1</v>
      </c>
      <c r="O31" s="25">
        <v>1</v>
      </c>
      <c r="P31" s="25">
        <v>1</v>
      </c>
      <c r="Q31" s="25">
        <v>1</v>
      </c>
      <c r="R31" s="25">
        <f t="shared" ref="R31:W31" si="7">F31</f>
        <v>1</v>
      </c>
      <c r="S31" s="25">
        <f t="shared" si="7"/>
        <v>1</v>
      </c>
      <c r="T31" s="25">
        <f t="shared" si="7"/>
        <v>1</v>
      </c>
      <c r="U31" s="25">
        <f t="shared" si="7"/>
        <v>1</v>
      </c>
      <c r="V31" s="25">
        <f t="shared" si="7"/>
        <v>1</v>
      </c>
      <c r="W31" s="25">
        <f t="shared" si="7"/>
        <v>1</v>
      </c>
    </row>
    <row r="32" spans="1:23" ht="15.75" customHeight="1" x14ac:dyDescent="0.15">
      <c r="A32" s="3" t="s">
        <v>12</v>
      </c>
      <c r="B32" s="49" t="s">
        <v>48</v>
      </c>
      <c r="C32" s="49" t="s">
        <v>48</v>
      </c>
      <c r="D32" s="63">
        <v>0</v>
      </c>
      <c r="F32" s="25">
        <v>1</v>
      </c>
      <c r="G32" s="25">
        <v>1</v>
      </c>
      <c r="H32" s="25">
        <v>1</v>
      </c>
      <c r="I32" s="25">
        <v>1</v>
      </c>
      <c r="J32" s="25">
        <v>1</v>
      </c>
      <c r="K32" s="25">
        <v>1</v>
      </c>
      <c r="L32" s="25">
        <v>1</v>
      </c>
      <c r="M32" s="25">
        <v>1</v>
      </c>
      <c r="N32" s="25">
        <v>1</v>
      </c>
      <c r="O32" s="25">
        <v>1</v>
      </c>
      <c r="P32" s="25">
        <v>1</v>
      </c>
      <c r="Q32" s="25">
        <v>1</v>
      </c>
      <c r="R32" s="25">
        <v>1</v>
      </c>
      <c r="S32" s="25">
        <v>1</v>
      </c>
      <c r="T32" s="25">
        <v>1</v>
      </c>
      <c r="U32" s="25">
        <v>1</v>
      </c>
      <c r="V32" s="25">
        <v>1</v>
      </c>
      <c r="W32" s="25">
        <v>1</v>
      </c>
    </row>
    <row r="33" spans="1:23" ht="15.75" customHeight="1" x14ac:dyDescent="0.15">
      <c r="A33" s="3" t="s">
        <v>12</v>
      </c>
      <c r="B33" s="49" t="s">
        <v>58</v>
      </c>
      <c r="C33" s="49" t="s">
        <v>58</v>
      </c>
      <c r="D33" s="63">
        <v>0</v>
      </c>
      <c r="F33" s="25">
        <v>1</v>
      </c>
      <c r="G33" s="25">
        <v>1</v>
      </c>
      <c r="H33" s="25">
        <v>1</v>
      </c>
      <c r="I33" s="25">
        <v>1</v>
      </c>
      <c r="J33" s="25">
        <v>1</v>
      </c>
      <c r="K33" s="25">
        <v>1</v>
      </c>
      <c r="L33" s="25">
        <v>1</v>
      </c>
      <c r="M33" s="25">
        <v>1</v>
      </c>
      <c r="N33" s="25">
        <v>1</v>
      </c>
      <c r="O33" s="25">
        <v>1</v>
      </c>
      <c r="P33" s="25">
        <v>1</v>
      </c>
      <c r="Q33" s="25">
        <v>1</v>
      </c>
      <c r="R33" s="25">
        <v>1</v>
      </c>
      <c r="S33" s="25">
        <v>1</v>
      </c>
      <c r="T33" s="25">
        <v>1</v>
      </c>
      <c r="U33" s="25">
        <v>1</v>
      </c>
      <c r="V33" s="25">
        <v>1</v>
      </c>
      <c r="W33" s="25">
        <v>1</v>
      </c>
    </row>
    <row r="34" spans="1:23" ht="15.75" customHeight="1" x14ac:dyDescent="0.15">
      <c r="A34" s="3" t="s">
        <v>12</v>
      </c>
      <c r="B34" s="49" t="s">
        <v>51</v>
      </c>
      <c r="C34" s="49" t="s">
        <v>51</v>
      </c>
      <c r="D34" s="63">
        <v>0</v>
      </c>
      <c r="F34" s="25">
        <v>1</v>
      </c>
      <c r="G34" s="25">
        <v>1</v>
      </c>
      <c r="H34" s="25">
        <v>1</v>
      </c>
      <c r="I34" s="25">
        <v>1</v>
      </c>
      <c r="J34" s="25">
        <v>1</v>
      </c>
      <c r="K34" s="25">
        <v>1</v>
      </c>
      <c r="L34" s="25">
        <v>1</v>
      </c>
      <c r="M34" s="25">
        <v>1</v>
      </c>
      <c r="N34" s="25">
        <v>1</v>
      </c>
      <c r="O34" s="25">
        <v>1</v>
      </c>
      <c r="P34" s="25">
        <v>1</v>
      </c>
      <c r="Q34" s="25">
        <v>1</v>
      </c>
      <c r="R34" s="25">
        <v>1</v>
      </c>
      <c r="S34" s="25">
        <v>1</v>
      </c>
      <c r="T34" s="25">
        <v>1</v>
      </c>
      <c r="U34" s="25">
        <v>1</v>
      </c>
      <c r="V34" s="25">
        <v>1</v>
      </c>
      <c r="W34" s="25">
        <v>1</v>
      </c>
    </row>
    <row r="35" spans="1:23" ht="15.75" customHeight="1" x14ac:dyDescent="0.15">
      <c r="A35" s="3" t="s">
        <v>12</v>
      </c>
      <c r="B35" s="49" t="s">
        <v>47</v>
      </c>
      <c r="C35" s="49" t="s">
        <v>47</v>
      </c>
      <c r="D35" s="63">
        <v>0</v>
      </c>
      <c r="F35" s="25">
        <v>1</v>
      </c>
      <c r="G35" s="25">
        <v>1</v>
      </c>
      <c r="H35" s="25">
        <v>1</v>
      </c>
      <c r="I35" s="25">
        <v>1</v>
      </c>
      <c r="J35" s="25">
        <v>1</v>
      </c>
      <c r="K35" s="25">
        <v>1</v>
      </c>
      <c r="L35" s="25">
        <v>1</v>
      </c>
      <c r="M35" s="25">
        <v>1</v>
      </c>
      <c r="N35" s="25">
        <v>1</v>
      </c>
      <c r="O35" s="25">
        <v>1</v>
      </c>
      <c r="P35" s="25">
        <v>1</v>
      </c>
      <c r="Q35" s="25">
        <v>1</v>
      </c>
      <c r="R35" s="25">
        <v>1</v>
      </c>
      <c r="S35" s="25">
        <v>1</v>
      </c>
      <c r="T35" s="25">
        <v>1</v>
      </c>
      <c r="U35" s="25">
        <v>1</v>
      </c>
      <c r="V35" s="25">
        <v>1</v>
      </c>
      <c r="W35" s="25">
        <v>1</v>
      </c>
    </row>
    <row r="36" spans="1:23" ht="15.75" customHeight="1" x14ac:dyDescent="0.2">
      <c r="A36" s="3" t="s">
        <v>12</v>
      </c>
      <c r="B36" s="32" t="s">
        <v>36</v>
      </c>
      <c r="C36" s="32" t="s">
        <v>33</v>
      </c>
      <c r="D36" s="61">
        <v>38.333333333333336</v>
      </c>
      <c r="F36" s="25">
        <v>1</v>
      </c>
      <c r="G36" s="25">
        <v>1</v>
      </c>
      <c r="H36" s="25">
        <v>1.05</v>
      </c>
      <c r="I36" s="25">
        <f>H36</f>
        <v>1.05</v>
      </c>
      <c r="J36" s="25">
        <f>I36</f>
        <v>1.05</v>
      </c>
      <c r="K36" s="25">
        <v>1</v>
      </c>
      <c r="L36" s="25">
        <v>1</v>
      </c>
      <c r="M36" s="25">
        <v>1</v>
      </c>
      <c r="N36" s="25">
        <v>1</v>
      </c>
      <c r="O36" s="25">
        <v>1</v>
      </c>
      <c r="P36" s="25">
        <v>1</v>
      </c>
      <c r="Q36" s="25">
        <v>1</v>
      </c>
      <c r="R36" s="25">
        <f t="shared" ref="R36:W36" si="8">F36</f>
        <v>1</v>
      </c>
      <c r="S36" s="25">
        <f t="shared" si="8"/>
        <v>1</v>
      </c>
      <c r="T36" s="25">
        <f t="shared" si="8"/>
        <v>1.05</v>
      </c>
      <c r="U36" s="25">
        <f t="shared" si="8"/>
        <v>1.05</v>
      </c>
      <c r="V36" s="25">
        <f t="shared" si="8"/>
        <v>1.05</v>
      </c>
      <c r="W36" s="25">
        <f t="shared" si="8"/>
        <v>1</v>
      </c>
    </row>
    <row r="37" spans="1:23" ht="15.75" customHeight="1" x14ac:dyDescent="0.15">
      <c r="A37" s="3" t="s">
        <v>12</v>
      </c>
      <c r="B37" s="49" t="s">
        <v>33</v>
      </c>
      <c r="C37" s="49" t="s">
        <v>33</v>
      </c>
      <c r="D37" s="63">
        <v>0</v>
      </c>
      <c r="F37" s="25">
        <v>1</v>
      </c>
      <c r="G37" s="25">
        <v>1</v>
      </c>
      <c r="H37" s="25">
        <v>1</v>
      </c>
      <c r="I37" s="25">
        <v>1</v>
      </c>
      <c r="J37" s="25">
        <v>1</v>
      </c>
      <c r="K37" s="25">
        <v>1</v>
      </c>
      <c r="L37" s="25">
        <v>1</v>
      </c>
      <c r="M37" s="25">
        <v>1</v>
      </c>
      <c r="N37" s="25">
        <v>1</v>
      </c>
      <c r="O37" s="25">
        <v>1</v>
      </c>
      <c r="P37" s="25">
        <v>1</v>
      </c>
      <c r="Q37" s="25">
        <v>1</v>
      </c>
      <c r="R37" s="25">
        <v>1</v>
      </c>
      <c r="S37" s="25">
        <v>1</v>
      </c>
      <c r="T37" s="25">
        <v>1</v>
      </c>
      <c r="U37" s="25">
        <v>1</v>
      </c>
      <c r="V37" s="25">
        <v>1</v>
      </c>
      <c r="W37" s="25">
        <v>1</v>
      </c>
    </row>
    <row r="38" spans="1:23" ht="15.75" customHeight="1" x14ac:dyDescent="0.2">
      <c r="A38" s="3" t="s">
        <v>12</v>
      </c>
      <c r="B38" s="32" t="s">
        <v>51</v>
      </c>
      <c r="C38" s="32" t="s">
        <v>50</v>
      </c>
      <c r="D38" s="61">
        <v>33.333333333333336</v>
      </c>
      <c r="F38" s="25">
        <v>1</v>
      </c>
      <c r="G38" s="25">
        <v>1</v>
      </c>
      <c r="H38" s="25">
        <v>1</v>
      </c>
      <c r="I38" s="25">
        <v>1</v>
      </c>
      <c r="J38" s="25">
        <v>1</v>
      </c>
      <c r="K38" s="25">
        <v>1</v>
      </c>
      <c r="L38" s="25">
        <v>1</v>
      </c>
      <c r="M38" s="25">
        <v>1</v>
      </c>
      <c r="N38" s="25">
        <v>1</v>
      </c>
      <c r="O38" s="25">
        <v>1</v>
      </c>
      <c r="P38" s="25">
        <v>1</v>
      </c>
      <c r="Q38" s="25">
        <v>1</v>
      </c>
      <c r="R38" s="25">
        <f t="shared" ref="R38:W40" si="9">F38</f>
        <v>1</v>
      </c>
      <c r="S38" s="25">
        <f t="shared" si="9"/>
        <v>1</v>
      </c>
      <c r="T38" s="25">
        <f t="shared" si="9"/>
        <v>1</v>
      </c>
      <c r="U38" s="25">
        <f t="shared" si="9"/>
        <v>1</v>
      </c>
      <c r="V38" s="25">
        <f t="shared" si="9"/>
        <v>1</v>
      </c>
      <c r="W38" s="25">
        <f t="shared" si="9"/>
        <v>1</v>
      </c>
    </row>
    <row r="39" spans="1:23" ht="15.75" customHeight="1" x14ac:dyDescent="0.2">
      <c r="A39" s="3" t="s">
        <v>12</v>
      </c>
      <c r="B39" s="32" t="s">
        <v>56</v>
      </c>
      <c r="C39" s="32" t="s">
        <v>50</v>
      </c>
      <c r="D39" s="61">
        <v>38.333333333333336</v>
      </c>
      <c r="F39" s="25">
        <v>1</v>
      </c>
      <c r="G39" s="25">
        <v>1</v>
      </c>
      <c r="H39" s="25">
        <v>1</v>
      </c>
      <c r="I39" s="25">
        <v>1</v>
      </c>
      <c r="J39" s="25">
        <v>1</v>
      </c>
      <c r="K39" s="25">
        <v>1</v>
      </c>
      <c r="L39" s="25">
        <v>1</v>
      </c>
      <c r="M39" s="25">
        <v>1</v>
      </c>
      <c r="N39" s="25">
        <v>1</v>
      </c>
      <c r="O39" s="25">
        <v>1</v>
      </c>
      <c r="P39" s="25">
        <v>1</v>
      </c>
      <c r="Q39" s="25">
        <v>1</v>
      </c>
      <c r="R39" s="25">
        <f t="shared" si="9"/>
        <v>1</v>
      </c>
      <c r="S39" s="25">
        <f t="shared" si="9"/>
        <v>1</v>
      </c>
      <c r="T39" s="25">
        <f t="shared" si="9"/>
        <v>1</v>
      </c>
      <c r="U39" s="25">
        <f t="shared" si="9"/>
        <v>1</v>
      </c>
      <c r="V39" s="25">
        <f t="shared" si="9"/>
        <v>1</v>
      </c>
      <c r="W39" s="25">
        <f t="shared" si="9"/>
        <v>1</v>
      </c>
    </row>
    <row r="40" spans="1:23" ht="15.75" customHeight="1" x14ac:dyDescent="0.2">
      <c r="A40" s="3" t="s">
        <v>12</v>
      </c>
      <c r="B40" s="32" t="s">
        <v>36</v>
      </c>
      <c r="C40" s="32" t="s">
        <v>50</v>
      </c>
      <c r="D40" s="61">
        <v>31.666666666666664</v>
      </c>
      <c r="F40" s="25">
        <v>1</v>
      </c>
      <c r="G40" s="25">
        <v>1</v>
      </c>
      <c r="H40" s="25">
        <v>1</v>
      </c>
      <c r="I40" s="25">
        <v>1</v>
      </c>
      <c r="J40" s="25">
        <v>1</v>
      </c>
      <c r="K40" s="25">
        <v>1</v>
      </c>
      <c r="L40" s="25">
        <v>1</v>
      </c>
      <c r="M40" s="25">
        <v>1</v>
      </c>
      <c r="N40" s="25">
        <v>1</v>
      </c>
      <c r="O40" s="25">
        <v>1</v>
      </c>
      <c r="P40" s="25">
        <v>1</v>
      </c>
      <c r="Q40" s="25">
        <v>1</v>
      </c>
      <c r="R40" s="25">
        <f t="shared" si="9"/>
        <v>1</v>
      </c>
      <c r="S40" s="25">
        <f t="shared" si="9"/>
        <v>1</v>
      </c>
      <c r="T40" s="25">
        <f t="shared" si="9"/>
        <v>1</v>
      </c>
      <c r="U40" s="25">
        <f t="shared" si="9"/>
        <v>1</v>
      </c>
      <c r="V40" s="25">
        <f t="shared" si="9"/>
        <v>1</v>
      </c>
      <c r="W40" s="25">
        <f t="shared" si="9"/>
        <v>1</v>
      </c>
    </row>
    <row r="41" spans="1:23" ht="15.75" customHeight="1" x14ac:dyDescent="0.15">
      <c r="A41" s="3" t="s">
        <v>12</v>
      </c>
      <c r="B41" s="49" t="s">
        <v>50</v>
      </c>
      <c r="C41" s="49" t="s">
        <v>50</v>
      </c>
      <c r="D41" s="63">
        <v>0</v>
      </c>
      <c r="F41" s="25">
        <v>1</v>
      </c>
      <c r="G41" s="25">
        <v>1</v>
      </c>
      <c r="H41" s="25">
        <v>1</v>
      </c>
      <c r="I41" s="25">
        <v>1</v>
      </c>
      <c r="J41" s="25">
        <v>1</v>
      </c>
      <c r="K41" s="25">
        <v>1</v>
      </c>
      <c r="L41" s="25">
        <v>1</v>
      </c>
      <c r="M41" s="25">
        <v>1</v>
      </c>
      <c r="N41" s="25">
        <v>1</v>
      </c>
      <c r="O41" s="25">
        <v>1</v>
      </c>
      <c r="P41" s="25">
        <v>1</v>
      </c>
      <c r="Q41" s="25">
        <v>1</v>
      </c>
      <c r="R41" s="25">
        <v>1</v>
      </c>
      <c r="S41" s="25">
        <v>1</v>
      </c>
      <c r="T41" s="25">
        <v>1</v>
      </c>
      <c r="U41" s="25">
        <v>1</v>
      </c>
      <c r="V41" s="25">
        <v>1</v>
      </c>
      <c r="W41" s="25">
        <v>1</v>
      </c>
    </row>
    <row r="42" spans="1:23" ht="15.75" customHeight="1" x14ac:dyDescent="0.15">
      <c r="A42" s="3" t="s">
        <v>12</v>
      </c>
      <c r="B42" s="49" t="s">
        <v>34</v>
      </c>
      <c r="C42" s="49" t="s">
        <v>34</v>
      </c>
      <c r="D42" s="63">
        <v>0</v>
      </c>
      <c r="F42" s="25">
        <v>1</v>
      </c>
      <c r="G42" s="25">
        <v>1</v>
      </c>
      <c r="H42" s="25">
        <v>1</v>
      </c>
      <c r="I42" s="25">
        <v>1</v>
      </c>
      <c r="J42" s="25">
        <v>1</v>
      </c>
      <c r="K42" s="25">
        <v>1</v>
      </c>
      <c r="L42" s="25">
        <v>1</v>
      </c>
      <c r="M42" s="25">
        <v>1</v>
      </c>
      <c r="N42" s="25">
        <v>1</v>
      </c>
      <c r="O42" s="25">
        <v>1</v>
      </c>
      <c r="P42" s="25">
        <v>1</v>
      </c>
      <c r="Q42" s="25">
        <v>1</v>
      </c>
      <c r="R42" s="25">
        <v>1</v>
      </c>
      <c r="S42" s="25">
        <v>1</v>
      </c>
      <c r="T42" s="25">
        <v>1</v>
      </c>
      <c r="U42" s="25">
        <v>1</v>
      </c>
      <c r="V42" s="25">
        <v>1</v>
      </c>
      <c r="W42" s="25">
        <v>1</v>
      </c>
    </row>
    <row r="43" spans="1:23" ht="15.75" customHeight="1" x14ac:dyDescent="0.15">
      <c r="A43" s="3" t="s">
        <v>12</v>
      </c>
      <c r="B43" s="49" t="s">
        <v>35</v>
      </c>
      <c r="C43" s="49" t="s">
        <v>35</v>
      </c>
      <c r="D43" s="63">
        <v>0</v>
      </c>
      <c r="F43" s="25">
        <v>1</v>
      </c>
      <c r="G43" s="25">
        <v>1</v>
      </c>
      <c r="H43" s="25">
        <v>1</v>
      </c>
      <c r="I43" s="25">
        <v>1</v>
      </c>
      <c r="J43" s="25">
        <v>1</v>
      </c>
      <c r="K43" s="25">
        <v>1</v>
      </c>
      <c r="L43" s="25">
        <v>1</v>
      </c>
      <c r="M43" s="25">
        <v>1</v>
      </c>
      <c r="N43" s="25">
        <v>1</v>
      </c>
      <c r="O43" s="25">
        <v>1</v>
      </c>
      <c r="P43" s="25">
        <v>1</v>
      </c>
      <c r="Q43" s="25">
        <v>1</v>
      </c>
      <c r="R43" s="25">
        <v>1</v>
      </c>
      <c r="S43" s="25">
        <v>1</v>
      </c>
      <c r="T43" s="25">
        <v>1</v>
      </c>
      <c r="U43" s="25">
        <v>1</v>
      </c>
      <c r="V43" s="25">
        <v>1</v>
      </c>
      <c r="W43" s="25">
        <v>1</v>
      </c>
    </row>
    <row r="44" spans="1:23" ht="15.75" customHeight="1" x14ac:dyDescent="0.2">
      <c r="A44" s="3" t="s">
        <v>12</v>
      </c>
      <c r="B44" s="46" t="s">
        <v>56</v>
      </c>
      <c r="C44" s="46" t="s">
        <v>49</v>
      </c>
      <c r="D44" s="62">
        <v>35</v>
      </c>
      <c r="F44" s="25">
        <v>1</v>
      </c>
      <c r="G44" s="25">
        <v>1</v>
      </c>
      <c r="H44" s="25">
        <v>1</v>
      </c>
      <c r="I44" s="25">
        <v>1</v>
      </c>
      <c r="J44" s="25">
        <v>1</v>
      </c>
      <c r="K44" s="25">
        <v>1</v>
      </c>
      <c r="L44" s="25">
        <v>1</v>
      </c>
      <c r="M44" s="25">
        <v>1</v>
      </c>
      <c r="N44" s="25">
        <v>1</v>
      </c>
      <c r="O44" s="25">
        <v>1</v>
      </c>
      <c r="P44" s="25">
        <v>1</v>
      </c>
      <c r="Q44" s="25">
        <v>1</v>
      </c>
      <c r="R44" s="25">
        <f t="shared" ref="R44:W45" si="10">F44</f>
        <v>1</v>
      </c>
      <c r="S44" s="25">
        <f t="shared" si="10"/>
        <v>1</v>
      </c>
      <c r="T44" s="25">
        <f t="shared" si="10"/>
        <v>1</v>
      </c>
      <c r="U44" s="25">
        <f t="shared" si="10"/>
        <v>1</v>
      </c>
      <c r="V44" s="25">
        <f t="shared" si="10"/>
        <v>1</v>
      </c>
      <c r="W44" s="25">
        <f t="shared" si="10"/>
        <v>1</v>
      </c>
    </row>
    <row r="45" spans="1:23" ht="15.75" customHeight="1" x14ac:dyDescent="0.2">
      <c r="A45" s="3" t="s">
        <v>12</v>
      </c>
      <c r="B45" s="46" t="s">
        <v>36</v>
      </c>
      <c r="C45" s="46" t="s">
        <v>49</v>
      </c>
      <c r="D45" s="62">
        <v>33.333333333333336</v>
      </c>
      <c r="F45" s="25">
        <v>1</v>
      </c>
      <c r="G45" s="25">
        <v>1</v>
      </c>
      <c r="H45" s="25">
        <v>1</v>
      </c>
      <c r="I45" s="25">
        <v>1</v>
      </c>
      <c r="J45" s="25">
        <v>1</v>
      </c>
      <c r="K45" s="25">
        <v>1</v>
      </c>
      <c r="L45" s="25">
        <v>1</v>
      </c>
      <c r="M45" s="25">
        <v>1</v>
      </c>
      <c r="N45" s="25">
        <v>1</v>
      </c>
      <c r="O45" s="25">
        <v>1</v>
      </c>
      <c r="P45" s="25">
        <v>1</v>
      </c>
      <c r="Q45" s="25">
        <v>1</v>
      </c>
      <c r="R45" s="25">
        <f t="shared" si="10"/>
        <v>1</v>
      </c>
      <c r="S45" s="25">
        <f t="shared" si="10"/>
        <v>1</v>
      </c>
      <c r="T45" s="25">
        <f t="shared" si="10"/>
        <v>1</v>
      </c>
      <c r="U45" s="25">
        <f t="shared" si="10"/>
        <v>1</v>
      </c>
      <c r="V45" s="25">
        <f t="shared" si="10"/>
        <v>1</v>
      </c>
      <c r="W45" s="25">
        <f t="shared" si="10"/>
        <v>1</v>
      </c>
    </row>
    <row r="46" spans="1:23" ht="15.75" customHeight="1" x14ac:dyDescent="0.15">
      <c r="A46" s="3" t="s">
        <v>12</v>
      </c>
      <c r="B46" s="50" t="s">
        <v>49</v>
      </c>
      <c r="C46" s="50" t="s">
        <v>49</v>
      </c>
      <c r="D46" s="64">
        <v>0</v>
      </c>
      <c r="F46" s="25">
        <v>1</v>
      </c>
      <c r="G46" s="25">
        <v>1</v>
      </c>
      <c r="H46" s="25">
        <v>1</v>
      </c>
      <c r="I46" s="25">
        <v>1</v>
      </c>
      <c r="J46" s="25">
        <v>1</v>
      </c>
      <c r="K46" s="25">
        <v>1</v>
      </c>
      <c r="L46" s="25">
        <v>1</v>
      </c>
      <c r="M46" s="25">
        <v>1</v>
      </c>
      <c r="N46" s="25">
        <v>1</v>
      </c>
      <c r="O46" s="25">
        <v>1</v>
      </c>
      <c r="P46" s="25">
        <v>1</v>
      </c>
      <c r="Q46" s="25">
        <v>1</v>
      </c>
      <c r="R46" s="25">
        <v>1</v>
      </c>
      <c r="S46" s="25">
        <v>1</v>
      </c>
      <c r="T46" s="25">
        <v>1</v>
      </c>
      <c r="U46" s="25">
        <v>1</v>
      </c>
      <c r="V46" s="25">
        <v>1</v>
      </c>
      <c r="W46" s="25">
        <v>1</v>
      </c>
    </row>
    <row r="47" spans="1:23" ht="15.75" customHeight="1" x14ac:dyDescent="0.2">
      <c r="A47" s="3" t="s">
        <v>12</v>
      </c>
      <c r="B47" s="46" t="s">
        <v>51</v>
      </c>
      <c r="C47" s="46" t="s">
        <v>32</v>
      </c>
      <c r="D47" s="62">
        <v>33.333333333333336</v>
      </c>
      <c r="F47" s="25">
        <v>1</v>
      </c>
      <c r="G47" s="25">
        <v>1</v>
      </c>
      <c r="H47" s="25">
        <v>1</v>
      </c>
      <c r="I47" s="25">
        <v>1</v>
      </c>
      <c r="J47" s="25">
        <v>1</v>
      </c>
      <c r="K47" s="25">
        <v>1</v>
      </c>
      <c r="L47" s="25">
        <v>1</v>
      </c>
      <c r="M47" s="25">
        <v>1</v>
      </c>
      <c r="N47" s="25">
        <v>1</v>
      </c>
      <c r="O47" s="25">
        <v>1</v>
      </c>
      <c r="P47" s="25">
        <v>1</v>
      </c>
      <c r="Q47" s="25">
        <v>1</v>
      </c>
      <c r="R47" s="25">
        <f t="shared" ref="R47:W48" si="11">F47</f>
        <v>1</v>
      </c>
      <c r="S47" s="25">
        <f t="shared" si="11"/>
        <v>1</v>
      </c>
      <c r="T47" s="25">
        <f t="shared" si="11"/>
        <v>1</v>
      </c>
      <c r="U47" s="25">
        <f t="shared" si="11"/>
        <v>1</v>
      </c>
      <c r="V47" s="25">
        <f t="shared" si="11"/>
        <v>1</v>
      </c>
      <c r="W47" s="25">
        <f t="shared" si="11"/>
        <v>1</v>
      </c>
    </row>
    <row r="48" spans="1:23" ht="15.75" customHeight="1" x14ac:dyDescent="0.2">
      <c r="A48" s="3" t="s">
        <v>12</v>
      </c>
      <c r="B48" s="46" t="s">
        <v>36</v>
      </c>
      <c r="C48" s="46" t="s">
        <v>32</v>
      </c>
      <c r="D48" s="62">
        <v>31.666666666666664</v>
      </c>
      <c r="F48" s="25">
        <v>1</v>
      </c>
      <c r="G48" s="25">
        <v>1</v>
      </c>
      <c r="H48" s="25">
        <v>1</v>
      </c>
      <c r="I48" s="25">
        <v>1</v>
      </c>
      <c r="J48" s="25">
        <v>1</v>
      </c>
      <c r="K48" s="25">
        <v>1</v>
      </c>
      <c r="L48" s="25">
        <v>1</v>
      </c>
      <c r="M48" s="25">
        <v>1</v>
      </c>
      <c r="N48" s="25">
        <v>1</v>
      </c>
      <c r="O48" s="25">
        <v>1</v>
      </c>
      <c r="P48" s="25">
        <v>1</v>
      </c>
      <c r="Q48" s="25">
        <v>1</v>
      </c>
      <c r="R48" s="25">
        <f t="shared" si="11"/>
        <v>1</v>
      </c>
      <c r="S48" s="25">
        <f t="shared" si="11"/>
        <v>1</v>
      </c>
      <c r="T48" s="25">
        <f t="shared" si="11"/>
        <v>1</v>
      </c>
      <c r="U48" s="25">
        <f t="shared" si="11"/>
        <v>1</v>
      </c>
      <c r="V48" s="25">
        <f t="shared" si="11"/>
        <v>1</v>
      </c>
      <c r="W48" s="25">
        <f t="shared" si="11"/>
        <v>1</v>
      </c>
    </row>
    <row r="49" spans="1:23" ht="15.75" customHeight="1" x14ac:dyDescent="0.15">
      <c r="A49" s="3" t="s">
        <v>12</v>
      </c>
      <c r="B49" s="3" t="s">
        <v>32</v>
      </c>
      <c r="C49" s="3" t="s">
        <v>32</v>
      </c>
      <c r="D49" s="60">
        <v>0</v>
      </c>
      <c r="F49" s="25">
        <v>1</v>
      </c>
      <c r="G49" s="25">
        <v>1</v>
      </c>
      <c r="H49" s="25">
        <v>1</v>
      </c>
      <c r="I49" s="25">
        <v>1</v>
      </c>
      <c r="J49" s="25">
        <v>1</v>
      </c>
      <c r="K49" s="25">
        <v>1</v>
      </c>
      <c r="L49" s="25">
        <v>1</v>
      </c>
      <c r="M49" s="25">
        <v>1</v>
      </c>
      <c r="N49" s="25">
        <v>1</v>
      </c>
      <c r="O49" s="25">
        <v>1</v>
      </c>
      <c r="P49" s="25">
        <v>1</v>
      </c>
      <c r="Q49" s="25">
        <v>1</v>
      </c>
      <c r="R49" s="25">
        <v>1</v>
      </c>
      <c r="S49" s="25">
        <v>1</v>
      </c>
      <c r="T49" s="25">
        <v>1</v>
      </c>
      <c r="U49" s="25">
        <v>1</v>
      </c>
      <c r="V49" s="25">
        <v>1</v>
      </c>
      <c r="W49" s="25">
        <v>1</v>
      </c>
    </row>
    <row r="50" spans="1:23" ht="15.75" customHeight="1" x14ac:dyDescent="0.2">
      <c r="A50" s="3" t="s">
        <v>12</v>
      </c>
      <c r="B50" s="46" t="s">
        <v>56</v>
      </c>
      <c r="C50" s="46" t="s">
        <v>52</v>
      </c>
      <c r="D50" s="62">
        <v>30</v>
      </c>
      <c r="F50" s="25">
        <v>1</v>
      </c>
      <c r="G50" s="25">
        <v>1</v>
      </c>
      <c r="H50" s="25">
        <v>1</v>
      </c>
      <c r="I50" s="25">
        <v>1</v>
      </c>
      <c r="J50" s="25">
        <v>1</v>
      </c>
      <c r="K50" s="25">
        <v>1</v>
      </c>
      <c r="L50" s="25">
        <v>1</v>
      </c>
      <c r="M50" s="25">
        <v>1</v>
      </c>
      <c r="N50" s="25">
        <v>1</v>
      </c>
      <c r="O50" s="25">
        <v>1</v>
      </c>
      <c r="P50" s="25">
        <v>1</v>
      </c>
      <c r="Q50" s="25">
        <v>1</v>
      </c>
      <c r="R50" s="25">
        <f t="shared" ref="R50:W51" si="12">F50</f>
        <v>1</v>
      </c>
      <c r="S50" s="25">
        <f t="shared" si="12"/>
        <v>1</v>
      </c>
      <c r="T50" s="25">
        <f t="shared" si="12"/>
        <v>1</v>
      </c>
      <c r="U50" s="25">
        <f t="shared" si="12"/>
        <v>1</v>
      </c>
      <c r="V50" s="25">
        <f t="shared" si="12"/>
        <v>1</v>
      </c>
      <c r="W50" s="25">
        <f t="shared" si="12"/>
        <v>1</v>
      </c>
    </row>
    <row r="51" spans="1:23" ht="15.75" customHeight="1" x14ac:dyDescent="0.2">
      <c r="A51" s="3" t="s">
        <v>12</v>
      </c>
      <c r="B51" s="46" t="s">
        <v>36</v>
      </c>
      <c r="C51" s="46" t="s">
        <v>52</v>
      </c>
      <c r="D51" s="62">
        <v>35</v>
      </c>
      <c r="F51" s="25">
        <v>1</v>
      </c>
      <c r="G51" s="25">
        <v>1</v>
      </c>
      <c r="H51" s="25">
        <v>1</v>
      </c>
      <c r="I51" s="25">
        <v>1</v>
      </c>
      <c r="J51" s="25">
        <v>1</v>
      </c>
      <c r="K51" s="25">
        <v>1</v>
      </c>
      <c r="L51" s="25">
        <v>1.05</v>
      </c>
      <c r="M51" s="25">
        <v>1.05</v>
      </c>
      <c r="N51" s="25">
        <v>1.05</v>
      </c>
      <c r="O51" s="25">
        <v>1</v>
      </c>
      <c r="P51" s="25">
        <v>1</v>
      </c>
      <c r="Q51" s="25">
        <v>1</v>
      </c>
      <c r="R51" s="25">
        <f t="shared" si="12"/>
        <v>1</v>
      </c>
      <c r="S51" s="25">
        <f t="shared" si="12"/>
        <v>1</v>
      </c>
      <c r="T51" s="25">
        <f t="shared" si="12"/>
        <v>1</v>
      </c>
      <c r="U51" s="25">
        <f t="shared" si="12"/>
        <v>1</v>
      </c>
      <c r="V51" s="25">
        <f t="shared" si="12"/>
        <v>1</v>
      </c>
      <c r="W51" s="25">
        <f t="shared" si="12"/>
        <v>1</v>
      </c>
    </row>
    <row r="52" spans="1:23" ht="15.75" customHeight="1" x14ac:dyDescent="0.15">
      <c r="A52" s="3" t="s">
        <v>12</v>
      </c>
      <c r="B52" s="3" t="s">
        <v>52</v>
      </c>
      <c r="C52" s="3" t="s">
        <v>52</v>
      </c>
      <c r="D52" s="60">
        <v>0</v>
      </c>
      <c r="F52" s="25">
        <v>1</v>
      </c>
      <c r="G52" s="25">
        <v>1</v>
      </c>
      <c r="H52" s="25">
        <v>1</v>
      </c>
      <c r="I52" s="25">
        <v>1</v>
      </c>
      <c r="J52" s="25">
        <v>1</v>
      </c>
      <c r="K52" s="25">
        <v>1</v>
      </c>
      <c r="L52" s="25">
        <v>1</v>
      </c>
      <c r="M52" s="25">
        <v>1</v>
      </c>
      <c r="N52" s="25">
        <v>1</v>
      </c>
      <c r="O52" s="25">
        <v>1</v>
      </c>
      <c r="P52" s="25">
        <v>1</v>
      </c>
      <c r="Q52" s="25">
        <v>1</v>
      </c>
      <c r="R52" s="25">
        <v>1</v>
      </c>
      <c r="S52" s="25">
        <v>1</v>
      </c>
      <c r="T52" s="25">
        <v>1</v>
      </c>
      <c r="U52" s="25">
        <v>1</v>
      </c>
      <c r="V52" s="25">
        <v>1</v>
      </c>
      <c r="W52" s="25">
        <v>1</v>
      </c>
    </row>
    <row r="53" spans="1:23" ht="15.75" customHeight="1" x14ac:dyDescent="0.15">
      <c r="A53" s="3" t="s">
        <v>12</v>
      </c>
      <c r="B53" s="50" t="s">
        <v>56</v>
      </c>
      <c r="C53" s="50" t="s">
        <v>56</v>
      </c>
      <c r="D53" s="64">
        <v>0</v>
      </c>
      <c r="F53" s="25">
        <v>1</v>
      </c>
      <c r="G53" s="25">
        <v>1</v>
      </c>
      <c r="H53" s="25">
        <v>1</v>
      </c>
      <c r="I53" s="25">
        <v>1</v>
      </c>
      <c r="J53" s="25">
        <v>1</v>
      </c>
      <c r="K53" s="25">
        <v>1</v>
      </c>
      <c r="L53" s="25">
        <v>1</v>
      </c>
      <c r="M53" s="25">
        <v>1</v>
      </c>
      <c r="N53" s="25">
        <v>1</v>
      </c>
      <c r="O53" s="25">
        <v>1</v>
      </c>
      <c r="P53" s="25">
        <v>1</v>
      </c>
      <c r="Q53" s="25">
        <v>1</v>
      </c>
      <c r="R53" s="25">
        <v>1</v>
      </c>
      <c r="S53" s="25">
        <v>1</v>
      </c>
      <c r="T53" s="25">
        <v>1</v>
      </c>
      <c r="U53" s="25">
        <v>1</v>
      </c>
      <c r="V53" s="25">
        <v>1</v>
      </c>
      <c r="W53" s="25">
        <v>1</v>
      </c>
    </row>
    <row r="54" spans="1:23" ht="15.75" customHeight="1" x14ac:dyDescent="0.2">
      <c r="A54" s="3" t="s">
        <v>12</v>
      </c>
      <c r="B54" s="46" t="s">
        <v>51</v>
      </c>
      <c r="C54" s="46" t="s">
        <v>37</v>
      </c>
      <c r="D54" s="62">
        <v>33.333333333333336</v>
      </c>
      <c r="F54" s="25">
        <v>1</v>
      </c>
      <c r="G54" s="25">
        <v>0.95</v>
      </c>
      <c r="H54" s="25">
        <v>0.95</v>
      </c>
      <c r="I54" s="25">
        <v>0.95</v>
      </c>
      <c r="J54" s="25">
        <v>1</v>
      </c>
      <c r="K54" s="25">
        <v>1</v>
      </c>
      <c r="L54" s="25">
        <v>1</v>
      </c>
      <c r="M54" s="25">
        <v>1</v>
      </c>
      <c r="N54" s="25">
        <v>1</v>
      </c>
      <c r="O54" s="25">
        <v>1</v>
      </c>
      <c r="P54" s="25">
        <v>1</v>
      </c>
      <c r="Q54" s="25">
        <v>1</v>
      </c>
      <c r="R54" s="25">
        <f t="shared" ref="R54:W55" si="13">F54</f>
        <v>1</v>
      </c>
      <c r="S54" s="25">
        <f t="shared" si="13"/>
        <v>0.95</v>
      </c>
      <c r="T54" s="25">
        <f t="shared" si="13"/>
        <v>0.95</v>
      </c>
      <c r="U54" s="25">
        <f t="shared" si="13"/>
        <v>0.95</v>
      </c>
      <c r="V54" s="25">
        <f t="shared" si="13"/>
        <v>1</v>
      </c>
      <c r="W54" s="25">
        <f t="shared" si="13"/>
        <v>1</v>
      </c>
    </row>
    <row r="55" spans="1:23" ht="15.75" customHeight="1" x14ac:dyDescent="0.2">
      <c r="A55" s="3" t="s">
        <v>12</v>
      </c>
      <c r="B55" s="46" t="s">
        <v>36</v>
      </c>
      <c r="C55" s="46" t="s">
        <v>37</v>
      </c>
      <c r="D55" s="62">
        <v>31.666666666666664</v>
      </c>
      <c r="F55" s="25">
        <v>1</v>
      </c>
      <c r="G55" s="25">
        <v>1</v>
      </c>
      <c r="H55" s="25">
        <v>1</v>
      </c>
      <c r="I55" s="25">
        <v>1</v>
      </c>
      <c r="J55" s="25">
        <v>1</v>
      </c>
      <c r="K55" s="25">
        <v>1</v>
      </c>
      <c r="L55" s="25">
        <v>1</v>
      </c>
      <c r="M55" s="25">
        <v>1</v>
      </c>
      <c r="N55" s="25">
        <v>1</v>
      </c>
      <c r="O55" s="25">
        <v>1</v>
      </c>
      <c r="P55" s="25">
        <v>1</v>
      </c>
      <c r="Q55" s="25">
        <v>1</v>
      </c>
      <c r="R55" s="25">
        <f t="shared" si="13"/>
        <v>1</v>
      </c>
      <c r="S55" s="25">
        <f t="shared" si="13"/>
        <v>1</v>
      </c>
      <c r="T55" s="25">
        <f t="shared" si="13"/>
        <v>1</v>
      </c>
      <c r="U55" s="25">
        <f t="shared" si="13"/>
        <v>1</v>
      </c>
      <c r="V55" s="25">
        <f t="shared" si="13"/>
        <v>1</v>
      </c>
      <c r="W55" s="25">
        <f t="shared" si="13"/>
        <v>1</v>
      </c>
    </row>
    <row r="56" spans="1:23" ht="15.75" customHeight="1" x14ac:dyDescent="0.15">
      <c r="A56" s="3" t="s">
        <v>12</v>
      </c>
      <c r="B56" s="3" t="s">
        <v>37</v>
      </c>
      <c r="C56" s="3" t="s">
        <v>37</v>
      </c>
      <c r="D56" s="60">
        <v>0</v>
      </c>
      <c r="F56" s="25">
        <v>1</v>
      </c>
      <c r="G56" s="25">
        <v>1</v>
      </c>
      <c r="H56" s="25">
        <v>1</v>
      </c>
      <c r="I56" s="25">
        <v>1</v>
      </c>
      <c r="J56" s="25">
        <v>1</v>
      </c>
      <c r="K56" s="25">
        <v>1</v>
      </c>
      <c r="L56" s="25">
        <v>1</v>
      </c>
      <c r="M56" s="25">
        <v>1</v>
      </c>
      <c r="N56" s="25">
        <v>1</v>
      </c>
      <c r="O56" s="25">
        <v>1</v>
      </c>
      <c r="P56" s="25">
        <v>1</v>
      </c>
      <c r="Q56" s="25">
        <v>1</v>
      </c>
      <c r="R56" s="25">
        <v>1</v>
      </c>
      <c r="S56" s="25">
        <v>1</v>
      </c>
      <c r="T56" s="25">
        <v>1</v>
      </c>
      <c r="U56" s="25">
        <v>1</v>
      </c>
      <c r="V56" s="25">
        <v>1</v>
      </c>
      <c r="W56" s="25">
        <v>1</v>
      </c>
    </row>
    <row r="57" spans="1:23" ht="15.75" customHeight="1" x14ac:dyDescent="0.15">
      <c r="A57" s="3" t="s">
        <v>12</v>
      </c>
      <c r="B57" s="3" t="s">
        <v>36</v>
      </c>
      <c r="C57" s="3" t="s">
        <v>36</v>
      </c>
      <c r="D57" s="60">
        <v>0</v>
      </c>
      <c r="F57" s="25">
        <v>1</v>
      </c>
      <c r="G57" s="25">
        <v>1</v>
      </c>
      <c r="H57" s="25">
        <v>1</v>
      </c>
      <c r="I57" s="25">
        <v>1</v>
      </c>
      <c r="J57" s="25">
        <v>1</v>
      </c>
      <c r="K57" s="25">
        <v>1</v>
      </c>
      <c r="L57" s="25">
        <v>1</v>
      </c>
      <c r="M57" s="25">
        <v>1</v>
      </c>
      <c r="N57" s="25">
        <v>1</v>
      </c>
      <c r="O57" s="25">
        <v>1</v>
      </c>
      <c r="P57" s="25">
        <v>1</v>
      </c>
      <c r="Q57" s="25">
        <v>1</v>
      </c>
      <c r="R57" s="25">
        <v>1</v>
      </c>
      <c r="S57" s="25">
        <v>1</v>
      </c>
      <c r="T57" s="25">
        <v>1</v>
      </c>
      <c r="U57" s="25">
        <v>1</v>
      </c>
      <c r="V57" s="25">
        <v>1</v>
      </c>
      <c r="W57" s="25">
        <v>1</v>
      </c>
    </row>
    <row r="59" spans="1:23" ht="15.75" customHeight="1" x14ac:dyDescent="0.15">
      <c r="D59" s="60"/>
    </row>
    <row r="60" spans="1:23" ht="15.75" customHeight="1" x14ac:dyDescent="0.15">
      <c r="D60" s="60"/>
    </row>
    <row r="61" spans="1:23" ht="15.75" customHeight="1" x14ac:dyDescent="0.15">
      <c r="D61" s="60"/>
    </row>
    <row r="62" spans="1:23" ht="15.75" customHeight="1" x14ac:dyDescent="0.15">
      <c r="D62" s="60"/>
    </row>
    <row r="63" spans="1:23" ht="15.75" customHeight="1" x14ac:dyDescent="0.15">
      <c r="D63" s="60"/>
    </row>
    <row r="64" spans="1:23" ht="15.75" customHeight="1" x14ac:dyDescent="0.15">
      <c r="D64" s="60"/>
    </row>
    <row r="65" spans="4:4" ht="15.75" customHeight="1" x14ac:dyDescent="0.15">
      <c r="D65" s="60"/>
    </row>
    <row r="66" spans="4:4" ht="15.75" customHeight="1" x14ac:dyDescent="0.15">
      <c r="D66" s="60"/>
    </row>
    <row r="67" spans="4:4" ht="15.75" customHeight="1" x14ac:dyDescent="0.15">
      <c r="D67" s="60"/>
    </row>
    <row r="68" spans="4:4" ht="15.75" customHeight="1" x14ac:dyDescent="0.15">
      <c r="D68" s="60"/>
    </row>
    <row r="69" spans="4:4" ht="15.75" customHeight="1" x14ac:dyDescent="0.15">
      <c r="D69" s="60"/>
    </row>
    <row r="70" spans="4:4" ht="15.75" customHeight="1" x14ac:dyDescent="0.15">
      <c r="D70" s="60"/>
    </row>
    <row r="71" spans="4:4" ht="15.75" customHeight="1" x14ac:dyDescent="0.15">
      <c r="D71" s="60"/>
    </row>
    <row r="72" spans="4:4" ht="15.75" customHeight="1" x14ac:dyDescent="0.15">
      <c r="D72" s="60"/>
    </row>
    <row r="73" spans="4:4" ht="15.75" customHeight="1" x14ac:dyDescent="0.15">
      <c r="D73" s="60"/>
    </row>
    <row r="74" spans="4:4" ht="15.75" customHeight="1" x14ac:dyDescent="0.15">
      <c r="D74" s="60"/>
    </row>
    <row r="75" spans="4:4" ht="15.75" customHeight="1" x14ac:dyDescent="0.15">
      <c r="D75" s="60"/>
    </row>
    <row r="76" spans="4:4" ht="15.75" customHeight="1" x14ac:dyDescent="0.15">
      <c r="D76" s="60"/>
    </row>
    <row r="77" spans="4:4" ht="15.75" customHeight="1" x14ac:dyDescent="0.15">
      <c r="D77" s="60"/>
    </row>
    <row r="78" spans="4:4" ht="15.75" customHeight="1" x14ac:dyDescent="0.15">
      <c r="D78" s="60"/>
    </row>
    <row r="79" spans="4:4" ht="15.75" customHeight="1" x14ac:dyDescent="0.15">
      <c r="D79" s="60"/>
    </row>
    <row r="80" spans="4:4" ht="15.75" customHeight="1" x14ac:dyDescent="0.15">
      <c r="D80" s="60"/>
    </row>
    <row r="81" spans="4:4" ht="15.75" customHeight="1" x14ac:dyDescent="0.15">
      <c r="D81" s="60"/>
    </row>
    <row r="82" spans="4:4" ht="15.75" customHeight="1" x14ac:dyDescent="0.15">
      <c r="D82" s="60"/>
    </row>
    <row r="83" spans="4:4" ht="15.75" customHeight="1" x14ac:dyDescent="0.15">
      <c r="D83" s="60"/>
    </row>
    <row r="84" spans="4:4" ht="15.75" customHeight="1" x14ac:dyDescent="0.15">
      <c r="D84" s="60"/>
    </row>
    <row r="85" spans="4:4" ht="15.75" customHeight="1" x14ac:dyDescent="0.15">
      <c r="D85" s="60"/>
    </row>
    <row r="86" spans="4:4" ht="15.75" customHeight="1" x14ac:dyDescent="0.15">
      <c r="D86" s="60"/>
    </row>
    <row r="87" spans="4:4" ht="15.75" customHeight="1" x14ac:dyDescent="0.15">
      <c r="D87" s="60"/>
    </row>
    <row r="88" spans="4:4" ht="15.75" customHeight="1" x14ac:dyDescent="0.15">
      <c r="D88" s="60"/>
    </row>
    <row r="89" spans="4:4" ht="15.75" customHeight="1" x14ac:dyDescent="0.15">
      <c r="D89" s="60"/>
    </row>
    <row r="90" spans="4:4" ht="15.75" customHeight="1" x14ac:dyDescent="0.15">
      <c r="D90" s="60"/>
    </row>
    <row r="91" spans="4:4" ht="15.75" customHeight="1" x14ac:dyDescent="0.15">
      <c r="D91" s="60"/>
    </row>
    <row r="92" spans="4:4" ht="15.75" customHeight="1" x14ac:dyDescent="0.15">
      <c r="D92" s="60"/>
    </row>
    <row r="93" spans="4:4" ht="15.75" customHeight="1" x14ac:dyDescent="0.15">
      <c r="D93" s="60"/>
    </row>
    <row r="94" spans="4:4" ht="15.75" customHeight="1" x14ac:dyDescent="0.15">
      <c r="D94" s="60"/>
    </row>
    <row r="95" spans="4:4" ht="15.75" customHeight="1" x14ac:dyDescent="0.15">
      <c r="D95" s="60"/>
    </row>
    <row r="96" spans="4:4" ht="15.75" customHeight="1" x14ac:dyDescent="0.15">
      <c r="D96" s="60"/>
    </row>
    <row r="97" spans="4:4" ht="15.75" customHeight="1" x14ac:dyDescent="0.15">
      <c r="D97" s="60"/>
    </row>
    <row r="98" spans="4:4" ht="15.75" customHeight="1" x14ac:dyDescent="0.15">
      <c r="D98" s="60"/>
    </row>
    <row r="99" spans="4:4" ht="15.75" customHeight="1" x14ac:dyDescent="0.15">
      <c r="D99" s="60"/>
    </row>
    <row r="100" spans="4:4" ht="15.75" customHeight="1" x14ac:dyDescent="0.15">
      <c r="D100" s="60"/>
    </row>
    <row r="101" spans="4:4" ht="15.75" customHeight="1" x14ac:dyDescent="0.15">
      <c r="D101" s="60"/>
    </row>
    <row r="102" spans="4:4" ht="15.75" customHeight="1" x14ac:dyDescent="0.15">
      <c r="D102" s="60"/>
    </row>
    <row r="103" spans="4:4" ht="15.75" customHeight="1" x14ac:dyDescent="0.15">
      <c r="D103" s="60"/>
    </row>
    <row r="104" spans="4:4" ht="15.75" customHeight="1" x14ac:dyDescent="0.15">
      <c r="D104" s="60"/>
    </row>
    <row r="105" spans="4:4" ht="15.75" customHeight="1" x14ac:dyDescent="0.15">
      <c r="D105" s="60"/>
    </row>
    <row r="106" spans="4:4" ht="15.75" customHeight="1" x14ac:dyDescent="0.15">
      <c r="D106" s="60"/>
    </row>
    <row r="107" spans="4:4" ht="15.75" customHeight="1" x14ac:dyDescent="0.15">
      <c r="D107" s="60"/>
    </row>
    <row r="108" spans="4:4" ht="15.75" customHeight="1" x14ac:dyDescent="0.15">
      <c r="D108" s="60"/>
    </row>
    <row r="109" spans="4:4" ht="15.75" customHeight="1" x14ac:dyDescent="0.15">
      <c r="D109" s="60"/>
    </row>
    <row r="110" spans="4:4" ht="15.75" customHeight="1" x14ac:dyDescent="0.15">
      <c r="D110" s="60"/>
    </row>
    <row r="111" spans="4:4" ht="15.75" customHeight="1" x14ac:dyDescent="0.15">
      <c r="D111" s="60"/>
    </row>
    <row r="112" spans="4:4" ht="15.75" customHeight="1" x14ac:dyDescent="0.15">
      <c r="D112" s="60"/>
    </row>
    <row r="113" spans="4:4" ht="15.75" customHeight="1" x14ac:dyDescent="0.15">
      <c r="D113" s="60"/>
    </row>
    <row r="114" spans="4:4" ht="15.75" customHeight="1" x14ac:dyDescent="0.15">
      <c r="D114" s="60"/>
    </row>
    <row r="115" spans="4:4" ht="15.75" customHeight="1" x14ac:dyDescent="0.15">
      <c r="D115" s="60"/>
    </row>
    <row r="116" spans="4:4" ht="15.75" customHeight="1" x14ac:dyDescent="0.15">
      <c r="D116" s="60"/>
    </row>
    <row r="117" spans="4:4" ht="15.75" customHeight="1" x14ac:dyDescent="0.15">
      <c r="D117" s="60"/>
    </row>
  </sheetData>
  <sortState xmlns:xlrd2="http://schemas.microsoft.com/office/spreadsheetml/2017/richdata2" ref="A4:X57">
    <sortCondition ref="A4:A57"/>
    <sortCondition ref="C4:C57"/>
  </sortState>
  <conditionalFormatting sqref="F4:X16">
    <cfRule type="cellIs" dxfId="3" priority="3" operator="lessThan">
      <formula>1</formula>
    </cfRule>
    <cfRule type="cellIs" dxfId="2" priority="4" operator="greaterThan">
      <formula>1</formula>
    </cfRule>
  </conditionalFormatting>
  <conditionalFormatting sqref="F31:X43">
    <cfRule type="cellIs" dxfId="1" priority="1" operator="lessThan">
      <formula>1</formula>
    </cfRule>
    <cfRule type="cellIs" dxfId="0" priority="2" operator="greaterThan">
      <formula>1</formula>
    </cfRule>
  </conditionalFormatting>
  <pageMargins left="0.75" right="0.75" top="1" bottom="1" header="0.5" footer="0.5"/>
  <pageSetup orientation="portrait" verticalDpi="0" r:id="rId1"/>
  <headerFooter alignWithMargins="0">
    <oddFooter>&amp;L&amp;F&amp;R&amp;D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 tint="0.59999389629810485"/>
  </sheetPr>
  <dimension ref="A1:H31"/>
  <sheetViews>
    <sheetView workbookViewId="0"/>
  </sheetViews>
  <sheetFormatPr baseColWidth="10" defaultColWidth="8.83203125" defaultRowHeight="13" x14ac:dyDescent="0.15"/>
  <cols>
    <col min="4" max="4" width="10.83203125" customWidth="1"/>
    <col min="7" max="7" width="9.1640625" style="65"/>
    <col min="10" max="10" width="11.5" customWidth="1"/>
  </cols>
  <sheetData>
    <row r="1" spans="1:8" ht="15.75" customHeight="1" x14ac:dyDescent="0.15">
      <c r="B1" s="12" t="s">
        <v>79</v>
      </c>
    </row>
    <row r="2" spans="1:8" ht="15.75" customHeight="1" x14ac:dyDescent="0.15">
      <c r="D2" s="66"/>
      <c r="E2" s="66"/>
      <c r="F2" s="66"/>
    </row>
    <row r="3" spans="1:8" ht="15.75" customHeight="1" x14ac:dyDescent="0.15">
      <c r="A3" s="80" t="s">
        <v>72</v>
      </c>
      <c r="B3" s="81" t="s">
        <v>73</v>
      </c>
      <c r="C3" s="80" t="s">
        <v>78</v>
      </c>
      <c r="D3" s="69"/>
      <c r="E3" s="81" t="s">
        <v>72</v>
      </c>
      <c r="F3" s="81" t="s">
        <v>8</v>
      </c>
      <c r="G3" s="85" t="s">
        <v>78</v>
      </c>
      <c r="H3" s="52"/>
    </row>
    <row r="4" spans="1:8" ht="15.75" customHeight="1" x14ac:dyDescent="0.2">
      <c r="A4" s="82" t="s">
        <v>12</v>
      </c>
      <c r="B4" s="83" t="s">
        <v>9</v>
      </c>
      <c r="C4" s="84">
        <v>0</v>
      </c>
      <c r="D4" s="48"/>
      <c r="E4" s="80" t="s">
        <v>13</v>
      </c>
      <c r="F4" s="82" t="s">
        <v>48</v>
      </c>
      <c r="G4" s="84">
        <v>300</v>
      </c>
    </row>
    <row r="5" spans="1:8" ht="15.75" customHeight="1" x14ac:dyDescent="0.2">
      <c r="A5" s="82" t="s">
        <v>12</v>
      </c>
      <c r="B5" s="83" t="s">
        <v>3</v>
      </c>
      <c r="C5" s="84">
        <v>0</v>
      </c>
      <c r="D5" s="48"/>
      <c r="E5" s="80" t="s">
        <v>13</v>
      </c>
      <c r="F5" s="82" t="s">
        <v>58</v>
      </c>
      <c r="G5" s="84">
        <v>0</v>
      </c>
    </row>
    <row r="6" spans="1:8" ht="15.75" customHeight="1" x14ac:dyDescent="0.15">
      <c r="A6" s="82" t="s">
        <v>13</v>
      </c>
      <c r="B6" s="83" t="s">
        <v>10</v>
      </c>
      <c r="C6" s="84">
        <v>0</v>
      </c>
      <c r="D6" s="68"/>
      <c r="E6" s="80" t="s">
        <v>13</v>
      </c>
      <c r="F6" s="82" t="s">
        <v>51</v>
      </c>
      <c r="G6" s="84">
        <v>0</v>
      </c>
    </row>
    <row r="7" spans="1:8" ht="15.75" customHeight="1" x14ac:dyDescent="0.2">
      <c r="A7" s="82" t="s">
        <v>13</v>
      </c>
      <c r="B7" s="83" t="s">
        <v>4</v>
      </c>
      <c r="C7" s="84">
        <v>0</v>
      </c>
      <c r="D7" s="48"/>
      <c r="E7" s="80" t="s">
        <v>13</v>
      </c>
      <c r="F7" s="82" t="s">
        <v>47</v>
      </c>
      <c r="G7" s="84">
        <v>0</v>
      </c>
    </row>
    <row r="8" spans="1:8" ht="15.75" customHeight="1" x14ac:dyDescent="0.2">
      <c r="A8" s="82" t="s">
        <v>13</v>
      </c>
      <c r="B8" s="83" t="s">
        <v>15</v>
      </c>
      <c r="C8" s="84">
        <v>0</v>
      </c>
      <c r="D8" s="48"/>
      <c r="E8" s="80" t="s">
        <v>13</v>
      </c>
      <c r="F8" s="82" t="s">
        <v>33</v>
      </c>
      <c r="G8" s="84">
        <v>300</v>
      </c>
    </row>
    <row r="9" spans="1:8" ht="15.75" customHeight="1" x14ac:dyDescent="0.2">
      <c r="A9" s="82" t="s">
        <v>12</v>
      </c>
      <c r="B9" s="83" t="s">
        <v>11</v>
      </c>
      <c r="C9" s="84">
        <v>0</v>
      </c>
      <c r="D9" s="48"/>
      <c r="E9" s="80" t="s">
        <v>13</v>
      </c>
      <c r="F9" s="82" t="s">
        <v>50</v>
      </c>
      <c r="G9" s="84">
        <v>250</v>
      </c>
    </row>
    <row r="10" spans="1:8" ht="15.75" customHeight="1" x14ac:dyDescent="0.15">
      <c r="A10" s="82" t="s">
        <v>13</v>
      </c>
      <c r="B10" s="83" t="s">
        <v>5</v>
      </c>
      <c r="C10" s="84">
        <v>0</v>
      </c>
      <c r="D10" s="68"/>
      <c r="E10" s="80" t="s">
        <v>13</v>
      </c>
      <c r="F10" s="82" t="s">
        <v>34</v>
      </c>
      <c r="G10" s="84">
        <v>50</v>
      </c>
    </row>
    <row r="11" spans="1:8" ht="15.75" customHeight="1" x14ac:dyDescent="0.2">
      <c r="A11" s="82" t="s">
        <v>12</v>
      </c>
      <c r="B11" s="83" t="s">
        <v>2</v>
      </c>
      <c r="C11" s="84">
        <v>0</v>
      </c>
      <c r="D11" s="48"/>
      <c r="E11" s="80" t="s">
        <v>13</v>
      </c>
      <c r="F11" s="82" t="s">
        <v>35</v>
      </c>
      <c r="G11" s="84">
        <v>200</v>
      </c>
    </row>
    <row r="12" spans="1:8" ht="15.75" customHeight="1" x14ac:dyDescent="0.2">
      <c r="A12" s="51"/>
      <c r="B12" s="46"/>
      <c r="C12" s="46"/>
      <c r="D12" s="48"/>
      <c r="E12" s="80" t="s">
        <v>13</v>
      </c>
      <c r="F12" s="82" t="s">
        <v>49</v>
      </c>
      <c r="G12" s="84">
        <v>0</v>
      </c>
    </row>
    <row r="13" spans="1:8" ht="15.75" customHeight="1" x14ac:dyDescent="0.2">
      <c r="A13" s="51"/>
      <c r="B13" s="46"/>
      <c r="C13" s="46"/>
      <c r="D13" s="48"/>
      <c r="E13" s="80" t="s">
        <v>13</v>
      </c>
      <c r="F13" s="82" t="s">
        <v>32</v>
      </c>
      <c r="G13" s="84">
        <v>0</v>
      </c>
    </row>
    <row r="14" spans="1:8" ht="15.75" customHeight="1" x14ac:dyDescent="0.2">
      <c r="A14" s="51"/>
      <c r="B14" s="46"/>
      <c r="C14" s="46"/>
      <c r="D14" s="48"/>
      <c r="E14" s="80" t="s">
        <v>13</v>
      </c>
      <c r="F14" s="82" t="s">
        <v>52</v>
      </c>
      <c r="G14" s="84">
        <v>0</v>
      </c>
    </row>
    <row r="15" spans="1:8" ht="15.75" customHeight="1" x14ac:dyDescent="0.2">
      <c r="A15" s="51"/>
      <c r="B15" s="46"/>
      <c r="C15" s="46"/>
      <c r="D15" s="48"/>
      <c r="E15" s="80" t="s">
        <v>13</v>
      </c>
      <c r="F15" s="82" t="s">
        <v>56</v>
      </c>
      <c r="G15" s="84">
        <v>0</v>
      </c>
    </row>
    <row r="16" spans="1:8" ht="15.75" customHeight="1" x14ac:dyDescent="0.2">
      <c r="A16" s="51"/>
      <c r="B16" s="46"/>
      <c r="C16" s="46"/>
      <c r="D16" s="48"/>
      <c r="E16" s="80" t="s">
        <v>13</v>
      </c>
      <c r="F16" s="82" t="s">
        <v>37</v>
      </c>
      <c r="G16" s="84">
        <v>800</v>
      </c>
    </row>
    <row r="17" spans="1:7" ht="15.75" customHeight="1" x14ac:dyDescent="0.2">
      <c r="A17" s="51"/>
      <c r="B17" s="46"/>
      <c r="C17" s="46"/>
      <c r="D17" s="48"/>
      <c r="E17" s="80" t="s">
        <v>13</v>
      </c>
      <c r="F17" s="82" t="s">
        <v>36</v>
      </c>
      <c r="G17" s="84">
        <v>3000</v>
      </c>
    </row>
    <row r="18" spans="1:7" ht="15.75" customHeight="1" x14ac:dyDescent="0.2">
      <c r="A18" s="51"/>
      <c r="B18" s="46"/>
      <c r="C18" s="46"/>
      <c r="D18" s="48"/>
      <c r="E18" s="80" t="s">
        <v>12</v>
      </c>
      <c r="F18" s="82" t="s">
        <v>48</v>
      </c>
      <c r="G18" s="84">
        <v>50</v>
      </c>
    </row>
    <row r="19" spans="1:7" ht="15.75" customHeight="1" x14ac:dyDescent="0.15">
      <c r="A19" s="51"/>
      <c r="B19" s="67"/>
      <c r="C19" s="67"/>
      <c r="D19" s="68"/>
      <c r="E19" s="80" t="s">
        <v>12</v>
      </c>
      <c r="F19" s="82" t="s">
        <v>58</v>
      </c>
      <c r="G19" s="84">
        <v>0</v>
      </c>
    </row>
    <row r="20" spans="1:7" ht="15.75" customHeight="1" x14ac:dyDescent="0.2">
      <c r="A20" s="51"/>
      <c r="B20" s="46"/>
      <c r="C20" s="46"/>
      <c r="D20" s="48"/>
      <c r="E20" s="80" t="s">
        <v>12</v>
      </c>
      <c r="F20" s="82" t="s">
        <v>51</v>
      </c>
      <c r="G20" s="84">
        <v>75</v>
      </c>
    </row>
    <row r="21" spans="1:7" ht="15.75" customHeight="1" x14ac:dyDescent="0.2">
      <c r="A21" s="51"/>
      <c r="B21" s="46"/>
      <c r="C21" s="46"/>
      <c r="D21" s="48"/>
      <c r="E21" s="80" t="s">
        <v>12</v>
      </c>
      <c r="F21" s="82" t="s">
        <v>47</v>
      </c>
      <c r="G21" s="84">
        <v>150</v>
      </c>
    </row>
    <row r="22" spans="1:7" ht="15.75" customHeight="1" x14ac:dyDescent="0.2">
      <c r="A22" s="51"/>
      <c r="B22" s="46"/>
      <c r="C22" s="46"/>
      <c r="D22" s="48"/>
      <c r="E22" s="80" t="s">
        <v>12</v>
      </c>
      <c r="F22" s="82" t="s">
        <v>33</v>
      </c>
      <c r="G22" s="84">
        <v>500</v>
      </c>
    </row>
    <row r="23" spans="1:7" ht="15.75" customHeight="1" x14ac:dyDescent="0.15">
      <c r="A23" s="51"/>
      <c r="B23" s="67"/>
      <c r="C23" s="67"/>
      <c r="D23" s="68"/>
      <c r="E23" s="80" t="s">
        <v>12</v>
      </c>
      <c r="F23" s="82" t="s">
        <v>50</v>
      </c>
      <c r="G23" s="84">
        <v>500</v>
      </c>
    </row>
    <row r="24" spans="1:7" ht="15.75" customHeight="1" x14ac:dyDescent="0.2">
      <c r="A24" s="51"/>
      <c r="B24" s="46"/>
      <c r="C24" s="46"/>
      <c r="D24" s="48"/>
      <c r="E24" s="80" t="s">
        <v>12</v>
      </c>
      <c r="F24" s="82" t="s">
        <v>34</v>
      </c>
      <c r="G24" s="84">
        <v>200</v>
      </c>
    </row>
    <row r="25" spans="1:7" ht="15.75" customHeight="1" x14ac:dyDescent="0.15">
      <c r="A25" s="66"/>
      <c r="B25" s="66"/>
      <c r="C25" s="66"/>
      <c r="D25" s="66"/>
      <c r="E25" s="80" t="s">
        <v>12</v>
      </c>
      <c r="F25" s="82" t="s">
        <v>35</v>
      </c>
      <c r="G25" s="84">
        <v>0</v>
      </c>
    </row>
    <row r="26" spans="1:7" ht="15.75" customHeight="1" x14ac:dyDescent="0.15">
      <c r="A26" s="66"/>
      <c r="B26" s="66"/>
      <c r="C26" s="66"/>
      <c r="D26" s="66"/>
      <c r="E26" s="80" t="s">
        <v>12</v>
      </c>
      <c r="F26" s="82" t="s">
        <v>49</v>
      </c>
      <c r="G26" s="84">
        <v>150</v>
      </c>
    </row>
    <row r="27" spans="1:7" ht="15.75" customHeight="1" x14ac:dyDescent="0.15">
      <c r="E27" s="80" t="s">
        <v>12</v>
      </c>
      <c r="F27" s="82" t="s">
        <v>32</v>
      </c>
      <c r="G27" s="84">
        <v>0</v>
      </c>
    </row>
    <row r="28" spans="1:7" ht="15.75" customHeight="1" x14ac:dyDescent="0.15">
      <c r="E28" s="80" t="s">
        <v>12</v>
      </c>
      <c r="F28" s="82" t="s">
        <v>52</v>
      </c>
      <c r="G28" s="84">
        <v>500</v>
      </c>
    </row>
    <row r="29" spans="1:7" ht="15.75" customHeight="1" x14ac:dyDescent="0.15">
      <c r="E29" s="80" t="s">
        <v>12</v>
      </c>
      <c r="F29" s="82" t="s">
        <v>56</v>
      </c>
      <c r="G29" s="84">
        <v>75</v>
      </c>
    </row>
    <row r="30" spans="1:7" ht="14" x14ac:dyDescent="0.15">
      <c r="E30" s="80" t="s">
        <v>12</v>
      </c>
      <c r="F30" s="82" t="s">
        <v>37</v>
      </c>
      <c r="G30" s="84">
        <v>0</v>
      </c>
    </row>
    <row r="31" spans="1:7" ht="14" x14ac:dyDescent="0.15">
      <c r="E31" s="80" t="s">
        <v>12</v>
      </c>
      <c r="F31" s="82" t="s">
        <v>36</v>
      </c>
      <c r="G31" s="84">
        <v>0</v>
      </c>
    </row>
  </sheetData>
  <sortState xmlns:xlrd2="http://schemas.microsoft.com/office/spreadsheetml/2017/richdata2" ref="A4:E24">
    <sortCondition ref="A4:A24"/>
    <sortCondition ref="C4:C24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0.59999389629810485"/>
  </sheetPr>
  <dimension ref="A1:V13"/>
  <sheetViews>
    <sheetView workbookViewId="0"/>
  </sheetViews>
  <sheetFormatPr baseColWidth="10" defaultColWidth="8.83203125" defaultRowHeight="13" x14ac:dyDescent="0.15"/>
  <sheetData>
    <row r="1" spans="1:22" s="26" customFormat="1" ht="15.75" customHeight="1" x14ac:dyDescent="0.15">
      <c r="A1" s="26" t="s">
        <v>71</v>
      </c>
    </row>
    <row r="2" spans="1:22" s="1" customFormat="1" ht="15.75" customHeight="1" x14ac:dyDescent="0.15">
      <c r="T2" s="67"/>
      <c r="U2" s="67"/>
      <c r="V2" s="67"/>
    </row>
    <row r="3" spans="1:22" s="39" customFormat="1" ht="15.75" customHeight="1" x14ac:dyDescent="0.15">
      <c r="A3" s="1"/>
      <c r="B3" s="8">
        <v>44256</v>
      </c>
      <c r="C3" s="8">
        <v>44287</v>
      </c>
      <c r="D3" s="8">
        <v>44317</v>
      </c>
      <c r="E3" s="8">
        <v>44348</v>
      </c>
      <c r="F3" s="8">
        <v>44378</v>
      </c>
      <c r="G3" s="8">
        <v>44409</v>
      </c>
      <c r="H3" s="8">
        <v>44440</v>
      </c>
      <c r="I3" s="8">
        <v>44470</v>
      </c>
      <c r="J3" s="8">
        <v>44501</v>
      </c>
      <c r="K3" s="8">
        <v>44531</v>
      </c>
      <c r="L3" s="8">
        <v>44562</v>
      </c>
      <c r="M3" s="8">
        <v>44593</v>
      </c>
      <c r="N3" s="8">
        <v>44621</v>
      </c>
      <c r="O3" s="8">
        <v>44652</v>
      </c>
      <c r="P3" s="8">
        <v>44682</v>
      </c>
      <c r="Q3" s="8">
        <v>44713</v>
      </c>
      <c r="R3" s="8">
        <v>44743</v>
      </c>
      <c r="S3" s="8">
        <v>44774</v>
      </c>
      <c r="T3" s="73"/>
      <c r="U3" s="74"/>
      <c r="V3" s="73"/>
    </row>
    <row r="4" spans="1:22" s="1" customFormat="1" ht="15.75" customHeight="1" x14ac:dyDescent="0.15">
      <c r="A4" s="44" t="s">
        <v>69</v>
      </c>
      <c r="B4" s="44">
        <v>8000</v>
      </c>
      <c r="C4" s="44">
        <v>10000</v>
      </c>
      <c r="D4" s="44">
        <v>12000</v>
      </c>
      <c r="E4" s="44">
        <v>15000</v>
      </c>
      <c r="F4" s="44">
        <v>20000</v>
      </c>
      <c r="G4" s="44">
        <v>20000</v>
      </c>
      <c r="H4" s="44">
        <v>18000</v>
      </c>
      <c r="I4" s="44">
        <v>15000</v>
      </c>
      <c r="J4" s="44">
        <v>10000</v>
      </c>
      <c r="K4" s="44">
        <v>8000</v>
      </c>
      <c r="L4" s="44">
        <v>5000</v>
      </c>
      <c r="M4" s="44">
        <v>5000</v>
      </c>
      <c r="N4" s="44">
        <v>9000</v>
      </c>
      <c r="O4" s="44">
        <v>12000</v>
      </c>
      <c r="P4" s="44">
        <v>15000</v>
      </c>
      <c r="Q4" s="44">
        <v>17000</v>
      </c>
      <c r="R4" s="44">
        <v>22000</v>
      </c>
      <c r="S4" s="76">
        <v>22000</v>
      </c>
      <c r="T4" s="67"/>
      <c r="U4" s="75"/>
      <c r="V4" s="67"/>
    </row>
    <row r="5" spans="1:22" ht="14" x14ac:dyDescent="0.15">
      <c r="A5" s="44" t="s">
        <v>70</v>
      </c>
      <c r="B5" s="54">
        <v>2</v>
      </c>
      <c r="C5" s="54">
        <v>2</v>
      </c>
      <c r="D5" s="54">
        <v>2</v>
      </c>
      <c r="E5" s="54">
        <v>1</v>
      </c>
      <c r="F5" s="54">
        <v>1</v>
      </c>
      <c r="G5" s="54">
        <v>1</v>
      </c>
      <c r="H5" s="54">
        <v>2</v>
      </c>
      <c r="I5" s="54">
        <v>2</v>
      </c>
      <c r="J5" s="54">
        <v>2</v>
      </c>
      <c r="K5" s="54">
        <v>3</v>
      </c>
      <c r="L5" s="54">
        <v>3</v>
      </c>
      <c r="M5" s="54">
        <v>3</v>
      </c>
      <c r="N5" s="54">
        <v>2</v>
      </c>
      <c r="O5" s="54">
        <v>2</v>
      </c>
      <c r="P5" s="54">
        <v>2</v>
      </c>
      <c r="Q5" s="54">
        <v>1</v>
      </c>
      <c r="R5" s="54">
        <v>1</v>
      </c>
      <c r="S5" s="54">
        <v>1</v>
      </c>
      <c r="T5" s="66"/>
      <c r="U5" s="68"/>
      <c r="V5" s="66"/>
    </row>
    <row r="6" spans="1:22" ht="14" x14ac:dyDescent="0.15">
      <c r="A6" s="1"/>
      <c r="T6" s="66"/>
      <c r="U6" s="66"/>
      <c r="V6" s="66"/>
    </row>
    <row r="7" spans="1:22" ht="14" x14ac:dyDescent="0.15">
      <c r="A7" s="1"/>
      <c r="T7" s="66"/>
      <c r="U7" s="66"/>
      <c r="V7" s="66"/>
    </row>
    <row r="8" spans="1:22" ht="14" x14ac:dyDescent="0.15">
      <c r="A8" s="1"/>
    </row>
    <row r="9" spans="1:22" ht="14" x14ac:dyDescent="0.15">
      <c r="A9" s="1"/>
    </row>
    <row r="10" spans="1:22" ht="14" x14ac:dyDescent="0.15">
      <c r="A10" s="1"/>
    </row>
    <row r="11" spans="1:22" ht="14" x14ac:dyDescent="0.15">
      <c r="A11" s="1"/>
    </row>
    <row r="12" spans="1:22" ht="14" x14ac:dyDescent="0.15">
      <c r="A12" s="1"/>
    </row>
    <row r="13" spans="1:22" ht="14" x14ac:dyDescent="0.15">
      <c r="A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SourceChar</vt:lpstr>
      <vt:lpstr>SourceCosts</vt:lpstr>
      <vt:lpstr>SourceVolume</vt:lpstr>
      <vt:lpstr>StorChar</vt:lpstr>
      <vt:lpstr>RegionalDemand</vt:lpstr>
      <vt:lpstr>RegionalPricing</vt:lpstr>
      <vt:lpstr>TransportCosts-Direct</vt:lpstr>
      <vt:lpstr>TransportCosts-Depot to depot</vt:lpstr>
      <vt:lpstr>InventoryOnHand</vt:lpstr>
      <vt:lpstr>TotalInvty</vt:lpstr>
    </vt:vector>
  </TitlesOfParts>
  <Company>PelletSales.com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MacLean</dc:creator>
  <cp:lastModifiedBy>Willems, Sean Peter</cp:lastModifiedBy>
  <dcterms:created xsi:type="dcterms:W3CDTF">2008-06-27T20:50:18Z</dcterms:created>
  <dcterms:modified xsi:type="dcterms:W3CDTF">2022-04-11T00:56:23Z</dcterms:modified>
</cp:coreProperties>
</file>