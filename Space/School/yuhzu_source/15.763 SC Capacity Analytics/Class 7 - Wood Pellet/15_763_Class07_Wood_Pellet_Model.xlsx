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 filterPrivacy="1" defaultThemeVersion="124226"/>
  <xr:revisionPtr revIDLastSave="0" documentId="13_ncr:1_{A39EEBAF-90E0-5B4C-B362-A649E8725BF9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Planning Model" sheetId="1" r:id="rId1"/>
    <sheet name="RegionalDemand" sheetId="22" r:id="rId2"/>
  </sheets>
  <definedNames>
    <definedName name="Flow0." localSheetId="0">'Planning Model'!#REF!</definedName>
    <definedName name="Flow0._1" localSheetId="0">'Planning Model'!$B$12:$V$20</definedName>
    <definedName name="Flow0._2" localSheetId="0">'Planning Model'!$AB$12:$AX$20</definedName>
    <definedName name="Flow0._3" localSheetId="0">'Planning Model'!$AC$82:$AX$90</definedName>
    <definedName name="Flow1._1" localSheetId="0">'Planning Model'!$B$25:$V$75</definedName>
    <definedName name="Flow2._1" localSheetId="0">'Planning Model'!$A$135:$V$189</definedName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0</definedName>
    <definedName name="solver_adj" localSheetId="0" hidden="1">'Planning Model'!$E$13:$V$20,'Planning Model'!$E$26:$V$75,'Planning Model'!$E$81:$V$130,'Planning Model'!$E$136:$V$189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ng" localSheetId="1" hidden="1">0</definedName>
    <definedName name="solver_est" localSheetId="0" hidden="1">1</definedName>
    <definedName name="solver_itr" localSheetId="0" hidden="1">2147483647</definedName>
    <definedName name="solver_lhs1" localSheetId="0" hidden="1">'Planning Model'!$AG$13:$AX$20</definedName>
    <definedName name="solver_lhs10" localSheetId="0" hidden="1">'Planning Model'!$AS$58:$AS$71</definedName>
    <definedName name="solver_lhs11" localSheetId="0" hidden="1">'Planning Model'!$AT$58:$AT$71</definedName>
    <definedName name="solver_lhs12" localSheetId="0" hidden="1">'Planning Model'!$AU$58:$AU$71</definedName>
    <definedName name="solver_lhs13" localSheetId="0" hidden="1">'Planning Model'!$AV$58:$AV$71</definedName>
    <definedName name="solver_lhs14" localSheetId="0" hidden="1">'Planning Model'!$AW$58:$AW$71</definedName>
    <definedName name="solver_lhs15" localSheetId="0" hidden="1">'Planning Model'!$AX$58:$AX$71</definedName>
    <definedName name="solver_lhs16" localSheetId="0" hidden="1">'Planning Model'!$E$241:$V$248</definedName>
    <definedName name="solver_lhs17" localSheetId="0" hidden="1">'Planning Model'!$E$241:$V$248</definedName>
    <definedName name="solver_lhs18" localSheetId="0" hidden="1">'Planning Model'!$E$317:$V$344</definedName>
    <definedName name="solver_lhs19" localSheetId="0" hidden="1">'Planning Model'!$AW$58:$AW$71</definedName>
    <definedName name="solver_lhs2" localSheetId="0" hidden="1">'Planning Model'!$E$317:$V$344</definedName>
    <definedName name="solver_lhs20" localSheetId="0" hidden="1">'Planning Model'!$AX$58:$AX$71</definedName>
    <definedName name="solver_lhs21" localSheetId="0" hidden="1">'Planning Model'!$E$241:$V$248</definedName>
    <definedName name="solver_lhs22" localSheetId="0" hidden="1">'Planning Model'!$E$241:$V$248</definedName>
    <definedName name="solver_lhs23" localSheetId="0" hidden="1">'Planning Model'!$E$317:$V$344</definedName>
    <definedName name="solver_lhs3" localSheetId="0" hidden="1">'Planning Model'!$E$241:$V$248</definedName>
    <definedName name="solver_lhs4" localSheetId="0" hidden="1">'Planning Model'!$AG$26:$AX$53</definedName>
    <definedName name="solver_lhs5" localSheetId="0" hidden="1">'Planning Model'!$E$241:$V$248</definedName>
    <definedName name="solver_lhs6" localSheetId="0" hidden="1">'Planning Model'!$AG$13:$AX$20</definedName>
    <definedName name="solver_lhs7" localSheetId="0" hidden="1">'Planning Model'!$AG$58:$AX$71</definedName>
    <definedName name="solver_lhs8" localSheetId="0" hidden="1">'Planning Model'!$AQ$58:$AQ$71</definedName>
    <definedName name="solver_lhs9" localSheetId="0" hidden="1">'Planning Model'!$AR$58:$AR$71</definedName>
    <definedName name="solver_neg" localSheetId="0" hidden="1">1</definedName>
    <definedName name="solver_num" localSheetId="0" hidden="1">7</definedName>
    <definedName name="solver_nwt" localSheetId="0" hidden="1">1</definedName>
    <definedName name="solver_opt" localSheetId="0" hidden="1">'Planning Model'!$E$9</definedName>
    <definedName name="solver_pre" localSheetId="0" hidden="1">0.000001</definedName>
    <definedName name="solver_rel1" localSheetId="0" hidden="1">3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3</definedName>
    <definedName name="solver_rel17" localSheetId="0" hidden="1">1</definedName>
    <definedName name="solver_rel18" localSheetId="0" hidden="1">1</definedName>
    <definedName name="solver_rel19" localSheetId="0" hidden="1">1</definedName>
    <definedName name="solver_rel2" localSheetId="0" hidden="1">1</definedName>
    <definedName name="solver_rel20" localSheetId="0" hidden="1">1</definedName>
    <definedName name="solver_rel21" localSheetId="0" hidden="1">3</definedName>
    <definedName name="solver_rel22" localSheetId="0" hidden="1">1</definedName>
    <definedName name="solver_rel23" localSheetId="0" hidden="1">1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0</definedName>
    <definedName name="solver_rhs10" localSheetId="0" hidden="1">'Planning Model'!GM160:GM173</definedName>
    <definedName name="solver_rhs11" localSheetId="0" hidden="1">'Planning Model'!GM160:GM173</definedName>
    <definedName name="solver_rhs12" localSheetId="0" hidden="1">'Planning Model'!GM160:GM173</definedName>
    <definedName name="solver_rhs13" localSheetId="0" hidden="1">'Planning Model'!GM160:GM173</definedName>
    <definedName name="solver_rhs14" localSheetId="0" hidden="1">'Planning Model'!GM160:GM173</definedName>
    <definedName name="solver_rhs15" localSheetId="0" hidden="1">'Planning Model'!GM160:GM173</definedName>
    <definedName name="solver_rhs16" localSheetId="0" hidden="1">'Planning Model'!$E$208:$V$215</definedName>
    <definedName name="solver_rhs17" localSheetId="0" hidden="1">'Planning Model'!$E$219:$V$226</definedName>
    <definedName name="solver_rhs18" localSheetId="0" hidden="1">'Planning Model'!$E$286:$V$313</definedName>
    <definedName name="solver_rhs19" localSheetId="0" hidden="1">'Planning Model'!EL70:EL83</definedName>
    <definedName name="solver_rhs2" localSheetId="0" hidden="1">'Planning Model'!$E$286:$V$313</definedName>
    <definedName name="solver_rhs20" localSheetId="0" hidden="1">'Planning Model'!EL70:EL83</definedName>
    <definedName name="solver_rhs21" localSheetId="0" hidden="1">'Planning Model'!$E$208:$V$215</definedName>
    <definedName name="solver_rhs22" localSheetId="0" hidden="1">'Planning Model'!$E$219:$V$226</definedName>
    <definedName name="solver_rhs23" localSheetId="0" hidden="1">'Planning Model'!$E$286:$V$313</definedName>
    <definedName name="solver_rhs3" localSheetId="0" hidden="1">'Planning Model'!$E$219:$V$226</definedName>
    <definedName name="solver_rhs4" localSheetId="0" hidden="1">0</definedName>
    <definedName name="solver_rhs5" localSheetId="0" hidden="1">'Planning Model'!$E$208:$V$215</definedName>
    <definedName name="solver_rhs6" localSheetId="0" hidden="1">'Planning Model'!$AG$83:$AX$90</definedName>
    <definedName name="solver_rhs7" localSheetId="0" hidden="1">'Planning Model'!$AG$95:$AX$108</definedName>
    <definedName name="solver_rhs8" localSheetId="0" hidden="1">'Planning Model'!GM160:GM173</definedName>
    <definedName name="solver_rhs9" localSheetId="0" hidden="1">'Planning Model'!GM160:GM173</definedName>
    <definedName name="solver_rlx" localSheetId="0" hidden="1">2</definedName>
    <definedName name="solver_scl" localSheetId="0" hidden="1">2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49" i="1" l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D28" i="22" l="1"/>
  <c r="AH95" i="1" l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95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G84" i="1"/>
  <c r="AG85" i="1"/>
  <c r="AG86" i="1"/>
  <c r="AG87" i="1"/>
  <c r="AG88" i="1"/>
  <c r="AG89" i="1"/>
  <c r="AG90" i="1"/>
  <c r="AG83" i="1"/>
  <c r="V344" i="1" l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E203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E204" i="1"/>
  <c r="W27" i="1" l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26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81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36" i="1"/>
  <c r="E7" i="1" l="1"/>
  <c r="E6" i="1"/>
  <c r="E5" i="1"/>
  <c r="D43" i="22" l="1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U43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Q44" i="22"/>
  <c r="R44" i="22"/>
  <c r="S44" i="22"/>
  <c r="T44" i="22"/>
  <c r="U44" i="22"/>
  <c r="D45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Q45" i="22"/>
  <c r="R45" i="22"/>
  <c r="S45" i="22"/>
  <c r="T45" i="22"/>
  <c r="U45" i="22"/>
  <c r="D46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Q46" i="22"/>
  <c r="R46" i="22"/>
  <c r="S46" i="22"/>
  <c r="T46" i="22"/>
  <c r="U46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Q47" i="22"/>
  <c r="R47" i="22"/>
  <c r="S47" i="22"/>
  <c r="T47" i="22"/>
  <c r="U47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R48" i="22"/>
  <c r="S48" i="22"/>
  <c r="T48" i="22"/>
  <c r="U48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U49" i="22"/>
  <c r="D50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U50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Q51" i="22"/>
  <c r="R51" i="22"/>
  <c r="S51" i="22"/>
  <c r="T51" i="22"/>
  <c r="U51" i="22"/>
  <c r="D52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Q52" i="22"/>
  <c r="R52" i="22"/>
  <c r="S52" i="22"/>
  <c r="T52" i="22"/>
  <c r="U52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Q53" i="22"/>
  <c r="R53" i="22"/>
  <c r="S53" i="22"/>
  <c r="T53" i="22"/>
  <c r="U53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Q54" i="22"/>
  <c r="R54" i="22"/>
  <c r="S54" i="22"/>
  <c r="T54" i="22"/>
  <c r="U54" i="22"/>
  <c r="D55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Q55" i="22"/>
  <c r="R55" i="22"/>
  <c r="S55" i="22"/>
  <c r="T55" i="22"/>
  <c r="U55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U42" i="22"/>
  <c r="D42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D58" i="22" l="1"/>
  <c r="S58" i="22"/>
  <c r="O58" i="22"/>
  <c r="N58" i="22"/>
  <c r="U58" i="22"/>
  <c r="M58" i="22"/>
  <c r="L58" i="22"/>
  <c r="M57" i="22"/>
  <c r="M59" i="22" s="1"/>
  <c r="I58" i="22"/>
  <c r="R58" i="22"/>
  <c r="U57" i="22"/>
  <c r="U59" i="22" s="1"/>
  <c r="T57" i="22"/>
  <c r="H58" i="22"/>
  <c r="O57" i="22"/>
  <c r="O59" i="22" s="1"/>
  <c r="G58" i="22"/>
  <c r="K57" i="22"/>
  <c r="F58" i="22"/>
  <c r="T58" i="22"/>
  <c r="I57" i="22"/>
  <c r="I59" i="22" s="1"/>
  <c r="E58" i="22"/>
  <c r="K58" i="22"/>
  <c r="H57" i="22"/>
  <c r="H59" i="22" s="1"/>
  <c r="D57" i="22"/>
  <c r="D59" i="22" s="1"/>
  <c r="J58" i="22"/>
  <c r="G57" i="22"/>
  <c r="G59" i="22" s="1"/>
  <c r="F57" i="22"/>
  <c r="F59" i="22" s="1"/>
  <c r="Q58" i="22"/>
  <c r="L57" i="22"/>
  <c r="L59" i="22" s="1"/>
  <c r="J57" i="22"/>
  <c r="J59" i="22" s="1"/>
  <c r="E57" i="22"/>
  <c r="E59" i="22" s="1"/>
  <c r="Q57" i="22"/>
  <c r="Q59" i="22" s="1"/>
  <c r="S57" i="22"/>
  <c r="S59" i="22" s="1"/>
  <c r="P57" i="22"/>
  <c r="N57" i="22"/>
  <c r="P58" i="22"/>
  <c r="R57" i="22"/>
  <c r="E344" i="1"/>
  <c r="E343" i="1"/>
  <c r="E342" i="1"/>
  <c r="E341" i="1"/>
  <c r="E340" i="1"/>
  <c r="E339" i="1"/>
  <c r="E338" i="1"/>
  <c r="E337" i="1"/>
  <c r="E336" i="1"/>
  <c r="E335" i="1"/>
  <c r="E333" i="1"/>
  <c r="E334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E248" i="1"/>
  <c r="E247" i="1"/>
  <c r="E246" i="1"/>
  <c r="E245" i="1"/>
  <c r="E244" i="1"/>
  <c r="E243" i="1"/>
  <c r="E242" i="1"/>
  <c r="E241" i="1"/>
  <c r="R226" i="1"/>
  <c r="N226" i="1"/>
  <c r="M226" i="1"/>
  <c r="E226" i="1"/>
  <c r="R225" i="1"/>
  <c r="O225" i="1"/>
  <c r="G225" i="1"/>
  <c r="E225" i="1"/>
  <c r="R224" i="1"/>
  <c r="E224" i="1"/>
  <c r="E223" i="1"/>
  <c r="Q222" i="1"/>
  <c r="L222" i="1"/>
  <c r="E222" i="1"/>
  <c r="E221" i="1"/>
  <c r="R220" i="1"/>
  <c r="E220" i="1"/>
  <c r="V219" i="1"/>
  <c r="R219" i="1"/>
  <c r="N219" i="1"/>
  <c r="J219" i="1"/>
  <c r="E219" i="1"/>
  <c r="R215" i="1"/>
  <c r="N215" i="1"/>
  <c r="M215" i="1"/>
  <c r="F215" i="1"/>
  <c r="E215" i="1"/>
  <c r="R214" i="1"/>
  <c r="O214" i="1"/>
  <c r="G214" i="1"/>
  <c r="E214" i="1"/>
  <c r="R213" i="1"/>
  <c r="E213" i="1"/>
  <c r="E212" i="1"/>
  <c r="Q211" i="1"/>
  <c r="L211" i="1"/>
  <c r="E211" i="1"/>
  <c r="E210" i="1"/>
  <c r="R209" i="1"/>
  <c r="E209" i="1"/>
  <c r="V208" i="1"/>
  <c r="R208" i="1"/>
  <c r="N208" i="1"/>
  <c r="J208" i="1"/>
  <c r="E208" i="1"/>
  <c r="D95" i="22" s="1"/>
  <c r="O226" i="1"/>
  <c r="S224" i="1"/>
  <c r="T209" i="1"/>
  <c r="S220" i="1"/>
  <c r="K219" i="1"/>
  <c r="F219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G53" i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G52" i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G51" i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G50" i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G48" i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G47" i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G46" i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G45" i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G44" i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G43" i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G42" i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G41" i="1"/>
  <c r="AH41" i="1" s="1"/>
  <c r="AI41" i="1" s="1"/>
  <c r="AJ41" i="1" s="1"/>
  <c r="AG40" i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G39" i="1"/>
  <c r="AH39" i="1" s="1"/>
  <c r="AG38" i="1"/>
  <c r="AG37" i="1"/>
  <c r="AH37" i="1" s="1"/>
  <c r="AG36" i="1"/>
  <c r="AH36" i="1" s="1"/>
  <c r="AG35" i="1"/>
  <c r="AH35" i="1" s="1"/>
  <c r="AG34" i="1"/>
  <c r="AG33" i="1"/>
  <c r="AG32" i="1"/>
  <c r="AG31" i="1"/>
  <c r="AG30" i="1"/>
  <c r="AH30" i="1" s="1"/>
  <c r="AG29" i="1"/>
  <c r="AH29" i="1" s="1"/>
  <c r="AG28" i="1"/>
  <c r="AH28" i="1" s="1"/>
  <c r="AG27" i="1"/>
  <c r="AG26" i="1"/>
  <c r="AG20" i="1"/>
  <c r="AG19" i="1"/>
  <c r="AG18" i="1"/>
  <c r="AG17" i="1"/>
  <c r="AG16" i="1"/>
  <c r="AG15" i="1"/>
  <c r="AG14" i="1"/>
  <c r="AG13" i="1"/>
  <c r="K59" i="22" l="1"/>
  <c r="T59" i="22"/>
  <c r="D94" i="22"/>
  <c r="R59" i="22"/>
  <c r="N59" i="22"/>
  <c r="P59" i="22"/>
  <c r="AH14" i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H17" i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H18" i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H13" i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H15" i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H16" i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H19" i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H20" i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E2" i="1"/>
  <c r="G209" i="1"/>
  <c r="G226" i="1"/>
  <c r="F208" i="1"/>
  <c r="E95" i="22" s="1"/>
  <c r="S209" i="1"/>
  <c r="O215" i="1"/>
  <c r="F226" i="1"/>
  <c r="AG59" i="1"/>
  <c r="AG64" i="1"/>
  <c r="AH27" i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G68" i="1"/>
  <c r="AG58" i="1"/>
  <c r="AG66" i="1"/>
  <c r="AG70" i="1"/>
  <c r="AG60" i="1"/>
  <c r="AG63" i="1"/>
  <c r="AH32" i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X64" i="1" s="1"/>
  <c r="E1" i="1"/>
  <c r="AG65" i="1"/>
  <c r="AI30" i="1"/>
  <c r="AH62" i="1"/>
  <c r="AI35" i="1"/>
  <c r="AH67" i="1"/>
  <c r="AI28" i="1"/>
  <c r="AH60" i="1"/>
  <c r="AI36" i="1"/>
  <c r="AH68" i="1"/>
  <c r="AI39" i="1"/>
  <c r="AH71" i="1"/>
  <c r="AI29" i="1"/>
  <c r="AH61" i="1"/>
  <c r="AH69" i="1"/>
  <c r="AI37" i="1"/>
  <c r="AK41" i="1"/>
  <c r="AL41" i="1" s="1"/>
  <c r="AM41" i="1" s="1"/>
  <c r="AN41" i="1" s="1"/>
  <c r="AO41" i="1" s="1"/>
  <c r="AP41" i="1" s="1"/>
  <c r="AQ41" i="1" s="1"/>
  <c r="AR41" i="1" s="1"/>
  <c r="AH38" i="1"/>
  <c r="AH34" i="1"/>
  <c r="AG61" i="1"/>
  <c r="AG69" i="1"/>
  <c r="AG67" i="1"/>
  <c r="AH26" i="1"/>
  <c r="AG62" i="1"/>
  <c r="AH33" i="1"/>
  <c r="AH31" i="1"/>
  <c r="AG71" i="1"/>
  <c r="H220" i="1"/>
  <c r="H209" i="1"/>
  <c r="P222" i="1"/>
  <c r="P211" i="1"/>
  <c r="G223" i="1"/>
  <c r="G212" i="1"/>
  <c r="O222" i="1"/>
  <c r="L219" i="1"/>
  <c r="L208" i="1"/>
  <c r="F224" i="1"/>
  <c r="F213" i="1"/>
  <c r="F225" i="1"/>
  <c r="F214" i="1"/>
  <c r="S213" i="1"/>
  <c r="Q214" i="1"/>
  <c r="F223" i="1"/>
  <c r="H225" i="1"/>
  <c r="H214" i="1"/>
  <c r="G220" i="1"/>
  <c r="O219" i="1"/>
  <c r="O208" i="1"/>
  <c r="N222" i="1"/>
  <c r="N211" i="1"/>
  <c r="H226" i="1"/>
  <c r="G211" i="1"/>
  <c r="U214" i="1"/>
  <c r="Q225" i="1"/>
  <c r="S219" i="1"/>
  <c r="S208" i="1"/>
  <c r="F220" i="1"/>
  <c r="F209" i="1"/>
  <c r="T220" i="1"/>
  <c r="P225" i="1"/>
  <c r="P214" i="1"/>
  <c r="G222" i="1"/>
  <c r="U225" i="1"/>
  <c r="I226" i="1"/>
  <c r="I215" i="1"/>
  <c r="F212" i="1"/>
  <c r="F221" i="1"/>
  <c r="E94" i="22" s="1"/>
  <c r="F210" i="1"/>
  <c r="G215" i="1"/>
  <c r="S215" i="1"/>
  <c r="F222" i="1"/>
  <c r="F211" i="1"/>
  <c r="T225" i="1"/>
  <c r="T214" i="1"/>
  <c r="O211" i="1"/>
  <c r="H215" i="1"/>
  <c r="S226" i="1"/>
  <c r="S214" i="1"/>
  <c r="S225" i="1"/>
  <c r="R211" i="1"/>
  <c r="R222" i="1"/>
  <c r="K208" i="1"/>
  <c r="M211" i="1"/>
  <c r="M222" i="1"/>
  <c r="AY13" i="1" l="1"/>
  <c r="AY20" i="1"/>
  <c r="AY19" i="1"/>
  <c r="AY18" i="1"/>
  <c r="AY16" i="1"/>
  <c r="AY17" i="1"/>
  <c r="AY15" i="1"/>
  <c r="AY14" i="1"/>
  <c r="P215" i="1"/>
  <c r="P226" i="1"/>
  <c r="AJ64" i="1"/>
  <c r="AW64" i="1"/>
  <c r="AK64" i="1"/>
  <c r="AP64" i="1"/>
  <c r="AR64" i="1"/>
  <c r="AH64" i="1"/>
  <c r="AJ59" i="1"/>
  <c r="AI59" i="1"/>
  <c r="AL59" i="1"/>
  <c r="AT64" i="1"/>
  <c r="AS64" i="1"/>
  <c r="AO64" i="1"/>
  <c r="AL64" i="1"/>
  <c r="AQ64" i="1"/>
  <c r="AI64" i="1"/>
  <c r="AU64" i="1"/>
  <c r="AV64" i="1"/>
  <c r="AM64" i="1"/>
  <c r="AH59" i="1"/>
  <c r="AN64" i="1"/>
  <c r="AS41" i="1"/>
  <c r="AR59" i="1"/>
  <c r="AQ59" i="1"/>
  <c r="AP59" i="1"/>
  <c r="AO59" i="1"/>
  <c r="AM59" i="1"/>
  <c r="AJ28" i="1"/>
  <c r="AI60" i="1"/>
  <c r="AH65" i="1"/>
  <c r="AI33" i="1"/>
  <c r="AI26" i="1"/>
  <c r="AH58" i="1"/>
  <c r="AI38" i="1"/>
  <c r="AH70" i="1"/>
  <c r="AJ35" i="1"/>
  <c r="AI67" i="1"/>
  <c r="AJ36" i="1"/>
  <c r="AI68" i="1"/>
  <c r="AJ29" i="1"/>
  <c r="AI61" i="1"/>
  <c r="AN59" i="1"/>
  <c r="AI31" i="1"/>
  <c r="AH63" i="1"/>
  <c r="AJ37" i="1"/>
  <c r="AI69" i="1"/>
  <c r="AI34" i="1"/>
  <c r="AH66" i="1"/>
  <c r="AK59" i="1"/>
  <c r="AJ39" i="1"/>
  <c r="AI71" i="1"/>
  <c r="AJ30" i="1"/>
  <c r="AI62" i="1"/>
  <c r="P219" i="1"/>
  <c r="P208" i="1"/>
  <c r="M208" i="1"/>
  <c r="M219" i="1"/>
  <c r="T224" i="1"/>
  <c r="T213" i="1"/>
  <c r="U220" i="1"/>
  <c r="U209" i="1"/>
  <c r="T226" i="1"/>
  <c r="T215" i="1"/>
  <c r="S222" i="1"/>
  <c r="S211" i="1"/>
  <c r="I214" i="1"/>
  <c r="I225" i="1"/>
  <c r="G219" i="1"/>
  <c r="G208" i="1"/>
  <c r="V225" i="1"/>
  <c r="V214" i="1"/>
  <c r="G221" i="1"/>
  <c r="G210" i="1"/>
  <c r="T219" i="1"/>
  <c r="T208" i="1"/>
  <c r="J226" i="1"/>
  <c r="J215" i="1"/>
  <c r="H222" i="1"/>
  <c r="H211" i="1"/>
  <c r="G213" i="1"/>
  <c r="G224" i="1"/>
  <c r="I220" i="1"/>
  <c r="I209" i="1"/>
  <c r="H223" i="1"/>
  <c r="H212" i="1"/>
  <c r="F95" i="22" l="1"/>
  <c r="F94" i="22"/>
  <c r="E3" i="1"/>
  <c r="AY64" i="1"/>
  <c r="Q215" i="1"/>
  <c r="Q226" i="1"/>
  <c r="AK30" i="1"/>
  <c r="AJ62" i="1"/>
  <c r="AK29" i="1"/>
  <c r="AJ61" i="1"/>
  <c r="AK37" i="1"/>
  <c r="AJ69" i="1"/>
  <c r="AJ26" i="1"/>
  <c r="AI58" i="1"/>
  <c r="AK39" i="1"/>
  <c r="AJ71" i="1"/>
  <c r="AI65" i="1"/>
  <c r="AJ33" i="1"/>
  <c r="AJ31" i="1"/>
  <c r="AI63" i="1"/>
  <c r="AK36" i="1"/>
  <c r="AJ68" i="1"/>
  <c r="AJ34" i="1"/>
  <c r="AI66" i="1"/>
  <c r="AK35" i="1"/>
  <c r="AJ67" i="1"/>
  <c r="AJ38" i="1"/>
  <c r="AI70" i="1"/>
  <c r="AK28" i="1"/>
  <c r="AJ60" i="1"/>
  <c r="AT41" i="1"/>
  <c r="AS59" i="1"/>
  <c r="U224" i="1"/>
  <c r="U213" i="1"/>
  <c r="K226" i="1"/>
  <c r="K215" i="1"/>
  <c r="J225" i="1"/>
  <c r="J214" i="1"/>
  <c r="I212" i="1"/>
  <c r="I223" i="1"/>
  <c r="H219" i="1"/>
  <c r="G94" i="22" s="1"/>
  <c r="H208" i="1"/>
  <c r="H221" i="1"/>
  <c r="H210" i="1"/>
  <c r="H224" i="1"/>
  <c r="H213" i="1"/>
  <c r="T222" i="1"/>
  <c r="T211" i="1"/>
  <c r="V220" i="1"/>
  <c r="V209" i="1"/>
  <c r="Q208" i="1"/>
  <c r="Q219" i="1"/>
  <c r="J220" i="1"/>
  <c r="J209" i="1"/>
  <c r="U219" i="1"/>
  <c r="U208" i="1"/>
  <c r="U226" i="1"/>
  <c r="U215" i="1"/>
  <c r="I222" i="1"/>
  <c r="I211" i="1"/>
  <c r="G95" i="22" l="1"/>
  <c r="AK38" i="1"/>
  <c r="AJ70" i="1"/>
  <c r="AL29" i="1"/>
  <c r="AK61" i="1"/>
  <c r="AL39" i="1"/>
  <c r="AK71" i="1"/>
  <c r="AL35" i="1"/>
  <c r="AK67" i="1"/>
  <c r="AL36" i="1"/>
  <c r="AK68" i="1"/>
  <c r="AL30" i="1"/>
  <c r="AK62" i="1"/>
  <c r="AU41" i="1"/>
  <c r="AT59" i="1"/>
  <c r="AK26" i="1"/>
  <c r="AJ58" i="1"/>
  <c r="AK31" i="1"/>
  <c r="AJ63" i="1"/>
  <c r="AL28" i="1"/>
  <c r="AK60" i="1"/>
  <c r="AK34" i="1"/>
  <c r="AJ66" i="1"/>
  <c r="AJ65" i="1"/>
  <c r="AK33" i="1"/>
  <c r="AL37" i="1"/>
  <c r="AK69" i="1"/>
  <c r="J222" i="1"/>
  <c r="J211" i="1"/>
  <c r="I210" i="1"/>
  <c r="I221" i="1"/>
  <c r="J223" i="1"/>
  <c r="J212" i="1"/>
  <c r="L226" i="1"/>
  <c r="L215" i="1"/>
  <c r="V226" i="1"/>
  <c r="V215" i="1"/>
  <c r="I208" i="1"/>
  <c r="I219" i="1"/>
  <c r="H94" i="22" s="1"/>
  <c r="K209" i="1"/>
  <c r="K220" i="1"/>
  <c r="I224" i="1"/>
  <c r="I213" i="1"/>
  <c r="K225" i="1"/>
  <c r="K214" i="1"/>
  <c r="V224" i="1"/>
  <c r="V213" i="1"/>
  <c r="U222" i="1"/>
  <c r="U211" i="1"/>
  <c r="H95" i="22" l="1"/>
  <c r="AL34" i="1"/>
  <c r="AK66" i="1"/>
  <c r="AM36" i="1"/>
  <c r="AL68" i="1"/>
  <c r="AL26" i="1"/>
  <c r="AK58" i="1"/>
  <c r="AM35" i="1"/>
  <c r="AL67" i="1"/>
  <c r="AL38" i="1"/>
  <c r="AK70" i="1"/>
  <c r="AM28" i="1"/>
  <c r="AL60" i="1"/>
  <c r="AM37" i="1"/>
  <c r="AL69" i="1"/>
  <c r="AV41" i="1"/>
  <c r="AU59" i="1"/>
  <c r="AL33" i="1"/>
  <c r="AK65" i="1"/>
  <c r="AM39" i="1"/>
  <c r="AL71" i="1"/>
  <c r="AL31" i="1"/>
  <c r="AK63" i="1"/>
  <c r="AM30" i="1"/>
  <c r="AL62" i="1"/>
  <c r="AM29" i="1"/>
  <c r="AL61" i="1"/>
  <c r="K223" i="1"/>
  <c r="K212" i="1"/>
  <c r="J221" i="1"/>
  <c r="I94" i="22" s="1"/>
  <c r="J210" i="1"/>
  <c r="V222" i="1"/>
  <c r="V211" i="1"/>
  <c r="L220" i="1"/>
  <c r="L209" i="1"/>
  <c r="L225" i="1"/>
  <c r="L214" i="1"/>
  <c r="K222" i="1"/>
  <c r="K211" i="1"/>
  <c r="J224" i="1"/>
  <c r="J213" i="1"/>
  <c r="I95" i="22" l="1"/>
  <c r="AN36" i="1"/>
  <c r="AM68" i="1"/>
  <c r="AM31" i="1"/>
  <c r="AL63" i="1"/>
  <c r="AW41" i="1"/>
  <c r="AV59" i="1"/>
  <c r="AN35" i="1"/>
  <c r="AM67" i="1"/>
  <c r="AM34" i="1"/>
  <c r="AL66" i="1"/>
  <c r="AN37" i="1"/>
  <c r="AM69" i="1"/>
  <c r="AN30" i="1"/>
  <c r="AM62" i="1"/>
  <c r="AN29" i="1"/>
  <c r="AM61" i="1"/>
  <c r="AN39" i="1"/>
  <c r="AM71" i="1"/>
  <c r="AM26" i="1"/>
  <c r="AL58" i="1"/>
  <c r="AM38" i="1"/>
  <c r="AL70" i="1"/>
  <c r="AN28" i="1"/>
  <c r="AM60" i="1"/>
  <c r="AM33" i="1"/>
  <c r="AL65" i="1"/>
  <c r="M220" i="1"/>
  <c r="M209" i="1"/>
  <c r="L223" i="1"/>
  <c r="L212" i="1"/>
  <c r="K213" i="1"/>
  <c r="K224" i="1"/>
  <c r="M214" i="1"/>
  <c r="M225" i="1"/>
  <c r="K221" i="1"/>
  <c r="J94" i="22" s="1"/>
  <c r="K210" i="1"/>
  <c r="J95" i="22" s="1"/>
  <c r="AN26" i="1" l="1"/>
  <c r="AM58" i="1"/>
  <c r="AX41" i="1"/>
  <c r="AX59" i="1" s="1"/>
  <c r="AW59" i="1"/>
  <c r="AN31" i="1"/>
  <c r="AM63" i="1"/>
  <c r="AO28" i="1"/>
  <c r="AN60" i="1"/>
  <c r="AN34" i="1"/>
  <c r="AM66" i="1"/>
  <c r="AO37" i="1"/>
  <c r="AN69" i="1"/>
  <c r="AO29" i="1"/>
  <c r="AN61" i="1"/>
  <c r="AO36" i="1"/>
  <c r="AN68" i="1"/>
  <c r="AN33" i="1"/>
  <c r="AM65" i="1"/>
  <c r="AN38" i="1"/>
  <c r="AM70" i="1"/>
  <c r="AO35" i="1"/>
  <c r="AN67" i="1"/>
  <c r="AO39" i="1"/>
  <c r="AN71" i="1"/>
  <c r="AO30" i="1"/>
  <c r="AN62" i="1"/>
  <c r="N225" i="1"/>
  <c r="N214" i="1"/>
  <c r="M212" i="1"/>
  <c r="M223" i="1"/>
  <c r="N220" i="1"/>
  <c r="N209" i="1"/>
  <c r="L221" i="1"/>
  <c r="K94" i="22" s="1"/>
  <c r="L210" i="1"/>
  <c r="L224" i="1"/>
  <c r="L213" i="1"/>
  <c r="K95" i="22" l="1"/>
  <c r="AY59" i="1"/>
  <c r="AO38" i="1"/>
  <c r="AN70" i="1"/>
  <c r="AO31" i="1"/>
  <c r="AN63" i="1"/>
  <c r="AP30" i="1"/>
  <c r="AO62" i="1"/>
  <c r="AP37" i="1"/>
  <c r="AO69" i="1"/>
  <c r="AO33" i="1"/>
  <c r="AN65" i="1"/>
  <c r="AP39" i="1"/>
  <c r="AO71" i="1"/>
  <c r="AP36" i="1"/>
  <c r="AO68" i="1"/>
  <c r="AO34" i="1"/>
  <c r="AN66" i="1"/>
  <c r="AO26" i="1"/>
  <c r="AN58" i="1"/>
  <c r="AP35" i="1"/>
  <c r="AO67" i="1"/>
  <c r="AP29" i="1"/>
  <c r="AO61" i="1"/>
  <c r="AP28" i="1"/>
  <c r="AO60" i="1"/>
  <c r="M224" i="1"/>
  <c r="M213" i="1"/>
  <c r="M210" i="1"/>
  <c r="L95" i="22" s="1"/>
  <c r="M221" i="1"/>
  <c r="L94" i="22" s="1"/>
  <c r="O209" i="1"/>
  <c r="O220" i="1"/>
  <c r="N223" i="1"/>
  <c r="N212" i="1"/>
  <c r="AQ35" i="1" l="1"/>
  <c r="AP67" i="1"/>
  <c r="AQ36" i="1"/>
  <c r="AP68" i="1"/>
  <c r="AQ30" i="1"/>
  <c r="AP62" i="1"/>
  <c r="AP26" i="1"/>
  <c r="AO58" i="1"/>
  <c r="AP33" i="1"/>
  <c r="AO65" i="1"/>
  <c r="AP31" i="1"/>
  <c r="AO63" i="1"/>
  <c r="AQ28" i="1"/>
  <c r="AP60" i="1"/>
  <c r="AQ29" i="1"/>
  <c r="AP61" i="1"/>
  <c r="AP38" i="1"/>
  <c r="AO70" i="1"/>
  <c r="AQ39" i="1"/>
  <c r="AP71" i="1"/>
  <c r="AP34" i="1"/>
  <c r="AO66" i="1"/>
  <c r="AQ37" i="1"/>
  <c r="AP69" i="1"/>
  <c r="N221" i="1"/>
  <c r="M94" i="22" s="1"/>
  <c r="N210" i="1"/>
  <c r="M95" i="22" s="1"/>
  <c r="O223" i="1"/>
  <c r="O212" i="1"/>
  <c r="P220" i="1"/>
  <c r="P209" i="1"/>
  <c r="N224" i="1"/>
  <c r="N213" i="1"/>
  <c r="AQ34" i="1" l="1"/>
  <c r="AP66" i="1"/>
  <c r="AQ26" i="1"/>
  <c r="AP58" i="1"/>
  <c r="AR39" i="1"/>
  <c r="AQ71" i="1"/>
  <c r="AR30" i="1"/>
  <c r="AQ62" i="1"/>
  <c r="AQ31" i="1"/>
  <c r="AP63" i="1"/>
  <c r="AQ38" i="1"/>
  <c r="AP70" i="1"/>
  <c r="AR36" i="1"/>
  <c r="AQ68" i="1"/>
  <c r="AR37" i="1"/>
  <c r="AQ69" i="1"/>
  <c r="AQ33" i="1"/>
  <c r="AP65" i="1"/>
  <c r="AR28" i="1"/>
  <c r="AQ60" i="1"/>
  <c r="AR35" i="1"/>
  <c r="AQ67" i="1"/>
  <c r="AR29" i="1"/>
  <c r="AQ61" i="1"/>
  <c r="O221" i="1"/>
  <c r="N94" i="22" s="1"/>
  <c r="O210" i="1"/>
  <c r="O213" i="1"/>
  <c r="O224" i="1"/>
  <c r="P223" i="1"/>
  <c r="P212" i="1"/>
  <c r="Q220" i="1"/>
  <c r="Q209" i="1"/>
  <c r="N95" i="22" l="1"/>
  <c r="AS30" i="1"/>
  <c r="AR62" i="1"/>
  <c r="AS36" i="1"/>
  <c r="AR68" i="1"/>
  <c r="AR38" i="1"/>
  <c r="AQ70" i="1"/>
  <c r="AS39" i="1"/>
  <c r="AR71" i="1"/>
  <c r="AS29" i="1"/>
  <c r="AR61" i="1"/>
  <c r="AS35" i="1"/>
  <c r="AR67" i="1"/>
  <c r="AR26" i="1"/>
  <c r="AQ58" i="1"/>
  <c r="AS37" i="1"/>
  <c r="AR69" i="1"/>
  <c r="AR31" i="1"/>
  <c r="AQ63" i="1"/>
  <c r="AS28" i="1"/>
  <c r="AR60" i="1"/>
  <c r="AR33" i="1"/>
  <c r="AQ65" i="1"/>
  <c r="AR34" i="1"/>
  <c r="AQ66" i="1"/>
  <c r="Q223" i="1"/>
  <c r="Q212" i="1"/>
  <c r="P221" i="1"/>
  <c r="P210" i="1"/>
  <c r="O95" i="22" s="1"/>
  <c r="P224" i="1"/>
  <c r="P213" i="1"/>
  <c r="O94" i="22" l="1"/>
  <c r="AS26" i="1"/>
  <c r="AR58" i="1"/>
  <c r="AS38" i="1"/>
  <c r="AR70" i="1"/>
  <c r="AT37" i="1"/>
  <c r="AS69" i="1"/>
  <c r="AT28" i="1"/>
  <c r="AS60" i="1"/>
  <c r="AT39" i="1"/>
  <c r="AS71" i="1"/>
  <c r="AS33" i="1"/>
  <c r="AR65" i="1"/>
  <c r="AS34" i="1"/>
  <c r="AR66" i="1"/>
  <c r="AT35" i="1"/>
  <c r="AS67" i="1"/>
  <c r="AS31" i="1"/>
  <c r="AR63" i="1"/>
  <c r="AT29" i="1"/>
  <c r="AS61" i="1"/>
  <c r="AT30" i="1"/>
  <c r="AS62" i="1"/>
  <c r="AT36" i="1"/>
  <c r="AS68" i="1"/>
  <c r="Q210" i="1"/>
  <c r="Q221" i="1"/>
  <c r="P94" i="22" s="1"/>
  <c r="Q224" i="1"/>
  <c r="Q213" i="1"/>
  <c r="R223" i="1"/>
  <c r="R212" i="1"/>
  <c r="P95" i="22" l="1"/>
  <c r="AU35" i="1"/>
  <c r="AT67" i="1"/>
  <c r="AU28" i="1"/>
  <c r="AT60" i="1"/>
  <c r="AU37" i="1"/>
  <c r="AT69" i="1"/>
  <c r="AU30" i="1"/>
  <c r="AT62" i="1"/>
  <c r="AU29" i="1"/>
  <c r="AT61" i="1"/>
  <c r="AT34" i="1"/>
  <c r="AS66" i="1"/>
  <c r="AT33" i="1"/>
  <c r="AS65" i="1"/>
  <c r="AT38" i="1"/>
  <c r="AS70" i="1"/>
  <c r="AU36" i="1"/>
  <c r="AT68" i="1"/>
  <c r="AT31" i="1"/>
  <c r="AS63" i="1"/>
  <c r="AU39" i="1"/>
  <c r="AT71" i="1"/>
  <c r="AT26" i="1"/>
  <c r="AS58" i="1"/>
  <c r="S223" i="1"/>
  <c r="S212" i="1"/>
  <c r="R221" i="1"/>
  <c r="Q94" i="22" s="1"/>
  <c r="R210" i="1"/>
  <c r="Q95" i="22" s="1"/>
  <c r="AU38" i="1" l="1"/>
  <c r="AT70" i="1"/>
  <c r="AU26" i="1"/>
  <c r="AT58" i="1"/>
  <c r="AV37" i="1"/>
  <c r="AU69" i="1"/>
  <c r="AU31" i="1"/>
  <c r="AT63" i="1"/>
  <c r="AU34" i="1"/>
  <c r="AT66" i="1"/>
  <c r="AV28" i="1"/>
  <c r="AU60" i="1"/>
  <c r="AU33" i="1"/>
  <c r="AT65" i="1"/>
  <c r="AV36" i="1"/>
  <c r="AU68" i="1"/>
  <c r="AV29" i="1"/>
  <c r="AU61" i="1"/>
  <c r="AV35" i="1"/>
  <c r="AU67" i="1"/>
  <c r="AV39" i="1"/>
  <c r="AU71" i="1"/>
  <c r="AV30" i="1"/>
  <c r="AU62" i="1"/>
  <c r="T223" i="1"/>
  <c r="T212" i="1"/>
  <c r="S221" i="1"/>
  <c r="R94" i="22" s="1"/>
  <c r="S210" i="1"/>
  <c r="R95" i="22" s="1"/>
  <c r="AV33" i="1" l="1"/>
  <c r="AU65" i="1"/>
  <c r="AW37" i="1"/>
  <c r="AV69" i="1"/>
  <c r="AV31" i="1"/>
  <c r="AU63" i="1"/>
  <c r="AW35" i="1"/>
  <c r="AV67" i="1"/>
  <c r="AV26" i="1"/>
  <c r="AU58" i="1"/>
  <c r="AW39" i="1"/>
  <c r="AV71" i="1"/>
  <c r="AW29" i="1"/>
  <c r="AV61" i="1"/>
  <c r="AV34" i="1"/>
  <c r="AU66" i="1"/>
  <c r="AW28" i="1"/>
  <c r="AV60" i="1"/>
  <c r="AW30" i="1"/>
  <c r="AV62" i="1"/>
  <c r="AW36" i="1"/>
  <c r="AV68" i="1"/>
  <c r="AV38" i="1"/>
  <c r="AU70" i="1"/>
  <c r="T221" i="1"/>
  <c r="S94" i="22" s="1"/>
  <c r="T210" i="1"/>
  <c r="S95" i="22" s="1"/>
  <c r="U223" i="1"/>
  <c r="U212" i="1"/>
  <c r="AW38" i="1" l="1"/>
  <c r="AV70" i="1"/>
  <c r="AX36" i="1"/>
  <c r="AW68" i="1"/>
  <c r="AW31" i="1"/>
  <c r="AV63" i="1"/>
  <c r="AX29" i="1"/>
  <c r="AW61" i="1"/>
  <c r="AX35" i="1"/>
  <c r="AX67" i="1" s="1"/>
  <c r="AW67" i="1"/>
  <c r="AX30" i="1"/>
  <c r="AW62" i="1"/>
  <c r="AX39" i="1"/>
  <c r="AW71" i="1"/>
  <c r="AX37" i="1"/>
  <c r="AX69" i="1" s="1"/>
  <c r="AW69" i="1"/>
  <c r="AW34" i="1"/>
  <c r="AV66" i="1"/>
  <c r="AX28" i="1"/>
  <c r="AW60" i="1"/>
  <c r="AW26" i="1"/>
  <c r="AV58" i="1"/>
  <c r="AW33" i="1"/>
  <c r="AV65" i="1"/>
  <c r="U221" i="1"/>
  <c r="T94" i="22" s="1"/>
  <c r="U210" i="1"/>
  <c r="T95" i="22" s="1"/>
  <c r="V223" i="1"/>
  <c r="V212" i="1"/>
  <c r="AY69" i="1" l="1"/>
  <c r="AY67" i="1"/>
  <c r="AX71" i="1"/>
  <c r="AY71" i="1" s="1"/>
  <c r="AX61" i="1"/>
  <c r="AY61" i="1" s="1"/>
  <c r="AX31" i="1"/>
  <c r="AW63" i="1"/>
  <c r="AX33" i="1"/>
  <c r="AX65" i="1" s="1"/>
  <c r="AW65" i="1"/>
  <c r="AX60" i="1"/>
  <c r="AY60" i="1" s="1"/>
  <c r="AX62" i="1"/>
  <c r="AY62" i="1" s="1"/>
  <c r="AX26" i="1"/>
  <c r="AW58" i="1"/>
  <c r="AX68" i="1"/>
  <c r="AY68" i="1" s="1"/>
  <c r="AX34" i="1"/>
  <c r="AW66" i="1"/>
  <c r="AX38" i="1"/>
  <c r="AW70" i="1"/>
  <c r="V221" i="1"/>
  <c r="U94" i="22" s="1"/>
  <c r="V210" i="1"/>
  <c r="U95" i="22" s="1"/>
  <c r="AY65" i="1" l="1"/>
  <c r="AX70" i="1"/>
  <c r="AY70" i="1" s="1"/>
  <c r="AX58" i="1"/>
  <c r="AY58" i="1" s="1"/>
  <c r="AX63" i="1"/>
  <c r="AY63" i="1" s="1"/>
  <c r="AX66" i="1"/>
  <c r="AY66" i="1" s="1"/>
  <c r="E4" i="1" l="1"/>
  <c r="E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low0" type="6" refreshedVersion="3" background="1" saveData="1">
    <textPr codePage="437" sourceFile="C:\Users\wangjie\Desktop\RoadSalt\Flow0.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Flow01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Flow0111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Flow01110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Flow01111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Flow01112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Flow01113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07000000}" name="Flow01114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0000000-0015-0000-FFFF-FFFF08000000}" name="Flow011141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9000000}" name="Flow0112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A000000}" name="Flow0113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B000000}" name="Flow0114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000000-0015-0000-FFFF-FFFF0C000000}" name="Flow0115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0000000-0015-0000-FFFF-FFFF0D000000}" name="Flow0116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00000000-0015-0000-FFFF-FFFF0E000000}" name="Flow0117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00000000-0015-0000-FFFF-FFFF0F000000}" name="Flow0118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00000000-0015-0000-FFFF-FFFF10000000}" name="Flow0119" type="6" refreshedVersion="3" background="1" saveData="1">
    <textPr codePage="437" sourceFile="C:\Users\wangjie\Desktop\RoadSalt\Flow0." space="1" consecutive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00000000-0015-0000-FFFF-FFFF11000000}" name="Flow1" type="6" refreshedVersion="3" background="1" saveData="1">
    <textPr codePage="437" sourceFile="C:\Users\wangjie\Desktop\RoadSalt\Flow1." space="1" consecutive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00000000-0015-0000-FFFF-FFFF12000000}" name="Flow11" type="6" refreshedVersion="3" background="1" saveData="1">
    <textPr codePage="437" sourceFile="C:\Users\wangjie\Desktop\RoadSalt\Flow1." space="1" consecutive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00000000-0015-0000-FFFF-FFFF13000000}" name="Flow21" type="6" refreshedVersion="3" background="1" saveData="1">
    <textPr codePage="437" sourceFile="C:\Users\wangjie\Desktop\RoadSalt\Flow2." space="1" consecutive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00000000-0015-0000-FFFF-FFFF14000000}" name="Flow3" type="6" refreshedVersion="3" background="1" saveData="1">
    <textPr codePage="437" sourceFile="C:\Users\wangjie\Desktop\RoadSalt\Flow3." space="1" consecutive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<sst xmlns="http://schemas.openxmlformats.org/spreadsheetml/2006/main" count="1349" uniqueCount="114">
  <si>
    <t>SourceID</t>
  </si>
  <si>
    <t>ARGT</t>
  </si>
  <si>
    <t>CRTH</t>
  </si>
  <si>
    <t>HASS</t>
  </si>
  <si>
    <t>JAFF</t>
  </si>
  <si>
    <t>MICH</t>
  </si>
  <si>
    <t>PRIN</t>
  </si>
  <si>
    <t>SCHY</t>
  </si>
  <si>
    <t>STFC</t>
  </si>
  <si>
    <t>StorID</t>
  </si>
  <si>
    <t>CJER</t>
  </si>
  <si>
    <t>HUDV</t>
  </si>
  <si>
    <t>NJER</t>
  </si>
  <si>
    <t>WTCT</t>
  </si>
  <si>
    <t>DEME</t>
  </si>
  <si>
    <t>NCMA</t>
  </si>
  <si>
    <t>SCST</t>
  </si>
  <si>
    <t>SEMA</t>
  </si>
  <si>
    <t>SONH</t>
  </si>
  <si>
    <t>OHIO</t>
  </si>
  <si>
    <t>WTMA</t>
  </si>
  <si>
    <t>BERK</t>
  </si>
  <si>
    <t>UVLY</t>
  </si>
  <si>
    <t>CTRI</t>
  </si>
  <si>
    <t>Product</t>
  </si>
  <si>
    <t>OriginID</t>
  </si>
  <si>
    <t>DestID</t>
  </si>
  <si>
    <t>HW</t>
  </si>
  <si>
    <t>SW</t>
  </si>
  <si>
    <t>Inventory at Buffer locations;</t>
  </si>
  <si>
    <t>regionID</t>
  </si>
  <si>
    <t>Min Avail</t>
  </si>
  <si>
    <t>Max Avail</t>
  </si>
  <si>
    <t>Product Costs, per ton each source, by month</t>
  </si>
  <si>
    <t>Available Volumes, each source, by month (tons)</t>
  </si>
  <si>
    <t>Total</t>
  </si>
  <si>
    <t>Cost/Mo</t>
  </si>
  <si>
    <t>Berkshire</t>
  </si>
  <si>
    <t>Central NJ</t>
  </si>
  <si>
    <t>East CT-RI</t>
  </si>
  <si>
    <t>Downeast ME</t>
  </si>
  <si>
    <t>Hudson Valley</t>
  </si>
  <si>
    <t>N-Central Mass</t>
  </si>
  <si>
    <t>North NJ</t>
  </si>
  <si>
    <t>Ohio</t>
  </si>
  <si>
    <t>MA-ME Seacoast</t>
  </si>
  <si>
    <t>SE Mass-RI</t>
  </si>
  <si>
    <t>NH South</t>
  </si>
  <si>
    <t>NH Upper Valley</t>
  </si>
  <si>
    <t>West CT</t>
  </si>
  <si>
    <t>West Mass</t>
  </si>
  <si>
    <t>Demand by Region in Tons, including % hardwood</t>
  </si>
  <si>
    <t>RegionID</t>
  </si>
  <si>
    <t>RegionName</t>
  </si>
  <si>
    <t>Hardwood</t>
  </si>
  <si>
    <t>Average Selling Price by Region</t>
  </si>
  <si>
    <t xml:space="preserve">Inventory Holding Cost at sources  </t>
  </si>
  <si>
    <t>Inventory Holding costs at regions</t>
  </si>
  <si>
    <t>Fulfilled demand</t>
  </si>
  <si>
    <t>Revenue</t>
  </si>
  <si>
    <t xml:space="preserve">Transportation Cost: Buffer to Storage </t>
  </si>
  <si>
    <t>LOWER BOUND</t>
  </si>
  <si>
    <t>UPPER BOUND</t>
  </si>
  <si>
    <t>Demand Forecast by Region in Tons</t>
  </si>
  <si>
    <t>Transportation Cost: Source to Storage</t>
  </si>
  <si>
    <t>Production cost</t>
  </si>
  <si>
    <t>Net profit</t>
  </si>
  <si>
    <t xml:space="preserve">demand muliplier </t>
  </si>
  <si>
    <t>Flow from source to buffer location</t>
  </si>
  <si>
    <t>Total cost</t>
  </si>
  <si>
    <t>Total Cost</t>
  </si>
  <si>
    <t>total cost</t>
  </si>
  <si>
    <t>Capacity (tons)</t>
  </si>
  <si>
    <t>Monthly Cost/Ton</t>
  </si>
  <si>
    <t xml:space="preserve">Cost/ton </t>
  </si>
  <si>
    <t xml:space="preserve"> Cost/ton </t>
  </si>
  <si>
    <t xml:space="preserve"> Cost/ton</t>
  </si>
  <si>
    <t>model inputs</t>
  </si>
  <si>
    <t>Yellow Cells</t>
  </si>
  <si>
    <t>Green Cells</t>
  </si>
  <si>
    <t>Tan Cells</t>
  </si>
  <si>
    <t>model decisions variables</t>
  </si>
  <si>
    <t>model intermediate variables,as determined by the decision variabiles and the inputs</t>
  </si>
  <si>
    <t xml:space="preserve">Mar 21 </t>
  </si>
  <si>
    <t xml:space="preserve">Apr 21 </t>
  </si>
  <si>
    <t xml:space="preserve">May 21 </t>
  </si>
  <si>
    <t xml:space="preserve">Jun 21 </t>
  </si>
  <si>
    <t xml:space="preserve">Jul 21 </t>
  </si>
  <si>
    <t xml:space="preserve">Aug 21 </t>
  </si>
  <si>
    <t xml:space="preserve">Sep 21 </t>
  </si>
  <si>
    <t xml:space="preserve">Oct 21 </t>
  </si>
  <si>
    <t xml:space="preserve">Nov 21 </t>
  </si>
  <si>
    <t xml:space="preserve">Dec 21 </t>
  </si>
  <si>
    <t xml:space="preserve">Mar 22 </t>
  </si>
  <si>
    <t>Jan 22</t>
  </si>
  <si>
    <t xml:space="preserve">Feb 22 </t>
  </si>
  <si>
    <t xml:space="preserve">Apr 22 </t>
  </si>
  <si>
    <t xml:space="preserve">May 22 </t>
  </si>
  <si>
    <t>Jun 22</t>
  </si>
  <si>
    <t>Jul 22</t>
  </si>
  <si>
    <t xml:space="preserve">Aug 22 </t>
  </si>
  <si>
    <t xml:space="preserve">Flow from source to depot storage points </t>
  </si>
  <si>
    <t xml:space="preserve">Flow from buffer locations to depot storage points </t>
  </si>
  <si>
    <t xml:space="preserve">Flow from depot storage points to demand regions </t>
  </si>
  <si>
    <t>Inventory at depot storage points</t>
  </si>
  <si>
    <t>Storage capacity</t>
  </si>
  <si>
    <t>Upper Bound</t>
  </si>
  <si>
    <t>Lower Bound</t>
  </si>
  <si>
    <t>Transshipment Cost: Storage to Region</t>
  </si>
  <si>
    <t>Capacity</t>
  </si>
  <si>
    <t>This Sheet takes the forecast by region (rows 7 - 20) and converts it into a forecast by type of wood (HW, SW), and inflates it by 5%, according to the WPD planning policy</t>
  </si>
  <si>
    <t>The final demand forecast (rows 28 to 55) is the demand forecast used in the planning model (rows 286 to 313 on Planning Model sheet)</t>
  </si>
  <si>
    <t>Procurement volumes</t>
  </si>
  <si>
    <t>Combined Inventory at depot storage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</si>
</sst>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[$-409]mmm\-yy;@"/>
    <numFmt numFmtId="165" formatCode="&quot;$&quot;#,##0.00"/>
    <numFmt numFmtId="166" formatCode="&quot;$&quot;#,##0"/>
    <numFmt numFmtId="167" formatCode="&quot;$&quot;#,##0.00;\(&quot;$&quot;#,##0.00\)"/>
  </numFmts>
  <fonts count="14" x14ac:knownFonts="1">
    <font>
      <sz val="11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11" fillId="0" borderId="0"/>
  </cellStyleXfs>
  <cellXfs count="76">
    <xf numFmtId="0" fontId="0" fillId="0" borderId="0" xfId="0"/>
    <xf numFmtId="1" fontId="0" fillId="0" borderId="0" xfId="0" applyNumberFormat="1"/>
    <xf numFmtId="164" fontId="1" fillId="0" borderId="0" xfId="0" applyNumberFormat="1" applyFont="1" applyAlignment="1">
      <alignment vertical="center"/>
    </xf>
    <xf numFmtId="0" fontId="0" fillId="0" borderId="0" xfId="0" applyFill="1"/>
    <xf numFmtId="0" fontId="0" fillId="3" borderId="0" xfId="0" applyFill="1"/>
    <xf numFmtId="1" fontId="0" fillId="3" borderId="0" xfId="0" applyNumberFormat="1" applyFill="1"/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3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49" fontId="5" fillId="0" borderId="0" xfId="1" applyNumberFormat="1" applyFont="1" applyAlignment="1">
      <alignment vertical="center"/>
    </xf>
    <xf numFmtId="3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3" fontId="1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9" fontId="5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0" applyFont="1" applyFill="1" applyAlignment="1">
      <alignment vertical="center"/>
    </xf>
    <xf numFmtId="166" fontId="1" fillId="0" borderId="2" xfId="1" applyNumberFormat="1" applyFont="1" applyBorder="1" applyAlignment="1">
      <alignment vertical="center"/>
    </xf>
    <xf numFmtId="166" fontId="1" fillId="0" borderId="0" xfId="1" applyNumberFormat="1" applyFont="1" applyAlignment="1">
      <alignment vertical="center"/>
    </xf>
    <xf numFmtId="166" fontId="0" fillId="0" borderId="0" xfId="0" applyNumberFormat="1"/>
    <xf numFmtId="2" fontId="0" fillId="0" borderId="0" xfId="0" applyNumberFormat="1"/>
    <xf numFmtId="3" fontId="5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1" fontId="0" fillId="2" borderId="0" xfId="0" applyNumberFormat="1" applyFill="1"/>
    <xf numFmtId="0" fontId="3" fillId="0" borderId="0" xfId="0" applyFont="1"/>
    <xf numFmtId="0" fontId="10" fillId="0" borderId="0" xfId="1" applyFont="1" applyFill="1" applyAlignment="1">
      <alignment vertical="center"/>
    </xf>
    <xf numFmtId="0" fontId="3" fillId="4" borderId="0" xfId="0" applyFont="1" applyFill="1"/>
    <xf numFmtId="166" fontId="3" fillId="4" borderId="0" xfId="0" applyNumberFormat="1" applyFont="1" applyFill="1"/>
    <xf numFmtId="0" fontId="12" fillId="4" borderId="0" xfId="2" applyFont="1" applyFill="1" applyBorder="1" applyAlignment="1"/>
    <xf numFmtId="4" fontId="5" fillId="2" borderId="0" xfId="0" applyNumberFormat="1" applyFont="1" applyFill="1" applyAlignment="1">
      <alignment vertical="center"/>
    </xf>
    <xf numFmtId="166" fontId="0" fillId="0" borderId="0" xfId="0" applyNumberFormat="1" applyFill="1"/>
    <xf numFmtId="3" fontId="9" fillId="0" borderId="0" xfId="1" applyNumberFormat="1" applyFont="1" applyAlignment="1">
      <alignment vertical="center"/>
    </xf>
    <xf numFmtId="0" fontId="6" fillId="4" borderId="0" xfId="1" applyFont="1" applyFill="1" applyAlignment="1">
      <alignment vertical="center"/>
    </xf>
    <xf numFmtId="0" fontId="2" fillId="0" borderId="0" xfId="0" applyFont="1"/>
    <xf numFmtId="166" fontId="2" fillId="0" borderId="0" xfId="0" applyNumberFormat="1" applyFont="1"/>
    <xf numFmtId="166" fontId="1" fillId="0" borderId="2" xfId="1" applyNumberFormat="1" applyFont="1" applyBorder="1" applyAlignment="1">
      <alignment vertical="center" wrapText="1"/>
    </xf>
    <xf numFmtId="164" fontId="1" fillId="0" borderId="0" xfId="0" applyNumberFormat="1" applyFont="1" applyFill="1" applyAlignment="1">
      <alignment vertical="center"/>
    </xf>
    <xf numFmtId="1" fontId="0" fillId="0" borderId="0" xfId="0" applyNumberFormat="1" applyFill="1"/>
    <xf numFmtId="0" fontId="0" fillId="0" borderId="0" xfId="0" applyAlignment="1">
      <alignment horizontal="right"/>
    </xf>
    <xf numFmtId="5" fontId="0" fillId="0" borderId="0" xfId="0" applyNumberFormat="1"/>
    <xf numFmtId="0" fontId="1" fillId="0" borderId="0" xfId="1" applyFont="1" applyAlignment="1">
      <alignment vertical="center" wrapText="1"/>
    </xf>
    <xf numFmtId="165" fontId="13" fillId="3" borderId="0" xfId="2" applyNumberFormat="1" applyFont="1" applyFill="1" applyBorder="1" applyAlignment="1">
      <alignment horizontal="right" wrapText="1"/>
    </xf>
    <xf numFmtId="165" fontId="13" fillId="3" borderId="2" xfId="2" applyNumberFormat="1" applyFont="1" applyFill="1" applyBorder="1" applyAlignment="1">
      <alignment horizontal="right" wrapText="1"/>
    </xf>
    <xf numFmtId="167" fontId="13" fillId="3" borderId="0" xfId="2" applyNumberFormat="1" applyFont="1" applyFill="1" applyBorder="1" applyAlignment="1">
      <alignment horizontal="right" wrapText="1"/>
    </xf>
    <xf numFmtId="165" fontId="10" fillId="3" borderId="2" xfId="1" applyNumberFormat="1" applyFont="1" applyFill="1" applyBorder="1" applyAlignment="1">
      <alignment vertical="center"/>
    </xf>
    <xf numFmtId="165" fontId="10" fillId="3" borderId="0" xfId="1" applyNumberFormat="1" applyFont="1" applyFill="1" applyBorder="1" applyAlignment="1">
      <alignment vertical="center"/>
    </xf>
    <xf numFmtId="165" fontId="10" fillId="3" borderId="0" xfId="1" applyNumberFormat="1" applyFont="1" applyFill="1" applyAlignment="1">
      <alignment vertical="center"/>
    </xf>
    <xf numFmtId="9" fontId="10" fillId="3" borderId="1" xfId="1" applyNumberFormat="1" applyFont="1" applyFill="1" applyBorder="1" applyAlignment="1">
      <alignment horizontal="center" vertical="center"/>
    </xf>
    <xf numFmtId="3" fontId="10" fillId="3" borderId="0" xfId="0" applyNumberFormat="1" applyFont="1" applyFill="1" applyAlignment="1">
      <alignment vertical="center"/>
    </xf>
    <xf numFmtId="166" fontId="10" fillId="3" borderId="0" xfId="0" applyNumberFormat="1" applyFont="1" applyFill="1" applyAlignment="1">
      <alignment vertical="center"/>
    </xf>
    <xf numFmtId="166" fontId="10" fillId="3" borderId="0" xfId="1" applyNumberFormat="1" applyFont="1" applyFill="1" applyAlignment="1">
      <alignment vertical="center"/>
    </xf>
    <xf numFmtId="2" fontId="10" fillId="3" borderId="0" xfId="0" applyNumberFormat="1" applyFont="1" applyFill="1" applyAlignment="1">
      <alignment vertical="center"/>
    </xf>
    <xf numFmtId="1" fontId="3" fillId="5" borderId="0" xfId="0" applyNumberFormat="1" applyFont="1" applyFill="1"/>
    <xf numFmtId="0" fontId="3" fillId="3" borderId="0" xfId="0" applyFont="1" applyFill="1"/>
    <xf numFmtId="0" fontId="3" fillId="5" borderId="0" xfId="0" applyFont="1" applyFill="1"/>
    <xf numFmtId="0" fontId="3" fillId="2" borderId="0" xfId="0" applyFont="1" applyFill="1"/>
    <xf numFmtId="49" fontId="1" fillId="0" borderId="0" xfId="0" applyNumberFormat="1" applyFont="1" applyAlignment="1">
      <alignment vertical="center"/>
    </xf>
    <xf numFmtId="3" fontId="0" fillId="0" borderId="0" xfId="0" applyNumberFormat="1"/>
    <xf numFmtId="0" fontId="3" fillId="0" borderId="0" xfId="0" applyFont="1" applyFill="1"/>
    <xf numFmtId="0" fontId="10" fillId="0" borderId="0" xfId="0" applyFont="1" applyAlignment="1">
      <alignment vertical="center"/>
    </xf>
    <xf numFmtId="3" fontId="5" fillId="3" borderId="0" xfId="1" applyNumberFormat="1" applyFont="1" applyFill="1" applyAlignment="1">
      <alignment horizontal="center" vertical="center"/>
    </xf>
    <xf numFmtId="4" fontId="5" fillId="3" borderId="0" xfId="1" applyNumberFormat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2" fontId="5" fillId="3" borderId="0" xfId="1" applyNumberFormat="1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_TransportSrc-Stor" xfId="2" xr:uid="{00000000-0005-0000-0000-000002000000}"/>
  </cellStyles>
  <dxfs count="4"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RegionalDemand!$C$57</c:f>
              <c:strCache>
                <c:ptCount val="1"/>
                <c:pt idx="0">
                  <c:v>HW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RegionalDemand!$D$56:$U$56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RegionalDemand!$D$57:$U$57</c:f>
              <c:numCache>
                <c:formatCode>0.00</c:formatCode>
                <c:ptCount val="18"/>
                <c:pt idx="0">
                  <c:v>298.05300000000005</c:v>
                </c:pt>
                <c:pt idx="1">
                  <c:v>730.84303687500005</c:v>
                </c:pt>
                <c:pt idx="2">
                  <c:v>1171.342029375</c:v>
                </c:pt>
                <c:pt idx="3">
                  <c:v>1844.8266375000003</c:v>
                </c:pt>
                <c:pt idx="4">
                  <c:v>2187.1589118749998</c:v>
                </c:pt>
                <c:pt idx="5">
                  <c:v>2162.4329868750001</c:v>
                </c:pt>
                <c:pt idx="6">
                  <c:v>2240.8712943750002</c:v>
                </c:pt>
                <c:pt idx="7">
                  <c:v>1851.2702381250003</c:v>
                </c:pt>
                <c:pt idx="8">
                  <c:v>905.72060250000004</c:v>
                </c:pt>
                <c:pt idx="9">
                  <c:v>704.59093687500001</c:v>
                </c:pt>
                <c:pt idx="10">
                  <c:v>587.28336187499997</c:v>
                </c:pt>
                <c:pt idx="11">
                  <c:v>471.33868950000004</c:v>
                </c:pt>
                <c:pt idx="12">
                  <c:v>448.02449999999999</c:v>
                </c:pt>
                <c:pt idx="13">
                  <c:v>1096.2645553125001</c:v>
                </c:pt>
                <c:pt idx="14">
                  <c:v>1752.2880440625001</c:v>
                </c:pt>
                <c:pt idx="15">
                  <c:v>2765.8224562500004</c:v>
                </c:pt>
                <c:pt idx="16">
                  <c:v>3275.5408678125009</c:v>
                </c:pt>
                <c:pt idx="17">
                  <c:v>3237.0344803124999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9-436C-B33F-D362FD6C1E78}"/>
            </c:ext>
          </c:extLst>
        </c:ser>
        <c:ser>
          <c:idx val="1"/>
          <c:order val="1"/>
          <c:tx>
            <c:strRef>
              <c:f>RegionalDemand!$C$58</c:f>
              <c:strCache>
                <c:ptCount val="1"/>
                <c:pt idx="0">
                  <c:v>SW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RegionalDemand!$D$56:$U$56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RegionalDemand!$D$58:$U$58</c:f>
              <c:numCache>
                <c:formatCode>0.00</c:formatCode>
                <c:ptCount val="18"/>
                <c:pt idx="0">
                  <c:v>1172.3670000000004</c:v>
                </c:pt>
                <c:pt idx="1">
                  <c:v>2949.8303756249998</c:v>
                </c:pt>
                <c:pt idx="2">
                  <c:v>4586.625658125</c:v>
                </c:pt>
                <c:pt idx="3">
                  <c:v>6879.7157624999991</c:v>
                </c:pt>
                <c:pt idx="4">
                  <c:v>8704.781150625</c:v>
                </c:pt>
                <c:pt idx="5">
                  <c:v>8918.1149006249998</c:v>
                </c:pt>
                <c:pt idx="6">
                  <c:v>9236.3970431250018</c:v>
                </c:pt>
                <c:pt idx="7">
                  <c:v>7609.1271243750016</c:v>
                </c:pt>
                <c:pt idx="8">
                  <c:v>3779.6413725000002</c:v>
                </c:pt>
                <c:pt idx="9">
                  <c:v>2660.419400625</c:v>
                </c:pt>
                <c:pt idx="10">
                  <c:v>2361.5017256250003</c:v>
                </c:pt>
                <c:pt idx="11">
                  <c:v>1902.8093805000001</c:v>
                </c:pt>
                <c:pt idx="12">
                  <c:v>1767.0554999999999</c:v>
                </c:pt>
                <c:pt idx="13">
                  <c:v>4424.7455634375001</c:v>
                </c:pt>
                <c:pt idx="14">
                  <c:v>6837.4134871874994</c:v>
                </c:pt>
                <c:pt idx="15">
                  <c:v>10306.816143750002</c:v>
                </c:pt>
                <c:pt idx="16">
                  <c:v>13010.394225937504</c:v>
                </c:pt>
                <c:pt idx="17">
                  <c:v>13317.637350937503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9-436C-B33F-D362FD6C1E78}"/>
            </c:ext>
          </c:extLst>
        </c:ser>
        <c:ser>
          <c:idx val="2"/>
          <c:order val="2"/>
          <c:tx>
            <c:strRef>
              <c:f>RegionalDemand!$C$59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RegionalDemand!$D$56:$U$56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RegionalDemand!$D$59:$U$59</c:f>
              <c:numCache>
                <c:formatCode>0.00</c:formatCode>
                <c:ptCount val="18"/>
                <c:pt idx="0">
                  <c:v>1470.4200000000005</c:v>
                </c:pt>
                <c:pt idx="1">
                  <c:v>3680.6734124999998</c:v>
                </c:pt>
                <c:pt idx="2">
                  <c:v>5757.9676875000005</c:v>
                </c:pt>
                <c:pt idx="3">
                  <c:v>8724.5423999999985</c:v>
                </c:pt>
                <c:pt idx="4">
                  <c:v>10891.9400625</c:v>
                </c:pt>
                <c:pt idx="5">
                  <c:v>11080.547887500001</c:v>
                </c:pt>
                <c:pt idx="6">
                  <c:v>11477.268337500002</c:v>
                </c:pt>
                <c:pt idx="7">
                  <c:v>9460.3973625000017</c:v>
                </c:pt>
                <c:pt idx="8">
                  <c:v>4685.3619749999998</c:v>
                </c:pt>
                <c:pt idx="9">
                  <c:v>3365.0103374999999</c:v>
                </c:pt>
                <c:pt idx="10">
                  <c:v>2948.7850875000004</c:v>
                </c:pt>
                <c:pt idx="11">
                  <c:v>2374.1480700000002</c:v>
                </c:pt>
                <c:pt idx="12">
                  <c:v>2215.08</c:v>
                </c:pt>
                <c:pt idx="13">
                  <c:v>5521.0101187500004</c:v>
                </c:pt>
                <c:pt idx="14">
                  <c:v>8589.7015312499989</c:v>
                </c:pt>
                <c:pt idx="15">
                  <c:v>13072.638600000002</c:v>
                </c:pt>
                <c:pt idx="16">
                  <c:v>16285.935093750004</c:v>
                </c:pt>
                <c:pt idx="17">
                  <c:v>16554.671831250002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39-436C-B33F-D362FD6C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825536"/>
        <c:axId val="488818648"/>
      </c:lineChart>
      <c:dateAx>
        <c:axId val="48882553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18648"/>
        <c:crosses val="autoZero"/>
        <c:auto val="1"/>
        <c:lblOffset val="100"/>
        <c:baseTimeUnit val="months"/>
      </c:dateAx>
      <c:valAx>
        <c:axId val="48881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2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RegionalDemand!$C$94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RegionalDemand!$D$93:$U$93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RegionalDemand!$D$94:$U$94</c:f>
              <c:numCache>
                <c:formatCode>#,##0</c:formatCode>
                <c:ptCount val="18"/>
                <c:pt idx="0">
                  <c:v>7980</c:v>
                </c:pt>
                <c:pt idx="1">
                  <c:v>7980</c:v>
                </c:pt>
                <c:pt idx="2">
                  <c:v>7480</c:v>
                </c:pt>
                <c:pt idx="3">
                  <c:v>7480</c:v>
                </c:pt>
                <c:pt idx="4">
                  <c:v>7480</c:v>
                </c:pt>
                <c:pt idx="5">
                  <c:v>7980</c:v>
                </c:pt>
                <c:pt idx="6">
                  <c:v>7980</c:v>
                </c:pt>
                <c:pt idx="7">
                  <c:v>7760</c:v>
                </c:pt>
                <c:pt idx="8">
                  <c:v>5235</c:v>
                </c:pt>
                <c:pt idx="9">
                  <c:v>4235</c:v>
                </c:pt>
                <c:pt idx="10">
                  <c:v>3535</c:v>
                </c:pt>
                <c:pt idx="11">
                  <c:v>3535</c:v>
                </c:pt>
                <c:pt idx="12">
                  <c:v>3975</c:v>
                </c:pt>
                <c:pt idx="13">
                  <c:v>10260</c:v>
                </c:pt>
                <c:pt idx="14">
                  <c:v>10260</c:v>
                </c:pt>
                <c:pt idx="15">
                  <c:v>10260</c:v>
                </c:pt>
                <c:pt idx="16">
                  <c:v>10260</c:v>
                </c:pt>
                <c:pt idx="17">
                  <c:v>10760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1-4DD9-B041-946927E927AB}"/>
            </c:ext>
          </c:extLst>
        </c:ser>
        <c:ser>
          <c:idx val="1"/>
          <c:order val="1"/>
          <c:tx>
            <c:strRef>
              <c:f>RegionalDemand!$C$95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RegionalDemand!$D$93:$U$93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RegionalDemand!$D$95:$U$95</c:f>
              <c:numCache>
                <c:formatCode>#,##0</c:formatCode>
                <c:ptCount val="18"/>
                <c:pt idx="0">
                  <c:v>5870</c:v>
                </c:pt>
                <c:pt idx="1">
                  <c:v>5870</c:v>
                </c:pt>
                <c:pt idx="2">
                  <c:v>5620</c:v>
                </c:pt>
                <c:pt idx="3">
                  <c:v>5620</c:v>
                </c:pt>
                <c:pt idx="4">
                  <c:v>5620</c:v>
                </c:pt>
                <c:pt idx="5">
                  <c:v>6070</c:v>
                </c:pt>
                <c:pt idx="6">
                  <c:v>6070</c:v>
                </c:pt>
                <c:pt idx="7">
                  <c:v>5890</c:v>
                </c:pt>
                <c:pt idx="8">
                  <c:v>3840</c:v>
                </c:pt>
                <c:pt idx="9">
                  <c:v>2940</c:v>
                </c:pt>
                <c:pt idx="10">
                  <c:v>2590</c:v>
                </c:pt>
                <c:pt idx="11">
                  <c:v>2590</c:v>
                </c:pt>
                <c:pt idx="12">
                  <c:v>2950</c:v>
                </c:pt>
                <c:pt idx="13">
                  <c:v>7625</c:v>
                </c:pt>
                <c:pt idx="14">
                  <c:v>7625</c:v>
                </c:pt>
                <c:pt idx="15">
                  <c:v>7625</c:v>
                </c:pt>
                <c:pt idx="16">
                  <c:v>7625</c:v>
                </c:pt>
                <c:pt idx="17">
                  <c:v>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1-4DD9-B041-946927E92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126672"/>
        <c:axId val="488127328"/>
      </c:lineChart>
      <c:dateAx>
        <c:axId val="48812667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27328"/>
        <c:crosses val="autoZero"/>
        <c:auto val="1"/>
        <c:lblOffset val="100"/>
        <c:baseTimeUnit val="months"/>
      </c:dateAx>
      <c:valAx>
        <c:axId val="4881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 versus Demand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RegionalDemand!$C$94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RegionalDemand!$D$93:$U$93</c:f>
              <c:numCache>
                <c:formatCode>[$-409]mmm\-yy;@</c:formatCode>
                <c:ptCount val="18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</c:numCache>
            </c:numRef>
          </c:cat>
          <c:val>
            <c:numRef>
              <c:f>RegionalDemand!$D$94:$U$94</c:f>
              <c:numCache>
                <c:formatCode>#,##0</c:formatCode>
                <c:ptCount val="18"/>
                <c:pt idx="0">
                  <c:v>7980</c:v>
                </c:pt>
                <c:pt idx="1">
                  <c:v>7980</c:v>
                </c:pt>
                <c:pt idx="2">
                  <c:v>7480</c:v>
                </c:pt>
                <c:pt idx="3">
                  <c:v>7480</c:v>
                </c:pt>
                <c:pt idx="4">
                  <c:v>7480</c:v>
                </c:pt>
                <c:pt idx="5">
                  <c:v>7980</c:v>
                </c:pt>
                <c:pt idx="6">
                  <c:v>7980</c:v>
                </c:pt>
                <c:pt idx="7">
                  <c:v>7760</c:v>
                </c:pt>
                <c:pt idx="8">
                  <c:v>5235</c:v>
                </c:pt>
                <c:pt idx="9">
                  <c:v>4235</c:v>
                </c:pt>
                <c:pt idx="10">
                  <c:v>3535</c:v>
                </c:pt>
                <c:pt idx="11">
                  <c:v>3535</c:v>
                </c:pt>
                <c:pt idx="12">
                  <c:v>3975</c:v>
                </c:pt>
                <c:pt idx="13">
                  <c:v>10260</c:v>
                </c:pt>
                <c:pt idx="14">
                  <c:v>10260</c:v>
                </c:pt>
                <c:pt idx="15">
                  <c:v>10260</c:v>
                </c:pt>
                <c:pt idx="16">
                  <c:v>10260</c:v>
                </c:pt>
                <c:pt idx="17">
                  <c:v>10760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7-45F4-A6D2-77B55DBAB8C3}"/>
            </c:ext>
          </c:extLst>
        </c:ser>
        <c:ser>
          <c:idx val="1"/>
          <c:order val="1"/>
          <c:tx>
            <c:v>Total 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RegionalDemand!$D$59:$U$59</c:f>
              <c:numCache>
                <c:formatCode>0.00</c:formatCode>
                <c:ptCount val="18"/>
                <c:pt idx="0">
                  <c:v>1470.4200000000005</c:v>
                </c:pt>
                <c:pt idx="1">
                  <c:v>3680.6734124999998</c:v>
                </c:pt>
                <c:pt idx="2">
                  <c:v>5757.9676875000005</c:v>
                </c:pt>
                <c:pt idx="3">
                  <c:v>8724.5423999999985</c:v>
                </c:pt>
                <c:pt idx="4">
                  <c:v>10891.9400625</c:v>
                </c:pt>
                <c:pt idx="5">
                  <c:v>11080.547887500001</c:v>
                </c:pt>
                <c:pt idx="6">
                  <c:v>11477.268337500002</c:v>
                </c:pt>
                <c:pt idx="7">
                  <c:v>9460.3973625000017</c:v>
                </c:pt>
                <c:pt idx="8">
                  <c:v>4685.3619749999998</c:v>
                </c:pt>
                <c:pt idx="9">
                  <c:v>3365.0103374999999</c:v>
                </c:pt>
                <c:pt idx="10">
                  <c:v>2948.7850875000004</c:v>
                </c:pt>
                <c:pt idx="11">
                  <c:v>2374.1480700000002</c:v>
                </c:pt>
                <c:pt idx="12">
                  <c:v>2215.08</c:v>
                </c:pt>
                <c:pt idx="13">
                  <c:v>5521.0101187500004</c:v>
                </c:pt>
                <c:pt idx="14">
                  <c:v>8589.7015312499989</c:v>
                </c:pt>
                <c:pt idx="15">
                  <c:v>13072.638600000002</c:v>
                </c:pt>
                <c:pt idx="16">
                  <c:v>16285.935093750004</c:v>
                </c:pt>
                <c:pt idx="17">
                  <c:v>16554.671831250002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7-45F4-A6D2-77B55DBAB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867352"/>
        <c:axId val="483876208"/>
      </c:lineChart>
      <c:dateAx>
        <c:axId val="48386735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76208"/>
        <c:crosses val="autoZero"/>
        <c:auto val="1"/>
        <c:lblOffset val="100"/>
        <c:baseTimeUnit val="months"/>
      </c:dateAx>
      <c:valAx>
        <c:axId val="4838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6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22</xdr:col>
      <xdr:colOff>0</xdr:colOff>
      <xdr:row>20</xdr:row>
      <xdr:rowOff>0</xdr:rowOff>
    </xdr:to>
    <xdr:sp macro="" textlink="">
      <xdr:nvSpPr>
        <xdr:cNvPr id="86" name="OpenSolver1">
          <a:extLst>
            <a:ext uri="{FF2B5EF4-FFF2-40B4-BE49-F238E27FC236}">
              <a16:creationId xmlns:a16="http://schemas.microsoft.com/office/drawing/2014/main" id="{A618579B-90FD-3A8B-18F1-0851580C179C}"/>
            </a:ext>
          </a:extLst>
        </xdr:cNvPr>
        <xdr:cNvSpPr/>
      </xdr:nvSpPr>
      <xdr:spPr>
        <a:xfrm>
          <a:off x="2946400" y="2476500"/>
          <a:ext cx="12141200" cy="1524000"/>
        </a:xfrm>
        <a:prstGeom prst="rect">
          <a:avLst/>
        </a:prstGeom>
        <a:solidFill>
          <a:srgbClr val="FF00FF">
            <a:alpha val="40000"/>
          </a:srgb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22</xdr:col>
      <xdr:colOff>0</xdr:colOff>
      <xdr:row>75</xdr:row>
      <xdr:rowOff>0</xdr:rowOff>
    </xdr:to>
    <xdr:sp macro="" textlink="">
      <xdr:nvSpPr>
        <xdr:cNvPr id="87" name="OpenSolver2">
          <a:extLst>
            <a:ext uri="{FF2B5EF4-FFF2-40B4-BE49-F238E27FC236}">
              <a16:creationId xmlns:a16="http://schemas.microsoft.com/office/drawing/2014/main" id="{737C4AE3-98C2-ECFA-87DB-5319F6E624E3}"/>
            </a:ext>
          </a:extLst>
        </xdr:cNvPr>
        <xdr:cNvSpPr/>
      </xdr:nvSpPr>
      <xdr:spPr>
        <a:xfrm>
          <a:off x="2946400" y="4953000"/>
          <a:ext cx="12141200" cy="9525000"/>
        </a:xfrm>
        <a:prstGeom prst="rect">
          <a:avLst/>
        </a:prstGeom>
        <a:solidFill>
          <a:srgbClr val="FF00FF">
            <a:alpha val="40000"/>
          </a:srgb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80</xdr:row>
      <xdr:rowOff>0</xdr:rowOff>
    </xdr:from>
    <xdr:to>
      <xdr:col>22</xdr:col>
      <xdr:colOff>0</xdr:colOff>
      <xdr:row>130</xdr:row>
      <xdr:rowOff>0</xdr:rowOff>
    </xdr:to>
    <xdr:sp macro="" textlink="">
      <xdr:nvSpPr>
        <xdr:cNvPr id="88" name="OpenSolver3">
          <a:extLst>
            <a:ext uri="{FF2B5EF4-FFF2-40B4-BE49-F238E27FC236}">
              <a16:creationId xmlns:a16="http://schemas.microsoft.com/office/drawing/2014/main" id="{994278A8-34F4-87F1-3F1C-F0DD2D173738}"/>
            </a:ext>
          </a:extLst>
        </xdr:cNvPr>
        <xdr:cNvSpPr/>
      </xdr:nvSpPr>
      <xdr:spPr>
        <a:xfrm>
          <a:off x="2946400" y="15430500"/>
          <a:ext cx="12141200" cy="9525000"/>
        </a:xfrm>
        <a:prstGeom prst="rect">
          <a:avLst/>
        </a:prstGeom>
        <a:solidFill>
          <a:srgbClr val="FF00FF">
            <a:alpha val="40000"/>
          </a:srgb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135</xdr:row>
      <xdr:rowOff>0</xdr:rowOff>
    </xdr:from>
    <xdr:to>
      <xdr:col>22</xdr:col>
      <xdr:colOff>0</xdr:colOff>
      <xdr:row>189</xdr:row>
      <xdr:rowOff>0</xdr:rowOff>
    </xdr:to>
    <xdr:sp macro="" textlink="">
      <xdr:nvSpPr>
        <xdr:cNvPr id="89" name="OpenSolver4">
          <a:extLst>
            <a:ext uri="{FF2B5EF4-FFF2-40B4-BE49-F238E27FC236}">
              <a16:creationId xmlns:a16="http://schemas.microsoft.com/office/drawing/2014/main" id="{7503CCB9-32A8-D4FE-5064-A8E546C5E305}"/>
            </a:ext>
          </a:extLst>
        </xdr:cNvPr>
        <xdr:cNvSpPr/>
      </xdr:nvSpPr>
      <xdr:spPr>
        <a:xfrm>
          <a:off x="2946400" y="25908000"/>
          <a:ext cx="12141200" cy="10287000"/>
        </a:xfrm>
        <a:prstGeom prst="rect">
          <a:avLst/>
        </a:prstGeom>
        <a:solidFill>
          <a:srgbClr val="FF00FF">
            <a:alpha val="40000"/>
          </a:srgbClr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0" name="OpenSolver5">
          <a:extLst>
            <a:ext uri="{FF2B5EF4-FFF2-40B4-BE49-F238E27FC236}">
              <a16:creationId xmlns:a16="http://schemas.microsoft.com/office/drawing/2014/main" id="{4489C3F0-1196-78DB-68B2-213C32D44EEC}"/>
            </a:ext>
          </a:extLst>
        </xdr:cNvPr>
        <xdr:cNvSpPr/>
      </xdr:nvSpPr>
      <xdr:spPr>
        <a:xfrm>
          <a:off x="2946400" y="1524000"/>
          <a:ext cx="9779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825500</xdr:colOff>
      <xdr:row>7</xdr:row>
      <xdr:rowOff>114300</xdr:rowOff>
    </xdr:from>
    <xdr:to>
      <xdr:col>4</xdr:col>
      <xdr:colOff>236535</xdr:colOff>
      <xdr:row>8</xdr:row>
      <xdr:rowOff>50800</xdr:rowOff>
    </xdr:to>
    <xdr:sp macro="" textlink="">
      <xdr:nvSpPr>
        <xdr:cNvPr id="91" name="OpenSolver6">
          <a:extLst>
            <a:ext uri="{FF2B5EF4-FFF2-40B4-BE49-F238E27FC236}">
              <a16:creationId xmlns:a16="http://schemas.microsoft.com/office/drawing/2014/main" id="{23466A28-0D76-472C-D0BE-6A65EB7FD7DB}"/>
            </a:ext>
          </a:extLst>
        </xdr:cNvPr>
        <xdr:cNvSpPr/>
      </xdr:nvSpPr>
      <xdr:spPr>
        <a:xfrm>
          <a:off x="2933700" y="14478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32</xdr:col>
      <xdr:colOff>0</xdr:colOff>
      <xdr:row>12</xdr:row>
      <xdr:rowOff>0</xdr:rowOff>
    </xdr:from>
    <xdr:to>
      <xdr:col>50</xdr:col>
      <xdr:colOff>0</xdr:colOff>
      <xdr:row>20</xdr:row>
      <xdr:rowOff>0</xdr:rowOff>
    </xdr:to>
    <xdr:sp macro="" textlink="">
      <xdr:nvSpPr>
        <xdr:cNvPr id="92" name="OpenSolverAG13:AX20">
          <a:extLst>
            <a:ext uri="{FF2B5EF4-FFF2-40B4-BE49-F238E27FC236}">
              <a16:creationId xmlns:a16="http://schemas.microsoft.com/office/drawing/2014/main" id="{36990FC0-4C89-63B0-31F6-FE0FEBB77903}"/>
            </a:ext>
          </a:extLst>
        </xdr:cNvPr>
        <xdr:cNvSpPr/>
      </xdr:nvSpPr>
      <xdr:spPr>
        <a:xfrm>
          <a:off x="22212300" y="2476500"/>
          <a:ext cx="12115800" cy="1524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0≤</a:t>
          </a:r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22</xdr:col>
      <xdr:colOff>0</xdr:colOff>
      <xdr:row>313</xdr:row>
      <xdr:rowOff>0</xdr:rowOff>
    </xdr:to>
    <xdr:sp macro="" textlink="">
      <xdr:nvSpPr>
        <xdr:cNvPr id="93" name="OpenSolver8">
          <a:extLst>
            <a:ext uri="{FF2B5EF4-FFF2-40B4-BE49-F238E27FC236}">
              <a16:creationId xmlns:a16="http://schemas.microsoft.com/office/drawing/2014/main" id="{B3B4227C-DC63-1FC7-D937-67202C44B1E1}"/>
            </a:ext>
          </a:extLst>
        </xdr:cNvPr>
        <xdr:cNvSpPr/>
      </xdr:nvSpPr>
      <xdr:spPr>
        <a:xfrm>
          <a:off x="2946400" y="54495700"/>
          <a:ext cx="12141200" cy="5334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4</xdr:col>
      <xdr:colOff>0</xdr:colOff>
      <xdr:row>316</xdr:row>
      <xdr:rowOff>0</xdr:rowOff>
    </xdr:from>
    <xdr:to>
      <xdr:col>22</xdr:col>
      <xdr:colOff>0</xdr:colOff>
      <xdr:row>344</xdr:row>
      <xdr:rowOff>0</xdr:rowOff>
    </xdr:to>
    <xdr:sp macro="" textlink="">
      <xdr:nvSpPr>
        <xdr:cNvPr id="94" name="OpenSolver9">
          <a:extLst>
            <a:ext uri="{FF2B5EF4-FFF2-40B4-BE49-F238E27FC236}">
              <a16:creationId xmlns:a16="http://schemas.microsoft.com/office/drawing/2014/main" id="{977AA22D-6F23-A611-AC71-09664FEBAE49}"/>
            </a:ext>
          </a:extLst>
        </xdr:cNvPr>
        <xdr:cNvSpPr/>
      </xdr:nvSpPr>
      <xdr:spPr>
        <a:xfrm>
          <a:off x="2946400" y="60401200"/>
          <a:ext cx="12141200" cy="5334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13</xdr:col>
      <xdr:colOff>88900</xdr:colOff>
      <xdr:row>313</xdr:row>
      <xdr:rowOff>0</xdr:rowOff>
    </xdr:from>
    <xdr:to>
      <xdr:col>13</xdr:col>
      <xdr:colOff>88900</xdr:colOff>
      <xdr:row>316</xdr:row>
      <xdr:rowOff>0</xdr:rowOff>
    </xdr:to>
    <xdr:cxnSp macro="">
      <xdr:nvCxnSpPr>
        <xdr:cNvPr id="95" name="OpenSolver10">
          <a:extLst>
            <a:ext uri="{FF2B5EF4-FFF2-40B4-BE49-F238E27FC236}">
              <a16:creationId xmlns:a16="http://schemas.microsoft.com/office/drawing/2014/main" id="{110855B7-8C95-1685-CBAD-EE7045AEAB95}"/>
            </a:ext>
          </a:extLst>
        </xdr:cNvPr>
        <xdr:cNvCxnSpPr>
          <a:stCxn id="93" idx="2"/>
          <a:endCxn id="94" idx="0"/>
        </xdr:cNvCxnSpPr>
      </xdr:nvCxnSpPr>
      <xdr:spPr>
        <a:xfrm>
          <a:off x="9017000" y="59829700"/>
          <a:ext cx="0" cy="57150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313</xdr:row>
      <xdr:rowOff>158750</xdr:rowOff>
    </xdr:from>
    <xdr:to>
      <xdr:col>13</xdr:col>
      <xdr:colOff>279400</xdr:colOff>
      <xdr:row>315</xdr:row>
      <xdr:rowOff>31750</xdr:rowOff>
    </xdr:to>
    <xdr:sp macro="" textlink="">
      <xdr:nvSpPr>
        <xdr:cNvPr id="96" name="OpenSolver11">
          <a:extLst>
            <a:ext uri="{FF2B5EF4-FFF2-40B4-BE49-F238E27FC236}">
              <a16:creationId xmlns:a16="http://schemas.microsoft.com/office/drawing/2014/main" id="{693BBC7C-2809-C9DD-5642-29DD4D74B572}"/>
            </a:ext>
          </a:extLst>
        </xdr:cNvPr>
        <xdr:cNvSpPr/>
      </xdr:nvSpPr>
      <xdr:spPr>
        <a:xfrm>
          <a:off x="8826500" y="59988450"/>
          <a:ext cx="38100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22</xdr:col>
      <xdr:colOff>0</xdr:colOff>
      <xdr:row>226</xdr:row>
      <xdr:rowOff>0</xdr:rowOff>
    </xdr:to>
    <xdr:sp macro="" textlink="">
      <xdr:nvSpPr>
        <xdr:cNvPr id="97" name="OpenSolver12">
          <a:extLst>
            <a:ext uri="{FF2B5EF4-FFF2-40B4-BE49-F238E27FC236}">
              <a16:creationId xmlns:a16="http://schemas.microsoft.com/office/drawing/2014/main" id="{789976CB-55AC-D534-0E52-4E419F1943CE}"/>
            </a:ext>
          </a:extLst>
        </xdr:cNvPr>
        <xdr:cNvSpPr/>
      </xdr:nvSpPr>
      <xdr:spPr>
        <a:xfrm>
          <a:off x="2946400" y="41719500"/>
          <a:ext cx="12141200" cy="1524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22</xdr:col>
      <xdr:colOff>0</xdr:colOff>
      <xdr:row>248</xdr:row>
      <xdr:rowOff>0</xdr:rowOff>
    </xdr:to>
    <xdr:sp macro="" textlink="">
      <xdr:nvSpPr>
        <xdr:cNvPr id="98" name="OpenSolver13">
          <a:extLst>
            <a:ext uri="{FF2B5EF4-FFF2-40B4-BE49-F238E27FC236}">
              <a16:creationId xmlns:a16="http://schemas.microsoft.com/office/drawing/2014/main" id="{F2B221A7-FDBB-2F62-1594-6B96B5F69B30}"/>
            </a:ext>
          </a:extLst>
        </xdr:cNvPr>
        <xdr:cNvSpPr/>
      </xdr:nvSpPr>
      <xdr:spPr>
        <a:xfrm>
          <a:off x="2946400" y="45910500"/>
          <a:ext cx="12141200" cy="1524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13</xdr:col>
      <xdr:colOff>88900</xdr:colOff>
      <xdr:row>226</xdr:row>
      <xdr:rowOff>0</xdr:rowOff>
    </xdr:from>
    <xdr:to>
      <xdr:col>13</xdr:col>
      <xdr:colOff>88900</xdr:colOff>
      <xdr:row>240</xdr:row>
      <xdr:rowOff>0</xdr:rowOff>
    </xdr:to>
    <xdr:cxnSp macro="">
      <xdr:nvCxnSpPr>
        <xdr:cNvPr id="99" name="OpenSolver14">
          <a:extLst>
            <a:ext uri="{FF2B5EF4-FFF2-40B4-BE49-F238E27FC236}">
              <a16:creationId xmlns:a16="http://schemas.microsoft.com/office/drawing/2014/main" id="{E799FBAF-7464-AF9F-C2C3-2059E7A3B43D}"/>
            </a:ext>
          </a:extLst>
        </xdr:cNvPr>
        <xdr:cNvCxnSpPr>
          <a:stCxn id="97" idx="2"/>
          <a:endCxn id="98" idx="0"/>
        </xdr:cNvCxnSpPr>
      </xdr:nvCxnSpPr>
      <xdr:spPr>
        <a:xfrm>
          <a:off x="9017000" y="43243500"/>
          <a:ext cx="0" cy="266700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232</xdr:row>
      <xdr:rowOff>63500</xdr:rowOff>
    </xdr:from>
    <xdr:to>
      <xdr:col>13</xdr:col>
      <xdr:colOff>279400</xdr:colOff>
      <xdr:row>233</xdr:row>
      <xdr:rowOff>127000</xdr:rowOff>
    </xdr:to>
    <xdr:sp macro="" textlink="">
      <xdr:nvSpPr>
        <xdr:cNvPr id="100" name="OpenSolver15">
          <a:extLst>
            <a:ext uri="{FF2B5EF4-FFF2-40B4-BE49-F238E27FC236}">
              <a16:creationId xmlns:a16="http://schemas.microsoft.com/office/drawing/2014/main" id="{8E10C8BE-4BF9-FAF4-B75D-710957FFB0B4}"/>
            </a:ext>
          </a:extLst>
        </xdr:cNvPr>
        <xdr:cNvSpPr/>
      </xdr:nvSpPr>
      <xdr:spPr>
        <a:xfrm>
          <a:off x="8826500" y="44450000"/>
          <a:ext cx="38100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25</xdr:row>
      <xdr:rowOff>0</xdr:rowOff>
    </xdr:from>
    <xdr:to>
      <xdr:col>50</xdr:col>
      <xdr:colOff>0</xdr:colOff>
      <xdr:row>53</xdr:row>
      <xdr:rowOff>0</xdr:rowOff>
    </xdr:to>
    <xdr:sp macro="" textlink="">
      <xdr:nvSpPr>
        <xdr:cNvPr id="101" name="OpenSolverAG26:AX53">
          <a:extLst>
            <a:ext uri="{FF2B5EF4-FFF2-40B4-BE49-F238E27FC236}">
              <a16:creationId xmlns:a16="http://schemas.microsoft.com/office/drawing/2014/main" id="{82D4BFCB-DABE-CD1F-1810-1F084AFC4DA0}"/>
            </a:ext>
          </a:extLst>
        </xdr:cNvPr>
        <xdr:cNvSpPr/>
      </xdr:nvSpPr>
      <xdr:spPr>
        <a:xfrm>
          <a:off x="22212300" y="4953000"/>
          <a:ext cx="12115800" cy="53340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0≤</a:t>
          </a:r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22</xdr:col>
      <xdr:colOff>0</xdr:colOff>
      <xdr:row>215</xdr:row>
      <xdr:rowOff>0</xdr:rowOff>
    </xdr:to>
    <xdr:sp macro="" textlink="">
      <xdr:nvSpPr>
        <xdr:cNvPr id="102" name="OpenSolver17">
          <a:extLst>
            <a:ext uri="{FF2B5EF4-FFF2-40B4-BE49-F238E27FC236}">
              <a16:creationId xmlns:a16="http://schemas.microsoft.com/office/drawing/2014/main" id="{52186BF9-AAAD-1271-E8DF-53D742BA494C}"/>
            </a:ext>
          </a:extLst>
        </xdr:cNvPr>
        <xdr:cNvSpPr/>
      </xdr:nvSpPr>
      <xdr:spPr>
        <a:xfrm>
          <a:off x="2946400" y="39624000"/>
          <a:ext cx="12141200" cy="15240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4</xdr:col>
      <xdr:colOff>12700</xdr:colOff>
      <xdr:row>240</xdr:row>
      <xdr:rowOff>12700</xdr:rowOff>
    </xdr:from>
    <xdr:to>
      <xdr:col>22</xdr:col>
      <xdr:colOff>0</xdr:colOff>
      <xdr:row>248</xdr:row>
      <xdr:rowOff>0</xdr:rowOff>
    </xdr:to>
    <xdr:sp macro="" textlink="">
      <xdr:nvSpPr>
        <xdr:cNvPr id="103" name="OpenSolver18">
          <a:extLst>
            <a:ext uri="{FF2B5EF4-FFF2-40B4-BE49-F238E27FC236}">
              <a16:creationId xmlns:a16="http://schemas.microsoft.com/office/drawing/2014/main" id="{05270424-0E8A-6988-F37F-7542AAC43B2C}"/>
            </a:ext>
          </a:extLst>
        </xdr:cNvPr>
        <xdr:cNvSpPr/>
      </xdr:nvSpPr>
      <xdr:spPr>
        <a:xfrm>
          <a:off x="2959100" y="45923200"/>
          <a:ext cx="12128500" cy="15113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≤</a:t>
          </a:r>
        </a:p>
      </xdr:txBody>
    </xdr:sp>
    <xdr:clientData/>
  </xdr:twoCellAnchor>
  <xdr:twoCellAnchor>
    <xdr:from>
      <xdr:col>13</xdr:col>
      <xdr:colOff>88900</xdr:colOff>
      <xdr:row>215</xdr:row>
      <xdr:rowOff>0</xdr:rowOff>
    </xdr:from>
    <xdr:to>
      <xdr:col>13</xdr:col>
      <xdr:colOff>95250</xdr:colOff>
      <xdr:row>240</xdr:row>
      <xdr:rowOff>12700</xdr:rowOff>
    </xdr:to>
    <xdr:cxnSp macro="">
      <xdr:nvCxnSpPr>
        <xdr:cNvPr id="104" name="OpenSolver19">
          <a:extLst>
            <a:ext uri="{FF2B5EF4-FFF2-40B4-BE49-F238E27FC236}">
              <a16:creationId xmlns:a16="http://schemas.microsoft.com/office/drawing/2014/main" id="{54AC7387-A9E7-EBC3-17FB-E25A316C8F3E}"/>
            </a:ext>
          </a:extLst>
        </xdr:cNvPr>
        <xdr:cNvCxnSpPr>
          <a:stCxn id="102" idx="2"/>
          <a:endCxn id="103" idx="0"/>
        </xdr:cNvCxnSpPr>
      </xdr:nvCxnSpPr>
      <xdr:spPr>
        <a:xfrm>
          <a:off x="9017000" y="41148000"/>
          <a:ext cx="6350" cy="477520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574675</xdr:colOff>
      <xdr:row>226</xdr:row>
      <xdr:rowOff>165100</xdr:rowOff>
    </xdr:from>
    <xdr:to>
      <xdr:col>13</xdr:col>
      <xdr:colOff>282575</xdr:colOff>
      <xdr:row>228</xdr:row>
      <xdr:rowOff>38100</xdr:rowOff>
    </xdr:to>
    <xdr:sp macro="" textlink="">
      <xdr:nvSpPr>
        <xdr:cNvPr id="105" name="OpenSolver20">
          <a:extLst>
            <a:ext uri="{FF2B5EF4-FFF2-40B4-BE49-F238E27FC236}">
              <a16:creationId xmlns:a16="http://schemas.microsoft.com/office/drawing/2014/main" id="{8960102B-B038-EFC7-9463-35B74E43A79C}"/>
            </a:ext>
          </a:extLst>
        </xdr:cNvPr>
        <xdr:cNvSpPr/>
      </xdr:nvSpPr>
      <xdr:spPr>
        <a:xfrm>
          <a:off x="8829675" y="43408600"/>
          <a:ext cx="38100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12700</xdr:colOff>
      <xdr:row>12</xdr:row>
      <xdr:rowOff>12700</xdr:rowOff>
    </xdr:from>
    <xdr:to>
      <xdr:col>50</xdr:col>
      <xdr:colOff>0</xdr:colOff>
      <xdr:row>20</xdr:row>
      <xdr:rowOff>0</xdr:rowOff>
    </xdr:to>
    <xdr:sp macro="" textlink="">
      <xdr:nvSpPr>
        <xdr:cNvPr id="106" name="OpenSolver21">
          <a:extLst>
            <a:ext uri="{FF2B5EF4-FFF2-40B4-BE49-F238E27FC236}">
              <a16:creationId xmlns:a16="http://schemas.microsoft.com/office/drawing/2014/main" id="{C794A309-92E3-17A4-898F-F486D9CE3EF3}"/>
            </a:ext>
          </a:extLst>
        </xdr:cNvPr>
        <xdr:cNvSpPr/>
      </xdr:nvSpPr>
      <xdr:spPr>
        <a:xfrm>
          <a:off x="22225000" y="2489200"/>
          <a:ext cx="12103100" cy="15113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0</xdr:colOff>
      <xdr:row>82</xdr:row>
      <xdr:rowOff>0</xdr:rowOff>
    </xdr:from>
    <xdr:to>
      <xdr:col>50</xdr:col>
      <xdr:colOff>0</xdr:colOff>
      <xdr:row>90</xdr:row>
      <xdr:rowOff>0</xdr:rowOff>
    </xdr:to>
    <xdr:sp macro="" textlink="">
      <xdr:nvSpPr>
        <xdr:cNvPr id="107" name="OpenSolver22">
          <a:extLst>
            <a:ext uri="{FF2B5EF4-FFF2-40B4-BE49-F238E27FC236}">
              <a16:creationId xmlns:a16="http://schemas.microsoft.com/office/drawing/2014/main" id="{90DB0B4E-F2FA-DBC2-3EC1-2DA0354A55A4}"/>
            </a:ext>
          </a:extLst>
        </xdr:cNvPr>
        <xdr:cNvSpPr/>
      </xdr:nvSpPr>
      <xdr:spPr>
        <a:xfrm>
          <a:off x="22212300" y="15811500"/>
          <a:ext cx="12115800" cy="15240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41</xdr:col>
      <xdr:colOff>0</xdr:colOff>
      <xdr:row>20</xdr:row>
      <xdr:rowOff>0</xdr:rowOff>
    </xdr:from>
    <xdr:to>
      <xdr:col>41</xdr:col>
      <xdr:colOff>6350</xdr:colOff>
      <xdr:row>82</xdr:row>
      <xdr:rowOff>0</xdr:rowOff>
    </xdr:to>
    <xdr:cxnSp macro="">
      <xdr:nvCxnSpPr>
        <xdr:cNvPr id="108" name="OpenSolver23">
          <a:extLst>
            <a:ext uri="{FF2B5EF4-FFF2-40B4-BE49-F238E27FC236}">
              <a16:creationId xmlns:a16="http://schemas.microsoft.com/office/drawing/2014/main" id="{EDD98E98-D88E-C988-BB1F-DDA929F6F497}"/>
            </a:ext>
          </a:extLst>
        </xdr:cNvPr>
        <xdr:cNvCxnSpPr>
          <a:stCxn id="106" idx="2"/>
          <a:endCxn id="107" idx="0"/>
        </xdr:cNvCxnSpPr>
      </xdr:nvCxnSpPr>
      <xdr:spPr>
        <a:xfrm flipH="1">
          <a:off x="28270200" y="4000500"/>
          <a:ext cx="6350" cy="1181100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485775</xdr:colOff>
      <xdr:row>50</xdr:row>
      <xdr:rowOff>63500</xdr:rowOff>
    </xdr:from>
    <xdr:to>
      <xdr:col>41</xdr:col>
      <xdr:colOff>193675</xdr:colOff>
      <xdr:row>51</xdr:row>
      <xdr:rowOff>127000</xdr:rowOff>
    </xdr:to>
    <xdr:sp macro="" textlink="">
      <xdr:nvSpPr>
        <xdr:cNvPr id="109" name="OpenSolver24">
          <a:extLst>
            <a:ext uri="{FF2B5EF4-FFF2-40B4-BE49-F238E27FC236}">
              <a16:creationId xmlns:a16="http://schemas.microsoft.com/office/drawing/2014/main" id="{A2ECCF62-CC2A-E8A0-D41A-72D48B3A9A55}"/>
            </a:ext>
          </a:extLst>
        </xdr:cNvPr>
        <xdr:cNvSpPr/>
      </xdr:nvSpPr>
      <xdr:spPr>
        <a:xfrm>
          <a:off x="28082875" y="9779000"/>
          <a:ext cx="38100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57</xdr:row>
      <xdr:rowOff>0</xdr:rowOff>
    </xdr:from>
    <xdr:to>
      <xdr:col>50</xdr:col>
      <xdr:colOff>0</xdr:colOff>
      <xdr:row>71</xdr:row>
      <xdr:rowOff>0</xdr:rowOff>
    </xdr:to>
    <xdr:sp macro="" textlink="">
      <xdr:nvSpPr>
        <xdr:cNvPr id="110" name="OpenSolver25">
          <a:extLst>
            <a:ext uri="{FF2B5EF4-FFF2-40B4-BE49-F238E27FC236}">
              <a16:creationId xmlns:a16="http://schemas.microsoft.com/office/drawing/2014/main" id="{62E00711-7876-93BB-79D7-D3C89ED84262}"/>
            </a:ext>
          </a:extLst>
        </xdr:cNvPr>
        <xdr:cNvSpPr/>
      </xdr:nvSpPr>
      <xdr:spPr>
        <a:xfrm>
          <a:off x="22212300" y="11049000"/>
          <a:ext cx="12115800" cy="26670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32</xdr:col>
      <xdr:colOff>0</xdr:colOff>
      <xdr:row>94</xdr:row>
      <xdr:rowOff>0</xdr:rowOff>
    </xdr:from>
    <xdr:to>
      <xdr:col>50</xdr:col>
      <xdr:colOff>0</xdr:colOff>
      <xdr:row>108</xdr:row>
      <xdr:rowOff>0</xdr:rowOff>
    </xdr:to>
    <xdr:sp macro="" textlink="">
      <xdr:nvSpPr>
        <xdr:cNvPr id="111" name="OpenSolver26">
          <a:extLst>
            <a:ext uri="{FF2B5EF4-FFF2-40B4-BE49-F238E27FC236}">
              <a16:creationId xmlns:a16="http://schemas.microsoft.com/office/drawing/2014/main" id="{E2D0E09E-C19B-40FE-1B43-948EE929F73B}"/>
            </a:ext>
          </a:extLst>
        </xdr:cNvPr>
        <xdr:cNvSpPr/>
      </xdr:nvSpPr>
      <xdr:spPr>
        <a:xfrm>
          <a:off x="22212300" y="18097500"/>
          <a:ext cx="12115800" cy="26670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CC0099"/>
              </a:solidFill>
            </a:rPr>
            <a:t>≤</a:t>
          </a:r>
        </a:p>
      </xdr:txBody>
    </xdr:sp>
    <xdr:clientData/>
  </xdr:twoCellAnchor>
  <xdr:twoCellAnchor>
    <xdr:from>
      <xdr:col>41</xdr:col>
      <xdr:colOff>0</xdr:colOff>
      <xdr:row>71</xdr:row>
      <xdr:rowOff>0</xdr:rowOff>
    </xdr:from>
    <xdr:to>
      <xdr:col>41</xdr:col>
      <xdr:colOff>0</xdr:colOff>
      <xdr:row>94</xdr:row>
      <xdr:rowOff>0</xdr:rowOff>
    </xdr:to>
    <xdr:cxnSp macro="">
      <xdr:nvCxnSpPr>
        <xdr:cNvPr id="112" name="OpenSolver27">
          <a:extLst>
            <a:ext uri="{FF2B5EF4-FFF2-40B4-BE49-F238E27FC236}">
              <a16:creationId xmlns:a16="http://schemas.microsoft.com/office/drawing/2014/main" id="{B4FBD684-A09C-CBF3-51D3-AE16EB19D013}"/>
            </a:ext>
          </a:extLst>
        </xdr:cNvPr>
        <xdr:cNvCxnSpPr>
          <a:stCxn id="110" idx="2"/>
          <a:endCxn id="111" idx="0"/>
        </xdr:cNvCxnSpPr>
      </xdr:nvCxnSpPr>
      <xdr:spPr>
        <a:xfrm>
          <a:off x="28270200" y="13716000"/>
          <a:ext cx="0" cy="438150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482600</xdr:colOff>
      <xdr:row>81</xdr:row>
      <xdr:rowOff>158750</xdr:rowOff>
    </xdr:from>
    <xdr:to>
      <xdr:col>41</xdr:col>
      <xdr:colOff>190500</xdr:colOff>
      <xdr:row>83</xdr:row>
      <xdr:rowOff>31750</xdr:rowOff>
    </xdr:to>
    <xdr:sp macro="" textlink="">
      <xdr:nvSpPr>
        <xdr:cNvPr id="113" name="OpenSolver28">
          <a:extLst>
            <a:ext uri="{FF2B5EF4-FFF2-40B4-BE49-F238E27FC236}">
              <a16:creationId xmlns:a16="http://schemas.microsoft.com/office/drawing/2014/main" id="{EA0528E1-45F1-FA6C-4F0B-4BF7EE5BEA83}"/>
            </a:ext>
          </a:extLst>
        </xdr:cNvPr>
        <xdr:cNvSpPr/>
      </xdr:nvSpPr>
      <xdr:spPr>
        <a:xfrm>
          <a:off x="28079700" y="15779750"/>
          <a:ext cx="38100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65</xdr:row>
      <xdr:rowOff>166687</xdr:rowOff>
    </xdr:from>
    <xdr:to>
      <xdr:col>11</xdr:col>
      <xdr:colOff>304801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528637</xdr:colOff>
      <xdr:row>66</xdr:row>
      <xdr:rowOff>138112</xdr:rowOff>
    </xdr:from>
    <xdr:to>
      <xdr:col>22</xdr:col>
      <xdr:colOff>223837</xdr:colOff>
      <xdr:row>81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309561</xdr:colOff>
      <xdr:row>102</xdr:row>
      <xdr:rowOff>38100</xdr:rowOff>
    </xdr:from>
    <xdr:to>
      <xdr:col>17</xdr:col>
      <xdr:colOff>457200</xdr:colOff>
      <xdr:row>124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w1._1" connectionId="19" xr16:uid="{00000000-0016-0000-0000-000002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w0._1" connectionId="2" xr16:uid="{00000000-0016-0000-00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w0._3" connectionId="9" xr16:uid="{00000000-0016-0000-0000-000000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w0._2" connectionId="8" xr16:uid="{00000000-0016-0000-0000-000004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ow2._1" connectionId="20" xr16:uid="{00000000-0016-0000-0000-000003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05E5B4-4A9C-434B-B6BC-5F777907D496}">
  <we:reference id="0986d9dd-94f1-4b67-978d-c4cf6e6142a8" version="21.5.1.1" store="EXCatalog" storeType="EXCatalog"/>
  <we:alternateReferences>
    <we:reference id="WA200000018" version="21.5.1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PsiOptStatus</we:customFunctionIds>
        <we:customFunctionIds>PsiPivotCube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4"/>
  <sheetViews>
    <sheetView tabSelected="1" workbookViewId="0"/>
  </sheetViews>
  <sheetFormatPr baseColWidth="10" defaultColWidth="8.83203125" defaultRowHeight="15" x14ac:dyDescent="0.2"/>
  <cols>
    <col min="1" max="1" width="8.83203125" customWidth="1"/>
    <col min="2" max="2" width="8" customWidth="1"/>
    <col min="3" max="3" width="10.83203125" customWidth="1"/>
    <col min="4" max="4" width="11" customWidth="1"/>
    <col min="5" max="5" width="12.83203125" customWidth="1"/>
    <col min="6" max="10" width="7.83203125" customWidth="1"/>
    <col min="11" max="13" width="8.83203125" customWidth="1"/>
    <col min="14" max="15" width="9" customWidth="1"/>
    <col min="16" max="19" width="8.83203125" customWidth="1"/>
    <col min="20" max="22" width="9.1640625" customWidth="1"/>
    <col min="23" max="23" width="12.6640625" customWidth="1"/>
    <col min="24" max="27" width="9.1640625" customWidth="1"/>
  </cols>
  <sheetData>
    <row r="1" spans="1:54" x14ac:dyDescent="0.2">
      <c r="A1" s="44" t="s">
        <v>59</v>
      </c>
      <c r="B1" s="38"/>
      <c r="C1" s="38"/>
      <c r="D1" s="38"/>
      <c r="E1" s="39">
        <f>SUMPRODUCT(E317:V344,E255:V282)</f>
        <v>35125543.735722929</v>
      </c>
      <c r="H1" s="65" t="s">
        <v>78</v>
      </c>
      <c r="I1" s="65"/>
      <c r="J1" t="s">
        <v>77</v>
      </c>
    </row>
    <row r="2" spans="1:54" x14ac:dyDescent="0.2">
      <c r="A2" s="38" t="s">
        <v>65</v>
      </c>
      <c r="B2" s="38"/>
      <c r="C2" s="38"/>
      <c r="D2" s="38"/>
      <c r="E2" s="39">
        <f>SUMPRODUCT(E230:V237,E241:V248)</f>
        <v>20064800.409196101</v>
      </c>
      <c r="H2" s="66" t="s">
        <v>79</v>
      </c>
      <c r="I2" s="66"/>
      <c r="J2" t="s">
        <v>81</v>
      </c>
    </row>
    <row r="3" spans="1:54" x14ac:dyDescent="0.2">
      <c r="A3" s="38" t="s">
        <v>56</v>
      </c>
      <c r="B3" s="38"/>
      <c r="C3" s="38"/>
      <c r="D3" s="38"/>
      <c r="E3" s="39">
        <f>SUM(AY13:AY20)</f>
        <v>8903.3990890833356</v>
      </c>
      <c r="H3" s="67" t="s">
        <v>80</v>
      </c>
      <c r="I3" s="67"/>
      <c r="J3" t="s">
        <v>82</v>
      </c>
    </row>
    <row r="4" spans="1:54" x14ac:dyDescent="0.2">
      <c r="A4" s="38" t="s">
        <v>57</v>
      </c>
      <c r="B4" s="38"/>
      <c r="C4" s="38"/>
      <c r="D4" s="38"/>
      <c r="E4" s="39">
        <f>SUM(AY58:AY71)</f>
        <v>104706.81483654999</v>
      </c>
    </row>
    <row r="5" spans="1:54" x14ac:dyDescent="0.2">
      <c r="A5" s="40" t="s">
        <v>64</v>
      </c>
      <c r="B5" s="38"/>
      <c r="C5" s="38"/>
      <c r="D5" s="38"/>
      <c r="E5" s="39">
        <f>SUM(W26:W75)</f>
        <v>8610594.3460698314</v>
      </c>
    </row>
    <row r="6" spans="1:54" x14ac:dyDescent="0.2">
      <c r="A6" s="38" t="s">
        <v>60</v>
      </c>
      <c r="B6" s="38"/>
      <c r="C6" s="38"/>
      <c r="D6" s="38"/>
      <c r="E6" s="39">
        <f>SUM(W81:W130)</f>
        <v>700050.17124383326</v>
      </c>
    </row>
    <row r="7" spans="1:54" x14ac:dyDescent="0.2">
      <c r="A7" s="40" t="s">
        <v>108</v>
      </c>
      <c r="B7" s="38"/>
      <c r="C7" s="38"/>
      <c r="D7" s="38"/>
      <c r="E7" s="39">
        <f>SUM(W136:W189)</f>
        <v>1032887.6411333333</v>
      </c>
    </row>
    <row r="8" spans="1:54" x14ac:dyDescent="0.2">
      <c r="A8" s="45"/>
      <c r="B8" s="45"/>
      <c r="C8" s="45"/>
      <c r="D8" s="45"/>
      <c r="E8" s="46"/>
      <c r="AX8" s="7"/>
      <c r="AY8" s="8"/>
      <c r="AZ8" s="9"/>
      <c r="BA8" s="10"/>
      <c r="BB8" s="11"/>
    </row>
    <row r="9" spans="1:54" x14ac:dyDescent="0.2">
      <c r="A9" s="38" t="s">
        <v>66</v>
      </c>
      <c r="B9" s="38"/>
      <c r="C9" s="38"/>
      <c r="D9" s="38"/>
      <c r="E9" s="39">
        <f>E1-SUM(E2:E7)</f>
        <v>4603600.9541541971</v>
      </c>
      <c r="AX9" s="6"/>
      <c r="AY9" s="12"/>
      <c r="AZ9" s="6"/>
      <c r="BA9" s="13"/>
      <c r="BB9" s="14"/>
    </row>
    <row r="10" spans="1:54" x14ac:dyDescent="0.2">
      <c r="AZ10" s="15"/>
    </row>
    <row r="11" spans="1:54" x14ac:dyDescent="0.2">
      <c r="A11" s="70" t="s">
        <v>68</v>
      </c>
      <c r="B11" s="3"/>
      <c r="C11" s="3"/>
      <c r="D11" s="3"/>
      <c r="E11" s="3"/>
      <c r="F11" s="3"/>
      <c r="AB11" s="36" t="s">
        <v>29</v>
      </c>
      <c r="AZ11" s="18"/>
    </row>
    <row r="12" spans="1:54" ht="30" x14ac:dyDescent="0.2">
      <c r="A12" t="s">
        <v>24</v>
      </c>
      <c r="B12" t="s">
        <v>0</v>
      </c>
      <c r="E12" s="68" t="s">
        <v>83</v>
      </c>
      <c r="F12" s="68" t="s">
        <v>84</v>
      </c>
      <c r="G12" s="68" t="s">
        <v>85</v>
      </c>
      <c r="H12" s="68" t="s">
        <v>86</v>
      </c>
      <c r="I12" s="68" t="s">
        <v>87</v>
      </c>
      <c r="J12" s="68" t="s">
        <v>88</v>
      </c>
      <c r="K12" s="68" t="s">
        <v>89</v>
      </c>
      <c r="L12" s="68" t="s">
        <v>90</v>
      </c>
      <c r="M12" s="68" t="s">
        <v>91</v>
      </c>
      <c r="N12" s="68" t="s">
        <v>92</v>
      </c>
      <c r="O12" s="68" t="s">
        <v>94</v>
      </c>
      <c r="P12" s="68" t="s">
        <v>95</v>
      </c>
      <c r="Q12" s="68" t="s">
        <v>93</v>
      </c>
      <c r="R12" s="68" t="s">
        <v>96</v>
      </c>
      <c r="S12" s="68" t="s">
        <v>97</v>
      </c>
      <c r="T12" s="68" t="s">
        <v>98</v>
      </c>
      <c r="U12" s="68" t="s">
        <v>99</v>
      </c>
      <c r="V12" s="68" t="s">
        <v>100</v>
      </c>
      <c r="AB12" s="15" t="s">
        <v>24</v>
      </c>
      <c r="AC12" s="20" t="s">
        <v>0</v>
      </c>
      <c r="AD12" s="16" t="s">
        <v>72</v>
      </c>
      <c r="AE12" s="17" t="s">
        <v>73</v>
      </c>
      <c r="AF12" s="2">
        <v>44236</v>
      </c>
      <c r="AG12" s="68" t="s">
        <v>83</v>
      </c>
      <c r="AH12" s="68" t="s">
        <v>84</v>
      </c>
      <c r="AI12" s="68" t="s">
        <v>85</v>
      </c>
      <c r="AJ12" s="68" t="s">
        <v>86</v>
      </c>
      <c r="AK12" s="68" t="s">
        <v>87</v>
      </c>
      <c r="AL12" s="68" t="s">
        <v>88</v>
      </c>
      <c r="AM12" s="68" t="s">
        <v>89</v>
      </c>
      <c r="AN12" s="68" t="s">
        <v>90</v>
      </c>
      <c r="AO12" s="68" t="s">
        <v>91</v>
      </c>
      <c r="AP12" s="68" t="s">
        <v>92</v>
      </c>
      <c r="AQ12" s="68" t="s">
        <v>94</v>
      </c>
      <c r="AR12" s="68" t="s">
        <v>95</v>
      </c>
      <c r="AS12" s="68" t="s">
        <v>93</v>
      </c>
      <c r="AT12" s="68" t="s">
        <v>96</v>
      </c>
      <c r="AU12" s="68" t="s">
        <v>97</v>
      </c>
      <c r="AV12" s="68" t="s">
        <v>98</v>
      </c>
      <c r="AW12" s="68" t="s">
        <v>99</v>
      </c>
      <c r="AX12" s="68" t="s">
        <v>100</v>
      </c>
      <c r="AY12" s="34" t="s">
        <v>71</v>
      </c>
      <c r="AZ12" s="18"/>
    </row>
    <row r="13" spans="1:54" x14ac:dyDescent="0.2">
      <c r="A13" s="6" t="s">
        <v>28</v>
      </c>
      <c r="B13" t="s">
        <v>1</v>
      </c>
      <c r="E13" s="64">
        <v>100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100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AB13" s="6" t="s">
        <v>28</v>
      </c>
      <c r="AC13" s="18" t="s">
        <v>1</v>
      </c>
      <c r="AD13" s="72">
        <v>100</v>
      </c>
      <c r="AE13" s="73">
        <v>0.33333333333333331</v>
      </c>
      <c r="AF13" s="4">
        <v>0</v>
      </c>
      <c r="AG13" s="35">
        <f>AF13+E13-SUM('Planning Model'!E81:E84)</f>
        <v>100</v>
      </c>
      <c r="AH13" s="35">
        <f>AG13+F13-SUM('Planning Model'!F81:F84)</f>
        <v>100</v>
      </c>
      <c r="AI13" s="35">
        <f>AH13+G13-SUM('Planning Model'!G81:G84)</f>
        <v>100</v>
      </c>
      <c r="AJ13" s="35">
        <f>AI13+H13-SUM('Planning Model'!H81:H84)</f>
        <v>100</v>
      </c>
      <c r="AK13" s="35">
        <f>AJ13+I13-SUM('Planning Model'!I81:I84)</f>
        <v>100</v>
      </c>
      <c r="AL13" s="35">
        <f>AK13+J13-SUM('Planning Model'!J81:J84)</f>
        <v>100</v>
      </c>
      <c r="AM13" s="35">
        <f>AL13+K13-SUM('Planning Model'!K81:K84)</f>
        <v>0</v>
      </c>
      <c r="AN13" s="35">
        <f>AM13+L13-SUM('Planning Model'!L81:L84)</f>
        <v>0</v>
      </c>
      <c r="AO13" s="35">
        <f>AN13+M13-SUM('Planning Model'!M81:M84)</f>
        <v>100</v>
      </c>
      <c r="AP13" s="35">
        <f>AO13+N13-SUM('Planning Model'!N81:N84)</f>
        <v>100</v>
      </c>
      <c r="AQ13" s="35">
        <f>AP13+O13-SUM('Planning Model'!O81:O84)</f>
        <v>100</v>
      </c>
      <c r="AR13" s="35">
        <f>AQ13+P13-SUM('Planning Model'!P81:P84)</f>
        <v>100</v>
      </c>
      <c r="AS13" s="35">
        <f>AR13+Q13-SUM('Planning Model'!Q81:Q84)</f>
        <v>100</v>
      </c>
      <c r="AT13" s="35">
        <f>AS13+R13-SUM('Planning Model'!R81:R84)</f>
        <v>100</v>
      </c>
      <c r="AU13" s="35">
        <f>AT13+S13-SUM('Planning Model'!S81:S84)</f>
        <v>100</v>
      </c>
      <c r="AV13" s="35">
        <f>AU13+T13-SUM('Planning Model'!T81:T84)</f>
        <v>100</v>
      </c>
      <c r="AW13" s="35">
        <f>AV13+U13-SUM('Planning Model'!U81:U84)</f>
        <v>100</v>
      </c>
      <c r="AX13" s="35">
        <f>AW13+V13-SUM('Planning Model'!V81:V84)</f>
        <v>0</v>
      </c>
      <c r="AY13" s="31">
        <f>AE13*SUM(AG13:AX13)</f>
        <v>500</v>
      </c>
      <c r="AZ13" s="18"/>
    </row>
    <row r="14" spans="1:54" x14ac:dyDescent="0.2">
      <c r="A14" s="6" t="s">
        <v>28</v>
      </c>
      <c r="B14" t="s">
        <v>2</v>
      </c>
      <c r="E14" s="64">
        <v>200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56.175840000000001</v>
      </c>
      <c r="O14" s="64">
        <v>56.175840000000001</v>
      </c>
      <c r="P14" s="64">
        <v>87.648319999999998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AB14" s="6" t="s">
        <v>28</v>
      </c>
      <c r="AC14" s="18" t="s">
        <v>2</v>
      </c>
      <c r="AD14" s="72">
        <v>200</v>
      </c>
      <c r="AE14" s="73">
        <v>0.16666666666666666</v>
      </c>
      <c r="AF14" s="4">
        <v>0</v>
      </c>
      <c r="AG14" s="35">
        <f>AF14+'Planning Model'!E14-SUM('Planning Model'!E85:E89)</f>
        <v>200</v>
      </c>
      <c r="AH14" s="35">
        <f>AG14+'Planning Model'!F14-SUM('Planning Model'!F85:F89)</f>
        <v>200</v>
      </c>
      <c r="AI14" s="35">
        <f>AH14+'Planning Model'!G14-SUM('Planning Model'!G85:G89)</f>
        <v>200</v>
      </c>
      <c r="AJ14" s="35">
        <f>AI14+'Planning Model'!H14-SUM('Planning Model'!H85:H89)</f>
        <v>200</v>
      </c>
      <c r="AK14" s="35">
        <f>AJ14+'Planning Model'!I14-SUM('Planning Model'!I85:I89)</f>
        <v>200</v>
      </c>
      <c r="AL14" s="35">
        <f>AK14+'Planning Model'!J14-SUM('Planning Model'!J85:J89)</f>
        <v>200</v>
      </c>
      <c r="AM14" s="35">
        <f>AL14+'Planning Model'!K14-SUM('Planning Model'!K85:K89)</f>
        <v>200</v>
      </c>
      <c r="AN14" s="35">
        <f>AM14+'Planning Model'!L14-SUM('Planning Model'!L85:L89)</f>
        <v>0</v>
      </c>
      <c r="AO14" s="35">
        <f>AN14+'Planning Model'!M14-SUM('Planning Model'!M85:M89)</f>
        <v>0</v>
      </c>
      <c r="AP14" s="35">
        <f>AO14+'Planning Model'!N14-SUM('Planning Model'!N85:N89)</f>
        <v>56.175840000000001</v>
      </c>
      <c r="AQ14" s="35">
        <f>AP14+'Planning Model'!O14-SUM('Planning Model'!O85:O89)</f>
        <v>112.35168</v>
      </c>
      <c r="AR14" s="35">
        <f>AQ14+'Planning Model'!P14-SUM('Planning Model'!P85:P89)</f>
        <v>200</v>
      </c>
      <c r="AS14" s="35">
        <f>AR14+'Planning Model'!Q14-SUM('Planning Model'!Q85:Q89)</f>
        <v>200</v>
      </c>
      <c r="AT14" s="35">
        <f>AS14+'Planning Model'!R14-SUM('Planning Model'!R85:R89)</f>
        <v>200</v>
      </c>
      <c r="AU14" s="35">
        <f>AT14+'Planning Model'!S14-SUM('Planning Model'!S85:S89)</f>
        <v>200</v>
      </c>
      <c r="AV14" s="35">
        <f>AU14+'Planning Model'!T14-SUM('Planning Model'!T85:T89)</f>
        <v>200</v>
      </c>
      <c r="AW14" s="35">
        <f>AV14+'Planning Model'!U14-SUM('Planning Model'!U85:U89)</f>
        <v>200</v>
      </c>
      <c r="AX14" s="35">
        <f>AW14+'Planning Model'!V14-SUM('Planning Model'!V85:V89)</f>
        <v>0</v>
      </c>
      <c r="AY14" s="31">
        <f t="shared" ref="AY14:AY20" si="0">AE14*SUM(AG14:AX14)</f>
        <v>461.42125333333331</v>
      </c>
      <c r="AZ14" s="18"/>
    </row>
    <row r="15" spans="1:54" x14ac:dyDescent="0.2">
      <c r="A15" s="6" t="s">
        <v>27</v>
      </c>
      <c r="B15" t="s">
        <v>3</v>
      </c>
      <c r="E15" s="64">
        <v>99.126000000000005</v>
      </c>
      <c r="F15" s="64">
        <v>184.34752</v>
      </c>
      <c r="G15" s="64">
        <v>162.66685000000001</v>
      </c>
      <c r="H15" s="64">
        <v>53.859628000000001</v>
      </c>
      <c r="I15" s="64">
        <v>0</v>
      </c>
      <c r="J15" s="64">
        <v>0</v>
      </c>
      <c r="K15" s="64">
        <v>0</v>
      </c>
      <c r="L15" s="64">
        <v>0</v>
      </c>
      <c r="M15" s="64">
        <v>82.005765999999994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AB15" s="6" t="s">
        <v>27</v>
      </c>
      <c r="AC15" s="18" t="s">
        <v>3</v>
      </c>
      <c r="AD15" s="72">
        <v>500</v>
      </c>
      <c r="AE15" s="73">
        <v>0.16666666666666666</v>
      </c>
      <c r="AF15" s="4">
        <v>0</v>
      </c>
      <c r="AG15" s="35">
        <f>AF15+'Planning Model'!E15-SUM('Planning Model'!E90:E97)</f>
        <v>99.126000000000005</v>
      </c>
      <c r="AH15" s="35">
        <f>AG15+'Planning Model'!F15-SUM('Planning Model'!F90:F97)</f>
        <v>283.47352000000001</v>
      </c>
      <c r="AI15" s="35">
        <f>AH15+'Planning Model'!G15-SUM('Planning Model'!G90:G97)</f>
        <v>446.14037000000002</v>
      </c>
      <c r="AJ15" s="35">
        <f>AI15+'Planning Model'!H15-SUM('Planning Model'!H90:H97)</f>
        <v>499.99999800000001</v>
      </c>
      <c r="AK15" s="35">
        <f>AJ15+'Planning Model'!I15-SUM('Planning Model'!I90:I97)</f>
        <v>499.99999800000001</v>
      </c>
      <c r="AL15" s="35">
        <f>AK15+'Planning Model'!J15-SUM('Planning Model'!J90:J97)</f>
        <v>499.99999800000001</v>
      </c>
      <c r="AM15" s="35">
        <f>AL15+'Planning Model'!K15-SUM('Planning Model'!K90:K97)</f>
        <v>499.99999800000001</v>
      </c>
      <c r="AN15" s="35">
        <f>AM15+'Planning Model'!L15-SUM('Planning Model'!L90:L97)</f>
        <v>417.99423200000001</v>
      </c>
      <c r="AO15" s="35">
        <f>AN15+'Planning Model'!M15-SUM('Planning Model'!M90:M97)</f>
        <v>499.99999800000001</v>
      </c>
      <c r="AP15" s="35">
        <f>AO15+'Planning Model'!N15-SUM('Planning Model'!N90:N97)</f>
        <v>499.99999800000001</v>
      </c>
      <c r="AQ15" s="35">
        <f>AP15+'Planning Model'!O15-SUM('Planning Model'!O90:O97)</f>
        <v>499.99999800000001</v>
      </c>
      <c r="AR15" s="35">
        <f>AQ15+'Planning Model'!P15-SUM('Planning Model'!P90:P97)</f>
        <v>499.99999800000001</v>
      </c>
      <c r="AS15" s="35">
        <f>AR15+'Planning Model'!Q15-SUM('Planning Model'!Q90:Q97)</f>
        <v>499.99999800000001</v>
      </c>
      <c r="AT15" s="35">
        <f>AS15+'Planning Model'!R15-SUM('Planning Model'!R90:R97)</f>
        <v>499.99999800000001</v>
      </c>
      <c r="AU15" s="35">
        <f>AT15+'Planning Model'!S15-SUM('Planning Model'!S90:S97)</f>
        <v>499.99999800000001</v>
      </c>
      <c r="AV15" s="35">
        <f>AU15+'Planning Model'!T15-SUM('Planning Model'!T90:T97)</f>
        <v>499.99999800000001</v>
      </c>
      <c r="AW15" s="35">
        <f>AV15+'Planning Model'!U15-SUM('Planning Model'!U90:U97)</f>
        <v>369.60764800000004</v>
      </c>
      <c r="AX15" s="35">
        <f>AW15+'Planning Model'!V15-SUM('Planning Model'!V90:V97)</f>
        <v>-1.9999999381070666E-6</v>
      </c>
      <c r="AY15" s="31">
        <f t="shared" si="0"/>
        <v>1269.3902906666669</v>
      </c>
      <c r="AZ15" s="18"/>
    </row>
    <row r="16" spans="1:54" x14ac:dyDescent="0.2">
      <c r="A16" s="6" t="s">
        <v>27</v>
      </c>
      <c r="B16" t="s">
        <v>4</v>
      </c>
      <c r="E16" s="64">
        <v>100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100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AB16" s="6" t="s">
        <v>27</v>
      </c>
      <c r="AC16" s="18" t="s">
        <v>4</v>
      </c>
      <c r="AD16" s="72">
        <v>100</v>
      </c>
      <c r="AE16" s="73">
        <v>0.33333333333333331</v>
      </c>
      <c r="AF16" s="4">
        <v>0</v>
      </c>
      <c r="AG16" s="35">
        <f>AF16+'Planning Model'!E16-SUM('Planning Model'!E98:E101)</f>
        <v>100</v>
      </c>
      <c r="AH16" s="35">
        <f>AG16+'Planning Model'!F16-SUM('Planning Model'!F98:F101)</f>
        <v>100</v>
      </c>
      <c r="AI16" s="35">
        <f>AH16+'Planning Model'!G16-SUM('Planning Model'!G98:G101)</f>
        <v>100</v>
      </c>
      <c r="AJ16" s="35">
        <f>AI16+'Planning Model'!H16-SUM('Planning Model'!H98:H101)</f>
        <v>100</v>
      </c>
      <c r="AK16" s="35">
        <f>AJ16+'Planning Model'!I16-SUM('Planning Model'!I98:I101)</f>
        <v>100</v>
      </c>
      <c r="AL16" s="35">
        <f>AK16+'Planning Model'!J16-SUM('Planning Model'!J98:J101)</f>
        <v>100</v>
      </c>
      <c r="AM16" s="35">
        <f>AL16+'Planning Model'!K16-SUM('Planning Model'!K98:K101)</f>
        <v>100</v>
      </c>
      <c r="AN16" s="35">
        <f>AM16+'Planning Model'!L16-SUM('Planning Model'!L98:L101)</f>
        <v>100</v>
      </c>
      <c r="AO16" s="35">
        <f>AN16+'Planning Model'!M16-SUM('Planning Model'!M98:M101)</f>
        <v>76.300055999999998</v>
      </c>
      <c r="AP16" s="35">
        <f>AO16+'Planning Model'!N16-SUM('Planning Model'!N98:N101)</f>
        <v>49.050035999999999</v>
      </c>
      <c r="AQ16" s="35">
        <f>AP16+'Planning Model'!O16-SUM('Planning Model'!O98:O101)</f>
        <v>21.800015999999999</v>
      </c>
      <c r="AR16" s="35">
        <f>AQ16+'Planning Model'!P16-SUM('Planning Model'!P98:P101)</f>
        <v>0</v>
      </c>
      <c r="AS16" s="35">
        <f>AR16+'Planning Model'!Q16-SUM('Planning Model'!Q98:Q101)</f>
        <v>100</v>
      </c>
      <c r="AT16" s="35">
        <f>AS16+'Planning Model'!R16-SUM('Planning Model'!R98:R101)</f>
        <v>100</v>
      </c>
      <c r="AU16" s="35">
        <f>AT16+'Planning Model'!S16-SUM('Planning Model'!S98:S101)</f>
        <v>100</v>
      </c>
      <c r="AV16" s="35">
        <f>AU16+'Planning Model'!T16-SUM('Planning Model'!T98:T101)</f>
        <v>100</v>
      </c>
      <c r="AW16" s="35">
        <f>AV16+'Planning Model'!U16-SUM('Planning Model'!U98:U101)</f>
        <v>100</v>
      </c>
      <c r="AX16" s="35">
        <f>AW16+'Planning Model'!V16-SUM('Planning Model'!V98:V101)</f>
        <v>0</v>
      </c>
      <c r="AY16" s="31">
        <f t="shared" si="0"/>
        <v>482.38336933333335</v>
      </c>
      <c r="AZ16" s="18"/>
    </row>
    <row r="17" spans="1:52" x14ac:dyDescent="0.2">
      <c r="A17" s="6" t="s">
        <v>27</v>
      </c>
      <c r="B17" t="s">
        <v>5</v>
      </c>
      <c r="E17" s="64">
        <v>90</v>
      </c>
      <c r="F17" s="64">
        <v>10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100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AB17" s="6" t="s">
        <v>27</v>
      </c>
      <c r="AC17" s="18" t="s">
        <v>5</v>
      </c>
      <c r="AD17" s="72">
        <v>100</v>
      </c>
      <c r="AE17" s="73">
        <v>0.25</v>
      </c>
      <c r="AF17" s="4">
        <v>0</v>
      </c>
      <c r="AG17" s="35">
        <f>AF17+'Planning Model'!E17-SUM('Planning Model'!E102:E103)</f>
        <v>90</v>
      </c>
      <c r="AH17" s="35">
        <f>AG17+'Planning Model'!F17-SUM('Planning Model'!F102:F103)</f>
        <v>100</v>
      </c>
      <c r="AI17" s="35">
        <f>AH17+'Planning Model'!G17-SUM('Planning Model'!G102:G103)</f>
        <v>100</v>
      </c>
      <c r="AJ17" s="35">
        <f>AI17+'Planning Model'!H17-SUM('Planning Model'!H102:H103)</f>
        <v>100</v>
      </c>
      <c r="AK17" s="35">
        <f>AJ17+'Planning Model'!I17-SUM('Planning Model'!I102:I103)</f>
        <v>100</v>
      </c>
      <c r="AL17" s="35">
        <f>AK17+'Planning Model'!J17-SUM('Planning Model'!J102:J103)</f>
        <v>100</v>
      </c>
      <c r="AM17" s="35">
        <f>AL17+'Planning Model'!K17-SUM('Planning Model'!K102:K103)</f>
        <v>100</v>
      </c>
      <c r="AN17" s="35">
        <f>AM17+'Planning Model'!L17-SUM('Planning Model'!L102:L103)</f>
        <v>100</v>
      </c>
      <c r="AO17" s="35">
        <f>AN17+'Planning Model'!M17-SUM('Planning Model'!M102:M103)</f>
        <v>0</v>
      </c>
      <c r="AP17" s="35">
        <f>AO17+'Planning Model'!N17-SUM('Planning Model'!N102:N103)</f>
        <v>0</v>
      </c>
      <c r="AQ17" s="35">
        <f>AP17+'Planning Model'!O17-SUM('Planning Model'!O102:O103)</f>
        <v>0</v>
      </c>
      <c r="AR17" s="35">
        <f>AQ17+'Planning Model'!P17-SUM('Planning Model'!P102:P103)</f>
        <v>100</v>
      </c>
      <c r="AS17" s="35">
        <f>AR17+'Planning Model'!Q17-SUM('Planning Model'!Q102:Q103)</f>
        <v>100</v>
      </c>
      <c r="AT17" s="35">
        <f>AS17+'Planning Model'!R17-SUM('Planning Model'!R102:R103)</f>
        <v>100</v>
      </c>
      <c r="AU17" s="35">
        <f>AT17+'Planning Model'!S17-SUM('Planning Model'!S102:S103)</f>
        <v>100</v>
      </c>
      <c r="AV17" s="35">
        <f>AU17+'Planning Model'!T17-SUM('Planning Model'!T102:T103)</f>
        <v>100</v>
      </c>
      <c r="AW17" s="35">
        <f>AV17+'Planning Model'!U17-SUM('Planning Model'!U102:U103)</f>
        <v>100</v>
      </c>
      <c r="AX17" s="35">
        <f>AW17+'Planning Model'!V17-SUM('Planning Model'!V102:V103)</f>
        <v>0</v>
      </c>
      <c r="AY17" s="31">
        <f t="shared" si="0"/>
        <v>347.5</v>
      </c>
      <c r="AZ17" s="18"/>
    </row>
    <row r="18" spans="1:52" x14ac:dyDescent="0.2">
      <c r="A18" s="6" t="s">
        <v>28</v>
      </c>
      <c r="B18" t="s">
        <v>6</v>
      </c>
      <c r="E18" s="64">
        <v>450</v>
      </c>
      <c r="F18" s="64">
        <v>450</v>
      </c>
      <c r="G18" s="64">
        <v>100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588.41400999999996</v>
      </c>
      <c r="S18" s="64">
        <v>411.58598999999998</v>
      </c>
      <c r="T18" s="64">
        <v>0</v>
      </c>
      <c r="U18" s="64">
        <v>0</v>
      </c>
      <c r="V18" s="64">
        <v>0</v>
      </c>
      <c r="AB18" s="6" t="s">
        <v>28</v>
      </c>
      <c r="AC18" s="18" t="s">
        <v>6</v>
      </c>
      <c r="AD18" s="72">
        <v>1000</v>
      </c>
      <c r="AE18" s="73">
        <v>0.25</v>
      </c>
      <c r="AF18" s="4">
        <v>0</v>
      </c>
      <c r="AG18" s="35">
        <f>AF18+E18-SUM('Planning Model'!E104:E114)</f>
        <v>450</v>
      </c>
      <c r="AH18" s="35">
        <f>AG18+F18-SUM('Planning Model'!F104:F114)</f>
        <v>900</v>
      </c>
      <c r="AI18" s="35">
        <f>AH18+G18-SUM('Planning Model'!G104:G114)</f>
        <v>1000</v>
      </c>
      <c r="AJ18" s="35">
        <f>AI18+H18-SUM('Planning Model'!H104:H114)</f>
        <v>1000</v>
      </c>
      <c r="AK18" s="35">
        <f>AJ18+I18-SUM('Planning Model'!I104:I114)</f>
        <v>1000</v>
      </c>
      <c r="AL18" s="35">
        <f>AK18+J18-SUM('Planning Model'!J104:J114)</f>
        <v>1000</v>
      </c>
      <c r="AM18" s="35">
        <f>AL18+K18-SUM('Planning Model'!K104:K114)</f>
        <v>663.00035000000003</v>
      </c>
      <c r="AN18" s="35">
        <f>AM18+L18-SUM('Planning Model'!L104:L114)</f>
        <v>345.15619000000004</v>
      </c>
      <c r="AO18" s="35">
        <f>AN18+M18-SUM('Planning Model'!M104:M114)</f>
        <v>118.83715000000004</v>
      </c>
      <c r="AP18" s="35">
        <f>AO18+N18-SUM('Planning Model'!N104:N114)</f>
        <v>76.395310000000038</v>
      </c>
      <c r="AQ18" s="35">
        <f>AP18+O18-SUM('Planning Model'!O104:O114)</f>
        <v>33.953470000000038</v>
      </c>
      <c r="AR18" s="35">
        <f>AQ18+P18-SUM('Planning Model'!P104:P114)</f>
        <v>-1.9999999594233486E-6</v>
      </c>
      <c r="AS18" s="35">
        <f>AR18+Q18-SUM('Planning Model'!Q104:Q114)</f>
        <v>-1.9999999594233486E-6</v>
      </c>
      <c r="AT18" s="35">
        <f>AS18+R18-SUM('Planning Model'!R104:R114)</f>
        <v>588.41400799999997</v>
      </c>
      <c r="AU18" s="35">
        <f>AT18+S18-SUM('Planning Model'!S104:S114)</f>
        <v>999.99999800000001</v>
      </c>
      <c r="AV18" s="35">
        <f>AU18+T18-SUM('Planning Model'!T104:T114)</f>
        <v>999.99999800000001</v>
      </c>
      <c r="AW18" s="35">
        <f>AV18+U18-SUM('Planning Model'!U104:U114)</f>
        <v>999.99999800000001</v>
      </c>
      <c r="AX18" s="35">
        <f>AW18+V18-SUM('Planning Model'!V104:V114)</f>
        <v>1.9999999949504854E-6</v>
      </c>
      <c r="AY18" s="31">
        <f t="shared" si="0"/>
        <v>2543.9391175000001</v>
      </c>
      <c r="AZ18" s="18"/>
    </row>
    <row r="19" spans="1:52" x14ac:dyDescent="0.2">
      <c r="A19" s="6" t="s">
        <v>27</v>
      </c>
      <c r="B19" t="s">
        <v>7</v>
      </c>
      <c r="E19" s="64">
        <v>100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100</v>
      </c>
      <c r="N19" s="64">
        <v>0</v>
      </c>
      <c r="O19" s="64">
        <v>0</v>
      </c>
      <c r="P19" s="64">
        <v>0</v>
      </c>
      <c r="Q19" s="64">
        <v>0</v>
      </c>
      <c r="R19" s="64">
        <v>100</v>
      </c>
      <c r="S19" s="64">
        <v>0</v>
      </c>
      <c r="T19" s="64">
        <v>0</v>
      </c>
      <c r="U19" s="64">
        <v>0</v>
      </c>
      <c r="V19" s="64">
        <v>0</v>
      </c>
      <c r="AB19" s="6" t="s">
        <v>27</v>
      </c>
      <c r="AC19" s="18" t="s">
        <v>7</v>
      </c>
      <c r="AD19" s="72">
        <v>100</v>
      </c>
      <c r="AE19" s="73">
        <v>0.16666666666666666</v>
      </c>
      <c r="AF19" s="4">
        <v>0</v>
      </c>
      <c r="AG19" s="35">
        <f>AF19+E19-SUM('Planning Model'!E115:E121)</f>
        <v>100</v>
      </c>
      <c r="AH19" s="35">
        <f>AG19+F19-SUM('Planning Model'!F115:F121)</f>
        <v>100</v>
      </c>
      <c r="AI19" s="35">
        <f>AH19+G19-SUM('Planning Model'!G115:G121)</f>
        <v>100</v>
      </c>
      <c r="AJ19" s="35">
        <f>AI19+H19-SUM('Planning Model'!H115:H121)</f>
        <v>100</v>
      </c>
      <c r="AK19" s="35">
        <f>AJ19+I19-SUM('Planning Model'!I115:I121)</f>
        <v>100</v>
      </c>
      <c r="AL19" s="35">
        <f>AK19+J19-SUM('Planning Model'!J115:J121)</f>
        <v>100</v>
      </c>
      <c r="AM19" s="35">
        <f>AL19+K19-SUM('Planning Model'!K115:K121)</f>
        <v>100</v>
      </c>
      <c r="AN19" s="35">
        <f>AM19+L19-SUM('Planning Model'!L115:L121)</f>
        <v>0</v>
      </c>
      <c r="AO19" s="35">
        <f>AN19+M19-SUM('Planning Model'!M115:M121)</f>
        <v>100</v>
      </c>
      <c r="AP19" s="35">
        <f>AO19+N19-SUM('Planning Model'!N115:N121)</f>
        <v>100</v>
      </c>
      <c r="AQ19" s="35">
        <f>AP19+O19-SUM('Planning Model'!O115:O121)</f>
        <v>100</v>
      </c>
      <c r="AR19" s="35">
        <f>AQ19+P19-SUM('Planning Model'!P115:P121)</f>
        <v>100</v>
      </c>
      <c r="AS19" s="35">
        <f>AR19+Q19-SUM('Planning Model'!Q115:Q121)</f>
        <v>0</v>
      </c>
      <c r="AT19" s="35">
        <f>AS19+R19-SUM('Planning Model'!R115:R121)</f>
        <v>100</v>
      </c>
      <c r="AU19" s="35">
        <f>AT19+S19-SUM('Planning Model'!S115:S121)</f>
        <v>100</v>
      </c>
      <c r="AV19" s="35">
        <f>AU19+T19-SUM('Planning Model'!T115:T121)</f>
        <v>100</v>
      </c>
      <c r="AW19" s="35">
        <f>AV19+U19-SUM('Planning Model'!U115:U121)</f>
        <v>100</v>
      </c>
      <c r="AX19" s="35">
        <f>AW19+V19-SUM('Planning Model'!V115:V121)</f>
        <v>0</v>
      </c>
      <c r="AY19" s="31">
        <f t="shared" si="0"/>
        <v>250</v>
      </c>
    </row>
    <row r="20" spans="1:52" x14ac:dyDescent="0.2">
      <c r="A20" s="6" t="s">
        <v>28</v>
      </c>
      <c r="B20" t="s">
        <v>8</v>
      </c>
      <c r="E20" s="64">
        <v>1000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22.199176999999999</v>
      </c>
      <c r="O20" s="64">
        <v>287.09685000000002</v>
      </c>
      <c r="P20" s="64">
        <v>408.34185000000002</v>
      </c>
      <c r="Q20" s="64">
        <v>282.36212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AB20" s="6" t="s">
        <v>28</v>
      </c>
      <c r="AC20" s="18" t="s">
        <v>8</v>
      </c>
      <c r="AD20" s="72">
        <v>1000</v>
      </c>
      <c r="AE20" s="73">
        <v>0.25</v>
      </c>
      <c r="AF20" s="4">
        <v>0</v>
      </c>
      <c r="AG20" s="35">
        <f>AF20+E20-SUM('Planning Model'!E122:E130)</f>
        <v>1000</v>
      </c>
      <c r="AH20" s="35">
        <f>AG20+F20-SUM('Planning Model'!F122:F130)</f>
        <v>1000</v>
      </c>
      <c r="AI20" s="35">
        <f>AH20+G20-SUM('Planning Model'!G122:G130)</f>
        <v>1000</v>
      </c>
      <c r="AJ20" s="35">
        <f>AI20+H20-SUM('Planning Model'!H122:H130)</f>
        <v>1000</v>
      </c>
      <c r="AK20" s="35">
        <f>AJ20+I20-SUM('Planning Model'!I122:I130)</f>
        <v>1000</v>
      </c>
      <c r="AL20" s="35">
        <f>AK20+J20-SUM('Planning Model'!J122:J130)</f>
        <v>1000</v>
      </c>
      <c r="AM20" s="35">
        <f>AL20+K20-SUM('Planning Model'!K122:K130)</f>
        <v>145.92717000000005</v>
      </c>
      <c r="AN20" s="35">
        <f>AM20+L20-SUM('Planning Model'!L122:L130)</f>
        <v>0</v>
      </c>
      <c r="AO20" s="35">
        <f>AN20+M20-SUM('Planning Model'!M122:M130)</f>
        <v>0</v>
      </c>
      <c r="AP20" s="35">
        <f>AO20+N20-SUM('Planning Model'!N122:N130)</f>
        <v>22.199176999999999</v>
      </c>
      <c r="AQ20" s="35">
        <f>AP20+O20-SUM('Planning Model'!O122:O130)</f>
        <v>309.29602700000004</v>
      </c>
      <c r="AR20" s="35">
        <f>AQ20+P20-SUM('Planning Model'!P122:P130)</f>
        <v>717.63787700000012</v>
      </c>
      <c r="AS20" s="35">
        <f>AR20+Q20-SUM('Planning Model'!Q122:Q130)</f>
        <v>999.99999700000012</v>
      </c>
      <c r="AT20" s="35">
        <f>AS20+R20-SUM('Planning Model'!R122:R130)</f>
        <v>999.99999700000012</v>
      </c>
      <c r="AU20" s="35">
        <f>AT20+S20-SUM('Planning Model'!S122:S130)</f>
        <v>999.99999700000012</v>
      </c>
      <c r="AV20" s="35">
        <f>AU20+T20-SUM('Planning Model'!T122:T130)</f>
        <v>999.99999700000012</v>
      </c>
      <c r="AW20" s="35">
        <f>AV20+U20-SUM('Planning Model'!U122:U130)</f>
        <v>999.99999700000012</v>
      </c>
      <c r="AX20" s="35">
        <f>AW20+V20-SUM('Planning Model'!V122:V130)</f>
        <v>-2.9999998787388904E-6</v>
      </c>
      <c r="AY20" s="31">
        <f t="shared" si="0"/>
        <v>3048.7650582500014</v>
      </c>
    </row>
    <row r="24" spans="1:52" x14ac:dyDescent="0.2">
      <c r="A24" s="70" t="s">
        <v>101</v>
      </c>
      <c r="B24" s="3"/>
      <c r="C24" s="3"/>
      <c r="D24" s="3"/>
      <c r="E24" s="3"/>
      <c r="AB24" s="36" t="s">
        <v>104</v>
      </c>
    </row>
    <row r="25" spans="1:52" x14ac:dyDescent="0.2">
      <c r="B25" t="s">
        <v>0</v>
      </c>
      <c r="C25" t="s">
        <v>9</v>
      </c>
      <c r="D25" s="47" t="s">
        <v>74</v>
      </c>
      <c r="E25" s="68" t="s">
        <v>83</v>
      </c>
      <c r="F25" s="68" t="s">
        <v>84</v>
      </c>
      <c r="G25" s="68" t="s">
        <v>85</v>
      </c>
      <c r="H25" s="68" t="s">
        <v>86</v>
      </c>
      <c r="I25" s="68" t="s">
        <v>87</v>
      </c>
      <c r="J25" s="68" t="s">
        <v>88</v>
      </c>
      <c r="K25" s="68" t="s">
        <v>89</v>
      </c>
      <c r="L25" s="68" t="s">
        <v>90</v>
      </c>
      <c r="M25" s="68" t="s">
        <v>91</v>
      </c>
      <c r="N25" s="68" t="s">
        <v>92</v>
      </c>
      <c r="O25" s="68" t="s">
        <v>94</v>
      </c>
      <c r="P25" s="68" t="s">
        <v>95</v>
      </c>
      <c r="Q25" s="68" t="s">
        <v>93</v>
      </c>
      <c r="R25" s="68" t="s">
        <v>96</v>
      </c>
      <c r="S25" s="68" t="s">
        <v>97</v>
      </c>
      <c r="T25" s="68" t="s">
        <v>98</v>
      </c>
      <c r="U25" s="68" t="s">
        <v>99</v>
      </c>
      <c r="V25" s="68" t="s">
        <v>100</v>
      </c>
      <c r="W25" t="s">
        <v>70</v>
      </c>
      <c r="AB25" t="s">
        <v>24</v>
      </c>
      <c r="AC25" t="s">
        <v>30</v>
      </c>
      <c r="AF25" s="2">
        <v>44236</v>
      </c>
      <c r="AG25" s="68" t="s">
        <v>83</v>
      </c>
      <c r="AH25" s="68" t="s">
        <v>84</v>
      </c>
      <c r="AI25" s="68" t="s">
        <v>85</v>
      </c>
      <c r="AJ25" s="68" t="s">
        <v>86</v>
      </c>
      <c r="AK25" s="68" t="s">
        <v>87</v>
      </c>
      <c r="AL25" s="68" t="s">
        <v>88</v>
      </c>
      <c r="AM25" s="68" t="s">
        <v>89</v>
      </c>
      <c r="AN25" s="68" t="s">
        <v>90</v>
      </c>
      <c r="AO25" s="68" t="s">
        <v>91</v>
      </c>
      <c r="AP25" s="68" t="s">
        <v>92</v>
      </c>
      <c r="AQ25" s="68" t="s">
        <v>94</v>
      </c>
      <c r="AR25" s="68" t="s">
        <v>95</v>
      </c>
      <c r="AS25" s="68" t="s">
        <v>93</v>
      </c>
      <c r="AT25" s="68" t="s">
        <v>96</v>
      </c>
      <c r="AU25" s="68" t="s">
        <v>97</v>
      </c>
      <c r="AV25" s="68" t="s">
        <v>98</v>
      </c>
      <c r="AW25" s="68" t="s">
        <v>99</v>
      </c>
      <c r="AX25" s="68" t="s">
        <v>100</v>
      </c>
    </row>
    <row r="26" spans="1:52" x14ac:dyDescent="0.2">
      <c r="A26" t="s">
        <v>28</v>
      </c>
      <c r="B26" t="s">
        <v>1</v>
      </c>
      <c r="C26" t="s">
        <v>10</v>
      </c>
      <c r="D26" s="53">
        <v>58.333333333333329</v>
      </c>
      <c r="E26" s="64">
        <v>850.5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31">
        <f>D26*SUM(E26:V26)</f>
        <v>49612.499999999993</v>
      </c>
      <c r="AB26" t="s">
        <v>27</v>
      </c>
      <c r="AC26" t="s">
        <v>21</v>
      </c>
      <c r="AF26" s="4">
        <v>300</v>
      </c>
      <c r="AG26" s="35">
        <f>AF26+'Planning Model'!E43+'Planning Model'!E98+'Planning Model'!E60+'Planning Model'!E115-'Planning Model'!E137</f>
        <v>284.17531299999996</v>
      </c>
      <c r="AH26" s="35">
        <f>AG26+'Planning Model'!F43+'Planning Model'!F98+'Planning Model'!F60+'Planning Model'!F115-'Planning Model'!F137</f>
        <v>814.93398200000001</v>
      </c>
      <c r="AI26" s="35">
        <f>AH26+'Planning Model'!G43+'Planning Model'!G98+'Planning Model'!G60+'Planning Model'!G115-'Planning Model'!G137</f>
        <v>949.99999200000002</v>
      </c>
      <c r="AJ26" s="35">
        <f>AI26+'Planning Model'!H43+'Planning Model'!H98+'Planning Model'!H60+'Planning Model'!H115-'Planning Model'!H137</f>
        <v>788.23489200000006</v>
      </c>
      <c r="AK26" s="35">
        <f>AJ26+'Planning Model'!I43+'Planning Model'!I98+'Planning Model'!I60+'Planning Model'!I115-'Planning Model'!I137</f>
        <v>647.26452200000006</v>
      </c>
      <c r="AL26" s="35">
        <f>AK26+'Planning Model'!J43+'Planning Model'!J98+'Planning Model'!J60+'Planning Model'!J115-'Planning Model'!J137</f>
        <v>509.83435200000008</v>
      </c>
      <c r="AM26" s="35">
        <f>AL26+'Planning Model'!K43+'Planning Model'!K98+'Planning Model'!K60+'Planning Model'!K115-'Planning Model'!K137</f>
        <v>296.97546200000011</v>
      </c>
      <c r="AN26" s="35">
        <f>AM26+'Planning Model'!L43+'Planning Model'!L98+'Planning Model'!L60+'Planning Model'!L115-'Planning Model'!L137</f>
        <v>83.733852000000098</v>
      </c>
      <c r="AO26" s="35">
        <f>AN26+'Planning Model'!M43+'Planning Model'!M98+'Planning Model'!M60+'Planning Model'!M115-'Planning Model'!M137</f>
        <v>-4.6999999057106834E-6</v>
      </c>
      <c r="AP26" s="35">
        <f>AO26+'Planning Model'!N43+'Planning Model'!N98+'Planning Model'!N60+'Planning Model'!N115-'Planning Model'!N137</f>
        <v>86.916847300000114</v>
      </c>
      <c r="AQ26" s="35">
        <f>AP26+'Planning Model'!O43+'Planning Model'!O98+'Planning Model'!O60+'Planning Model'!O115-'Planning Model'!O137</f>
        <v>38.629709300000115</v>
      </c>
      <c r="AR26" s="35">
        <f>AQ26+'Planning Model'!P43+'Planning Model'!P98+'Planning Model'!P60+'Planning Model'!P115-'Planning Model'!P137</f>
        <v>-6.9999988738800312E-7</v>
      </c>
      <c r="AS26" s="35">
        <f>AR26+'Planning Model'!Q43+'Planning Model'!Q98+'Planning Model'!Q60+'Planning Model'!Q115-'Planning Model'!Q137</f>
        <v>-6.9999988738800312E-7</v>
      </c>
      <c r="AT26" s="35">
        <f>AS26+'Planning Model'!R43+'Planning Model'!R98+'Planning Model'!R60+'Planning Model'!R115-'Planning Model'!R137</f>
        <v>-6.9999988738800312E-7</v>
      </c>
      <c r="AU26" s="35">
        <f>AT26+'Planning Model'!S43+'Planning Model'!S98+'Planning Model'!S60+'Planning Model'!S115-'Planning Model'!S137</f>
        <v>336.79270930000013</v>
      </c>
      <c r="AV26" s="35">
        <f>AU26+'Planning Model'!T43+'Planning Model'!T98+'Planning Model'!T60+'Planning Model'!T115-'Planning Model'!T137</f>
        <v>194.5988493000001</v>
      </c>
      <c r="AW26" s="35">
        <f>AV26+'Planning Model'!U43+'Planning Model'!U98+'Planning Model'!U60+'Planning Model'!U115-'Planning Model'!U137</f>
        <v>-1.6999998990741005E-6</v>
      </c>
      <c r="AX26" s="35">
        <f>AW26+'Planning Model'!V43+'Planning Model'!V98+'Planning Model'!V60+'Planning Model'!V115-'Planning Model'!V137</f>
        <v>-1.6999998990741005E-6</v>
      </c>
    </row>
    <row r="27" spans="1:52" x14ac:dyDescent="0.2">
      <c r="A27" t="s">
        <v>28</v>
      </c>
      <c r="B27" t="s">
        <v>1</v>
      </c>
      <c r="C27" t="s">
        <v>11</v>
      </c>
      <c r="D27" s="54">
        <v>41.666666666666671</v>
      </c>
      <c r="E27" s="64">
        <v>49.5</v>
      </c>
      <c r="F27" s="64">
        <v>1000</v>
      </c>
      <c r="G27" s="64">
        <v>635.85505999999998</v>
      </c>
      <c r="H27" s="64">
        <v>985.72950000000003</v>
      </c>
      <c r="I27" s="64">
        <v>798.51655000000005</v>
      </c>
      <c r="J27" s="64">
        <v>292.46568000000002</v>
      </c>
      <c r="K27" s="64">
        <v>788.05632000000003</v>
      </c>
      <c r="L27" s="64">
        <v>842.84018000000003</v>
      </c>
      <c r="M27" s="64">
        <v>878.19556999999998</v>
      </c>
      <c r="N27" s="64">
        <v>162.18707000000001</v>
      </c>
      <c r="O27" s="64">
        <v>162.18707000000001</v>
      </c>
      <c r="P27" s="64">
        <v>371.08528999999999</v>
      </c>
      <c r="Q27" s="64">
        <v>455.34875</v>
      </c>
      <c r="R27" s="64">
        <v>1390.5406</v>
      </c>
      <c r="S27" s="64">
        <v>1255.5663</v>
      </c>
      <c r="T27" s="64">
        <v>1256.8051</v>
      </c>
      <c r="U27" s="64">
        <v>883.59365000000003</v>
      </c>
      <c r="V27" s="64">
        <v>682.81785000000002</v>
      </c>
      <c r="W27" s="31">
        <f t="shared" ref="W27:W75" si="1">D27*SUM(E27:V27)</f>
        <v>537137.10583333333</v>
      </c>
      <c r="AB27" t="s">
        <v>27</v>
      </c>
      <c r="AC27" t="s">
        <v>10</v>
      </c>
      <c r="AF27" s="4">
        <v>0</v>
      </c>
      <c r="AG27" s="35">
        <f>AF27+'Planning Model'!E35+'Planning Model'!E61+'Planning Model'!E90+'Planning Model'!E116-'Planning Model'!E138</f>
        <v>109.62</v>
      </c>
      <c r="AH27" s="35">
        <f>AG27+'Planning Model'!F35+'Planning Model'!F61+'Planning Model'!F90+'Planning Model'!F116-'Planning Model'!F138</f>
        <v>105.84</v>
      </c>
      <c r="AI27" s="35">
        <f>AH27+'Planning Model'!G35+'Planning Model'!G61+'Planning Model'!G90+'Planning Model'!G116-'Planning Model'!G138</f>
        <v>100.17</v>
      </c>
      <c r="AJ27" s="35">
        <f>AI27+'Planning Model'!H35+'Planning Model'!H61+'Planning Model'!H90+'Planning Model'!H116-'Planning Model'!H138</f>
        <v>97.335000000000008</v>
      </c>
      <c r="AK27" s="35">
        <f>AJ27+'Planning Model'!I35+'Planning Model'!I61+'Planning Model'!I90+'Planning Model'!I116-'Planning Model'!I138</f>
        <v>92.610000000000014</v>
      </c>
      <c r="AL27" s="35">
        <f>AK27+'Planning Model'!J35+'Planning Model'!J61+'Planning Model'!J90+'Planning Model'!J116-'Planning Model'!J138</f>
        <v>86.940000000000012</v>
      </c>
      <c r="AM27" s="35">
        <f>AL27+'Planning Model'!K35+'Planning Model'!K61+'Planning Model'!K90+'Planning Model'!K116-'Planning Model'!K138</f>
        <v>77.490000000000009</v>
      </c>
      <c r="AN27" s="35">
        <f>AM27+'Planning Model'!L35+'Planning Model'!L61+'Planning Model'!L90+'Planning Model'!L116-'Planning Model'!L138</f>
        <v>63.315000000000012</v>
      </c>
      <c r="AO27" s="35">
        <f>AN27+'Planning Model'!M35+'Planning Model'!M61+'Planning Model'!M90+'Planning Model'!M116-'Planning Model'!M138</f>
        <v>49.140000000000015</v>
      </c>
      <c r="AP27" s="35">
        <f>AO27+'Planning Model'!N35+'Planning Model'!N61+'Planning Model'!N90+'Planning Model'!N116-'Planning Model'!N138</f>
        <v>37.800000000000011</v>
      </c>
      <c r="AQ27" s="35">
        <f>AP27+'Planning Model'!O35+'Planning Model'!O61+'Planning Model'!O90+'Planning Model'!O116-'Planning Model'!O138</f>
        <v>30.240000000000013</v>
      </c>
      <c r="AR27" s="35">
        <f>AQ27+'Planning Model'!P35+'Planning Model'!P61+'Planning Model'!P90+'Planning Model'!P116-'Planning Model'!P138</f>
        <v>22.680000000000014</v>
      </c>
      <c r="AS27" s="35">
        <f>AR27+'Planning Model'!Q35+'Planning Model'!Q61+'Planning Model'!Q90+'Planning Model'!Q116-'Planning Model'!Q138</f>
        <v>16.065000000000012</v>
      </c>
      <c r="AT27" s="35">
        <f>AS27+'Planning Model'!R35+'Planning Model'!R61+'Planning Model'!R90+'Planning Model'!R116-'Planning Model'!R138</f>
        <v>10.395000000000012</v>
      </c>
      <c r="AU27" s="35">
        <f>AT27+'Planning Model'!S35+'Planning Model'!S61+'Planning Model'!S90+'Planning Model'!S116-'Planning Model'!S138</f>
        <v>6.6150000000000126</v>
      </c>
      <c r="AV27" s="35">
        <f>AU27+'Planning Model'!T35+'Planning Model'!T61+'Planning Model'!T90+'Planning Model'!T116-'Planning Model'!T138</f>
        <v>3.7800000000000127</v>
      </c>
      <c r="AW27" s="35">
        <f>AV27+'Planning Model'!U35+'Planning Model'!U61+'Planning Model'!U90+'Planning Model'!U116-'Planning Model'!U138</f>
        <v>1.8900000000000128</v>
      </c>
      <c r="AX27" s="35">
        <f>AW27+'Planning Model'!V35+'Planning Model'!V61+'Planning Model'!V90+'Planning Model'!V116-'Planning Model'!V138</f>
        <v>1.2878587085651816E-14</v>
      </c>
      <c r="AY27" s="34"/>
    </row>
    <row r="28" spans="1:52" x14ac:dyDescent="0.2">
      <c r="A28" t="s">
        <v>28</v>
      </c>
      <c r="B28" t="s">
        <v>1</v>
      </c>
      <c r="C28" t="s">
        <v>12</v>
      </c>
      <c r="D28" s="54">
        <v>41.666666666666671</v>
      </c>
      <c r="E28" s="64">
        <v>0</v>
      </c>
      <c r="F28" s="64">
        <v>0</v>
      </c>
      <c r="G28" s="64">
        <v>227.37625</v>
      </c>
      <c r="H28" s="64">
        <v>0</v>
      </c>
      <c r="I28" s="64">
        <v>201.48345</v>
      </c>
      <c r="J28" s="64">
        <v>241.542</v>
      </c>
      <c r="K28" s="64">
        <v>285.00254999999999</v>
      </c>
      <c r="L28" s="64">
        <v>371.58345000000003</v>
      </c>
      <c r="M28" s="64">
        <v>160.14914999999999</v>
      </c>
      <c r="N28" s="64">
        <v>107.24805000000001</v>
      </c>
      <c r="O28" s="64">
        <v>107.24805000000001</v>
      </c>
      <c r="P28" s="64">
        <v>85.798439999999999</v>
      </c>
      <c r="Q28" s="64">
        <v>44.651249999999997</v>
      </c>
      <c r="R28" s="64">
        <v>109.45935</v>
      </c>
      <c r="S28" s="64">
        <v>244.43369999999999</v>
      </c>
      <c r="T28" s="64">
        <v>243.19488999999999</v>
      </c>
      <c r="U28" s="64">
        <v>301.55036000000001</v>
      </c>
      <c r="V28" s="64">
        <v>362.31299999999999</v>
      </c>
      <c r="W28" s="31">
        <f t="shared" si="1"/>
        <v>128876.4141666667</v>
      </c>
      <c r="AB28" t="s">
        <v>27</v>
      </c>
      <c r="AC28" t="s">
        <v>23</v>
      </c>
      <c r="AF28" s="4">
        <v>0</v>
      </c>
      <c r="AG28" s="35">
        <f>AF28-'Planning Model'!E139-'Planning Model'!E143-'Planning Model'!E152-'Planning Model'!E159</f>
        <v>0</v>
      </c>
      <c r="AH28" s="35">
        <f>AG28-'Planning Model'!F139-'Planning Model'!F143-'Planning Model'!F152-'Planning Model'!F159</f>
        <v>0</v>
      </c>
      <c r="AI28" s="35">
        <f>AH28-'Planning Model'!G139-'Planning Model'!G143-'Planning Model'!G152-'Planning Model'!G159</f>
        <v>0</v>
      </c>
      <c r="AJ28" s="35">
        <f>AI28-'Planning Model'!H139-'Planning Model'!H143-'Planning Model'!H152-'Planning Model'!H159</f>
        <v>0</v>
      </c>
      <c r="AK28" s="35">
        <f>AJ28-'Planning Model'!I139-'Planning Model'!I143-'Planning Model'!I152-'Planning Model'!I159</f>
        <v>0</v>
      </c>
      <c r="AL28" s="35">
        <f>AK28-'Planning Model'!J139-'Planning Model'!J143-'Planning Model'!J152-'Planning Model'!J159</f>
        <v>0</v>
      </c>
      <c r="AM28" s="35">
        <f>AL28-'Planning Model'!K139-'Planning Model'!K143-'Planning Model'!K152-'Planning Model'!K159</f>
        <v>0</v>
      </c>
      <c r="AN28" s="35">
        <f>AM28-'Planning Model'!L139-'Planning Model'!L143-'Planning Model'!L152-'Planning Model'!L159</f>
        <v>0</v>
      </c>
      <c r="AO28" s="35">
        <f>AN28-'Planning Model'!M139-'Planning Model'!M143-'Planning Model'!M152-'Planning Model'!M159</f>
        <v>0</v>
      </c>
      <c r="AP28" s="35">
        <f>AO28-'Planning Model'!N139-'Planning Model'!N143-'Planning Model'!N152-'Planning Model'!N159</f>
        <v>0</v>
      </c>
      <c r="AQ28" s="35">
        <f>AP28-'Planning Model'!O139-'Planning Model'!O143-'Planning Model'!O152-'Planning Model'!O159</f>
        <v>0</v>
      </c>
      <c r="AR28" s="35">
        <f>AQ28-'Planning Model'!P139-'Planning Model'!P143-'Planning Model'!P152-'Planning Model'!P159</f>
        <v>0</v>
      </c>
      <c r="AS28" s="35">
        <f>AR28-'Planning Model'!Q139-'Planning Model'!Q143-'Planning Model'!Q152-'Planning Model'!Q159</f>
        <v>0</v>
      </c>
      <c r="AT28" s="35">
        <f>AS28-'Planning Model'!R139-'Planning Model'!R143-'Planning Model'!R152-'Planning Model'!R159</f>
        <v>0</v>
      </c>
      <c r="AU28" s="35">
        <f>AT28-'Planning Model'!S139-'Planning Model'!S143-'Planning Model'!S152-'Planning Model'!S159</f>
        <v>0</v>
      </c>
      <c r="AV28" s="35">
        <f>AU28-'Planning Model'!T139-'Planning Model'!T143-'Planning Model'!T152-'Planning Model'!T159</f>
        <v>0</v>
      </c>
      <c r="AW28" s="35">
        <f>AV28-'Planning Model'!U139-'Planning Model'!U143-'Planning Model'!U152-'Planning Model'!U159</f>
        <v>0</v>
      </c>
      <c r="AX28" s="35">
        <f>AW28-'Planning Model'!V139-'Planning Model'!V143-'Planning Model'!V152-'Planning Model'!V159</f>
        <v>0</v>
      </c>
      <c r="AY28" s="1"/>
    </row>
    <row r="29" spans="1:52" x14ac:dyDescent="0.2">
      <c r="A29" t="s">
        <v>28</v>
      </c>
      <c r="B29" t="s">
        <v>1</v>
      </c>
      <c r="C29" t="s">
        <v>13</v>
      </c>
      <c r="D29" s="54">
        <v>50</v>
      </c>
      <c r="E29" s="64">
        <v>0</v>
      </c>
      <c r="F29" s="64">
        <v>0</v>
      </c>
      <c r="G29" s="64">
        <v>136.76868999999999</v>
      </c>
      <c r="H29" s="64">
        <v>14.2705</v>
      </c>
      <c r="I29" s="64">
        <v>0</v>
      </c>
      <c r="J29" s="64">
        <v>965.99231999999995</v>
      </c>
      <c r="K29" s="64">
        <v>426.94112999999999</v>
      </c>
      <c r="L29" s="64">
        <v>285.57637</v>
      </c>
      <c r="M29" s="64">
        <v>361.65528</v>
      </c>
      <c r="N29" s="64">
        <v>230.56487999999999</v>
      </c>
      <c r="O29" s="64">
        <v>230.56487999999999</v>
      </c>
      <c r="P29" s="64">
        <v>43.116272000000002</v>
      </c>
      <c r="Q29" s="64">
        <v>0</v>
      </c>
      <c r="R29" s="64">
        <v>0</v>
      </c>
      <c r="S29" s="64">
        <v>0</v>
      </c>
      <c r="T29" s="64">
        <v>0</v>
      </c>
      <c r="U29" s="64">
        <v>314.85599000000002</v>
      </c>
      <c r="V29" s="64">
        <v>954.86914999999999</v>
      </c>
      <c r="W29" s="31">
        <f t="shared" si="1"/>
        <v>198258.77310000002</v>
      </c>
      <c r="AB29" t="s">
        <v>27</v>
      </c>
      <c r="AC29" t="s">
        <v>14</v>
      </c>
      <c r="AF29" s="4">
        <v>0</v>
      </c>
      <c r="AG29" s="35">
        <f>AF29-'Planning Model'!E140</f>
        <v>0</v>
      </c>
      <c r="AH29" s="35">
        <f>AG29-'Planning Model'!F140</f>
        <v>0</v>
      </c>
      <c r="AI29" s="35">
        <f>AH29-'Planning Model'!G140</f>
        <v>0</v>
      </c>
      <c r="AJ29" s="35">
        <f>AI29-'Planning Model'!H140</f>
        <v>0</v>
      </c>
      <c r="AK29" s="35">
        <f>AJ29-'Planning Model'!I140</f>
        <v>0</v>
      </c>
      <c r="AL29" s="35">
        <f>AK29-'Planning Model'!J140</f>
        <v>0</v>
      </c>
      <c r="AM29" s="35">
        <f>AL29-'Planning Model'!K140</f>
        <v>0</v>
      </c>
      <c r="AN29" s="35">
        <f>AM29-'Planning Model'!L140</f>
        <v>0</v>
      </c>
      <c r="AO29" s="35">
        <f>AN29-'Planning Model'!M140</f>
        <v>0</v>
      </c>
      <c r="AP29" s="35">
        <f>AO29-'Planning Model'!N140</f>
        <v>0</v>
      </c>
      <c r="AQ29" s="35">
        <f>AP29-'Planning Model'!O140</f>
        <v>0</v>
      </c>
      <c r="AR29" s="35">
        <f>AQ29-'Planning Model'!P140</f>
        <v>0</v>
      </c>
      <c r="AS29" s="35">
        <f>AR29-'Planning Model'!Q140</f>
        <v>0</v>
      </c>
      <c r="AT29" s="35">
        <f>AS29-'Planning Model'!R140</f>
        <v>0</v>
      </c>
      <c r="AU29" s="35">
        <f>AT29-'Planning Model'!S140</f>
        <v>0</v>
      </c>
      <c r="AV29" s="35">
        <f>AU29-'Planning Model'!T140</f>
        <v>0</v>
      </c>
      <c r="AW29" s="35">
        <f>AV29-'Planning Model'!U140</f>
        <v>0</v>
      </c>
      <c r="AX29" s="35">
        <f>AW29-'Planning Model'!V140</f>
        <v>0</v>
      </c>
      <c r="AY29" s="1"/>
    </row>
    <row r="30" spans="1:52" x14ac:dyDescent="0.2">
      <c r="A30" t="s">
        <v>28</v>
      </c>
      <c r="B30" t="s">
        <v>2</v>
      </c>
      <c r="C30" t="s">
        <v>14</v>
      </c>
      <c r="D30" s="54">
        <v>41.666666666666671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31">
        <f t="shared" si="1"/>
        <v>0</v>
      </c>
      <c r="AB30" t="s">
        <v>27</v>
      </c>
      <c r="AC30" t="s">
        <v>11</v>
      </c>
      <c r="AF30" s="4">
        <v>300</v>
      </c>
      <c r="AG30" s="35">
        <f>AF30+'Planning Model'!E36+'Planning Model'!E62+'Planning Model'!E91+'Planning Model'!E117-'Planning Model'!E142</f>
        <v>723.68718999999999</v>
      </c>
      <c r="AH30" s="35">
        <f>AG30+'Planning Model'!F36+'Planning Model'!F62+'Planning Model'!F91+'Planning Model'!F117-'Planning Model'!F142</f>
        <v>646.26511200000004</v>
      </c>
      <c r="AI30" s="35">
        <f>AH30+'Planning Model'!G36+'Planning Model'!G62+'Planning Model'!G91+'Planning Model'!G117-'Planning Model'!G142</f>
        <v>550.88685300000009</v>
      </c>
      <c r="AJ30" s="35">
        <f>AI30+'Planning Model'!H36+'Planning Model'!H62+'Planning Model'!H91+'Planning Model'!H117-'Planning Model'!H142</f>
        <v>403.02743300000009</v>
      </c>
      <c r="AK30" s="35">
        <f>AJ30+'Planning Model'!I36+'Planning Model'!I62+'Planning Model'!I91+'Planning Model'!I117-'Planning Model'!I142</f>
        <v>308.57940900000006</v>
      </c>
      <c r="AL30" s="35">
        <f>AK30+'Planning Model'!J36+'Planning Model'!J62+'Planning Model'!J91+'Planning Model'!J117-'Planning Model'!J142</f>
        <v>121.88933900000006</v>
      </c>
      <c r="AM30" s="35">
        <f>AL30+'Planning Model'!K36+'Planning Model'!K62+'Planning Model'!K91+'Planning Model'!K117-'Planning Model'!K142</f>
        <v>1.200000008338975E-5</v>
      </c>
      <c r="AN30" s="35">
        <f>AM30+'Planning Model'!L36+'Planning Model'!L62+'Planning Model'!L91+'Planning Model'!L117-'Planning Model'!L142</f>
        <v>1.5000000075815478E-5</v>
      </c>
      <c r="AO30" s="35">
        <f>AN30+'Planning Model'!M36+'Planning Model'!M62+'Planning Model'!M91+'Planning Model'!M117-'Planning Model'!M142</f>
        <v>1.5000000075815478E-5</v>
      </c>
      <c r="AP30" s="35">
        <f>AO30+'Planning Model'!N36+'Planning Model'!N62+'Planning Model'!N91+'Planning Model'!N117-'Planning Model'!N142</f>
        <v>129.97415600000008</v>
      </c>
      <c r="AQ30" s="35">
        <f>AP30+'Planning Model'!O36+'Planning Model'!O62+'Planning Model'!O91+'Planning Model'!O117-'Planning Model'!O142</f>
        <v>78.991997000000083</v>
      </c>
      <c r="AR30" s="35">
        <f>AQ30+'Planning Model'!P36+'Planning Model'!P62+'Planning Model'!P91+'Planning Model'!P117-'Planning Model'!P142</f>
        <v>38.206269000000084</v>
      </c>
      <c r="AS30" s="35">
        <f>AR30+'Planning Model'!Q36+'Planning Model'!Q62+'Planning Model'!Q91+'Planning Model'!Q117-'Planning Model'!Q142</f>
        <v>1.9000000079927304E-5</v>
      </c>
      <c r="AT30" s="35">
        <f>AS30+'Planning Model'!R36+'Planning Model'!R62+'Planning Model'!R91+'Planning Model'!R117-'Planning Model'!R142</f>
        <v>143.06740900000005</v>
      </c>
      <c r="AU30" s="35">
        <f>AT30+'Planning Model'!S36+'Planning Model'!S62+'Planning Model'!S91+'Planning Model'!S117-'Planning Model'!S142</f>
        <v>1.9000000065716449E-5</v>
      </c>
      <c r="AV30" s="35">
        <f>AU30+'Planning Model'!T36+'Planning Model'!T62+'Planning Model'!T91+'Planning Model'!T117-'Planning Model'!T142</f>
        <v>1.9000000065716449E-5</v>
      </c>
      <c r="AW30" s="35">
        <f>AV30+'Planning Model'!U36+'Planning Model'!U62+'Planning Model'!U91+'Planning Model'!U117-'Planning Model'!U142</f>
        <v>1.9000000065716449E-5</v>
      </c>
      <c r="AX30" s="35">
        <f>AW30+'Planning Model'!V36+'Planning Model'!V62+'Planning Model'!V91+'Planning Model'!V117-'Planning Model'!V142</f>
        <v>1.9000000065716449E-5</v>
      </c>
      <c r="AY30" s="1"/>
    </row>
    <row r="31" spans="1:52" x14ac:dyDescent="0.2">
      <c r="A31" t="s">
        <v>28</v>
      </c>
      <c r="B31" t="s">
        <v>2</v>
      </c>
      <c r="C31" t="s">
        <v>15</v>
      </c>
      <c r="D31" s="54">
        <v>58.333333333333329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31">
        <f t="shared" si="1"/>
        <v>0</v>
      </c>
      <c r="AB31" t="s">
        <v>27</v>
      </c>
      <c r="AC31" t="s">
        <v>15</v>
      </c>
      <c r="AF31" s="4">
        <v>250</v>
      </c>
      <c r="AG31" s="35">
        <f>AF31+'Planning Model'!E37+'Planning Model'!E63+'Planning Model'!E92+'Planning Model'!E118-'Planning Model'!E146</f>
        <v>199.4425</v>
      </c>
      <c r="AH31" s="35">
        <f>AG31+'Planning Model'!F37+'Planning Model'!F63+'Planning Model'!F92+'Planning Model'!F118-'Planning Model'!F146</f>
        <v>70.960299999999989</v>
      </c>
      <c r="AI31" s="35">
        <f>AH31+'Planning Model'!G37+'Planning Model'!G63+'Planning Model'!G92+'Planning Model'!G118-'Planning Model'!G146</f>
        <v>8.0501099999999894</v>
      </c>
      <c r="AJ31" s="35">
        <f>AI31+'Planning Model'!H37+'Planning Model'!H63+'Planning Model'!H92+'Planning Model'!H118-'Planning Model'!H146</f>
        <v>104.16641000000001</v>
      </c>
      <c r="AK31" s="35">
        <f>AJ31+'Planning Model'!I37+'Planning Model'!I63+'Planning Model'!I92+'Planning Model'!I118-'Planning Model'!I146</f>
        <v>0</v>
      </c>
      <c r="AL31" s="35">
        <f>AK31+'Planning Model'!J37+'Planning Model'!J63+'Planning Model'!J92+'Planning Model'!J118-'Planning Model'!J146</f>
        <v>0</v>
      </c>
      <c r="AM31" s="35">
        <f>AL31+'Planning Model'!K37+'Planning Model'!K63+'Planning Model'!K92+'Planning Model'!K118-'Planning Model'!K146</f>
        <v>0</v>
      </c>
      <c r="AN31" s="35">
        <f>AM31+'Planning Model'!L37+'Planning Model'!L63+'Planning Model'!L92+'Planning Model'!L118-'Planning Model'!L146</f>
        <v>2.9999999924257281E-6</v>
      </c>
      <c r="AO31" s="35">
        <f>AN31+'Planning Model'!M37+'Planning Model'!M63+'Planning Model'!M92+'Planning Model'!M118-'Planning Model'!M146</f>
        <v>2.9999999924257281E-6</v>
      </c>
      <c r="AP31" s="35">
        <f>AO31+'Planning Model'!N37+'Planning Model'!N63+'Planning Model'!N92+'Planning Model'!N118-'Planning Model'!N146</f>
        <v>2.9999999924257281E-6</v>
      </c>
      <c r="AQ31" s="35">
        <f>AP31+'Planning Model'!O37+'Planning Model'!O63+'Planning Model'!O92+'Planning Model'!O118-'Planning Model'!O146</f>
        <v>2.9999999924257281E-6</v>
      </c>
      <c r="AR31" s="35">
        <f>AQ31+'Planning Model'!P37+'Planning Model'!P63+'Planning Model'!P92+'Planning Model'!P118-'Planning Model'!P146</f>
        <v>2.9999999924257281E-6</v>
      </c>
      <c r="AS31" s="35">
        <f>AR31+'Planning Model'!Q37+'Planning Model'!Q63+'Planning Model'!Q92+'Planning Model'!Q118-'Planning Model'!Q146</f>
        <v>2.9999999924257281E-6</v>
      </c>
      <c r="AT31" s="35">
        <f>AS31+'Planning Model'!R37+'Planning Model'!R63+'Planning Model'!R92+'Planning Model'!R118-'Planning Model'!R146</f>
        <v>2.9999999924257281E-6</v>
      </c>
      <c r="AU31" s="35">
        <f>AT31+'Planning Model'!S37+'Planning Model'!S63+'Planning Model'!S92+'Planning Model'!S118-'Planning Model'!S146</f>
        <v>1.2999999967178155E-5</v>
      </c>
      <c r="AV31" s="35">
        <f>AU31+'Planning Model'!T37+'Planning Model'!T63+'Planning Model'!T92+'Planning Model'!T118-'Planning Model'!T146</f>
        <v>1.3999999964653398E-5</v>
      </c>
      <c r="AW31" s="35">
        <f>AV31+'Planning Model'!U37+'Planning Model'!U63+'Planning Model'!U92+'Planning Model'!U118-'Planning Model'!U146</f>
        <v>1.399999985096656E-5</v>
      </c>
      <c r="AX31" s="35">
        <f>AW31+'Planning Model'!V37+'Planning Model'!V63+'Planning Model'!V92+'Planning Model'!V118-'Planning Model'!V146</f>
        <v>9.9999997473787516E-6</v>
      </c>
      <c r="AY31" s="1"/>
    </row>
    <row r="32" spans="1:52" x14ac:dyDescent="0.2">
      <c r="A32" t="s">
        <v>28</v>
      </c>
      <c r="B32" t="s">
        <v>2</v>
      </c>
      <c r="C32" t="s">
        <v>16</v>
      </c>
      <c r="D32" s="54">
        <v>50</v>
      </c>
      <c r="E32" s="64">
        <v>0</v>
      </c>
      <c r="F32" s="64">
        <v>315</v>
      </c>
      <c r="G32" s="64">
        <v>315</v>
      </c>
      <c r="H32" s="64">
        <v>315</v>
      </c>
      <c r="I32" s="64">
        <v>315</v>
      </c>
      <c r="J32" s="64">
        <v>315</v>
      </c>
      <c r="K32" s="64">
        <v>315</v>
      </c>
      <c r="L32" s="64">
        <v>315</v>
      </c>
      <c r="M32" s="64">
        <v>315</v>
      </c>
      <c r="N32" s="64">
        <v>258.82416000000001</v>
      </c>
      <c r="O32" s="64">
        <v>258.82416000000001</v>
      </c>
      <c r="P32" s="64">
        <v>207.05932999999999</v>
      </c>
      <c r="Q32" s="64">
        <v>99.792000000000002</v>
      </c>
      <c r="R32" s="64">
        <v>654.20460000000003</v>
      </c>
      <c r="S32" s="64">
        <v>1050</v>
      </c>
      <c r="T32" s="64">
        <v>1050</v>
      </c>
      <c r="U32" s="64">
        <v>1050</v>
      </c>
      <c r="V32" s="64">
        <v>1050</v>
      </c>
      <c r="W32" s="31">
        <f t="shared" si="1"/>
        <v>409935.21250000002</v>
      </c>
      <c r="AB32" t="s">
        <v>27</v>
      </c>
      <c r="AC32" t="s">
        <v>12</v>
      </c>
      <c r="AF32" s="4">
        <v>50</v>
      </c>
      <c r="AG32" s="35">
        <f>AF32+'Planning Model'!E38+'Planning Model'!E64+'Planning Model'!E93+'Planning Model'!E119-'Planning Model'!E147</f>
        <v>46.692500000000003</v>
      </c>
      <c r="AH32" s="35">
        <f>AG32+'Planning Model'!F38+'Planning Model'!F64+'Planning Model'!F93+'Planning Model'!F119-'Planning Model'!F147</f>
        <v>38.584400000000002</v>
      </c>
      <c r="AI32" s="35">
        <f>AH32+'Planning Model'!G38+'Planning Model'!G64+'Planning Model'!G93+'Planning Model'!G119-'Planning Model'!G147</f>
        <v>20.478200000000001</v>
      </c>
      <c r="AJ32" s="35">
        <f>AI32+'Planning Model'!H38+'Planning Model'!H64+'Planning Model'!H93+'Planning Model'!H119-'Planning Model'!H147</f>
        <v>2.5137500000000017</v>
      </c>
      <c r="AK32" s="35">
        <f>AJ32+'Planning Model'!I38+'Planning Model'!I64+'Planning Model'!I93+'Planning Model'!I119-'Planning Model'!I147</f>
        <v>0</v>
      </c>
      <c r="AL32" s="35">
        <f>AK32+'Planning Model'!J38+'Planning Model'!J64+'Planning Model'!J93+'Planning Model'!J119-'Planning Model'!J147</f>
        <v>0</v>
      </c>
      <c r="AM32" s="35">
        <f>AL32+'Planning Model'!K38+'Planning Model'!K64+'Planning Model'!K93+'Planning Model'!K119-'Planning Model'!K147</f>
        <v>0</v>
      </c>
      <c r="AN32" s="35">
        <f>AM32+'Planning Model'!L38+'Planning Model'!L64+'Planning Model'!L93+'Planning Model'!L119-'Planning Model'!L147</f>
        <v>0</v>
      </c>
      <c r="AO32" s="35">
        <f>AN32+'Planning Model'!M38+'Planning Model'!M64+'Planning Model'!M93+'Planning Model'!M119-'Planning Model'!M147</f>
        <v>0</v>
      </c>
      <c r="AP32" s="35">
        <f>AO32+'Planning Model'!N38+'Planning Model'!N64+'Planning Model'!N93+'Planning Model'!N119-'Planning Model'!N147</f>
        <v>0</v>
      </c>
      <c r="AQ32" s="35">
        <f>AP32+'Planning Model'!O38+'Planning Model'!O64+'Planning Model'!O93+'Planning Model'!O119-'Planning Model'!O147</f>
        <v>0</v>
      </c>
      <c r="AR32" s="35">
        <f>AQ32+'Planning Model'!P38+'Planning Model'!P64+'Planning Model'!P93+'Planning Model'!P119-'Planning Model'!P147</f>
        <v>0</v>
      </c>
      <c r="AS32" s="35">
        <f>AR32+'Planning Model'!Q38+'Planning Model'!Q64+'Planning Model'!Q93+'Planning Model'!Q119-'Planning Model'!Q147</f>
        <v>0</v>
      </c>
      <c r="AT32" s="35">
        <f>AS32+'Planning Model'!R38+'Planning Model'!R64+'Planning Model'!R93+'Planning Model'!R119-'Planning Model'!R147</f>
        <v>0</v>
      </c>
      <c r="AU32" s="35">
        <f>AT32+'Planning Model'!S38+'Planning Model'!S64+'Planning Model'!S93+'Planning Model'!S119-'Planning Model'!S147</f>
        <v>0</v>
      </c>
      <c r="AV32" s="35">
        <f>AU32+'Planning Model'!T38+'Planning Model'!T64+'Planning Model'!T93+'Planning Model'!T119-'Planning Model'!T147</f>
        <v>0</v>
      </c>
      <c r="AW32" s="35">
        <f>AV32+'Planning Model'!U38+'Planning Model'!U64+'Planning Model'!U93+'Planning Model'!U119-'Planning Model'!U147</f>
        <v>0</v>
      </c>
      <c r="AX32" s="35">
        <f>AW32+'Planning Model'!V38+'Planning Model'!V64+'Planning Model'!V93+'Planning Model'!V119-'Planning Model'!V147</f>
        <v>0</v>
      </c>
      <c r="AY32" s="1"/>
    </row>
    <row r="33" spans="1:51" x14ac:dyDescent="0.2">
      <c r="A33" t="s">
        <v>28</v>
      </c>
      <c r="B33" t="s">
        <v>2</v>
      </c>
      <c r="C33" t="s">
        <v>17</v>
      </c>
      <c r="D33" s="54">
        <v>66.666666666666671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31">
        <f t="shared" si="1"/>
        <v>0</v>
      </c>
      <c r="AB33" t="s">
        <v>27</v>
      </c>
      <c r="AC33" t="s">
        <v>19</v>
      </c>
      <c r="AF33" s="4">
        <v>200</v>
      </c>
      <c r="AG33" s="35">
        <f>AF33+'Planning Model'!E39+'Planning Model'!E47+'Planning Model'!E94+'Planning Model'!E102-'Planning Model'!E148</f>
        <v>195.18049999999999</v>
      </c>
      <c r="AH33" s="35">
        <f>AG33+'Planning Model'!F39+'Planning Model'!F47+'Planning Model'!F94+'Planning Model'!F102-'Planning Model'!F148</f>
        <v>189.80534</v>
      </c>
      <c r="AI33" s="35">
        <f>AH33+'Planning Model'!G39+'Planning Model'!G47+'Planning Model'!G94+'Planning Model'!G102-'Planning Model'!G148</f>
        <v>185.56985</v>
      </c>
      <c r="AJ33" s="35">
        <f>AI33+'Planning Model'!H39+'Planning Model'!H47+'Planning Model'!H94+'Planning Model'!H102-'Planning Model'!H148</f>
        <v>180.101135</v>
      </c>
      <c r="AK33" s="35">
        <f>AJ33+'Planning Model'!I39+'Planning Model'!I47+'Planning Model'!I94+'Planning Model'!I102-'Planning Model'!I148</f>
        <v>172.33607000000001</v>
      </c>
      <c r="AL33" s="35">
        <f>AK33+'Planning Model'!J39+'Planning Model'!J47+'Planning Model'!J94+'Planning Model'!J102-'Planning Model'!J148</f>
        <v>162.96356</v>
      </c>
      <c r="AM33" s="35">
        <f>AL33+'Planning Model'!K39+'Planning Model'!K47+'Planning Model'!K94+'Planning Model'!K102-'Planning Model'!K148</f>
        <v>154.84979000000001</v>
      </c>
      <c r="AN33" s="35">
        <f>AM33+'Planning Model'!L39+'Planning Model'!L47+'Planning Model'!L94+'Planning Model'!L102-'Planning Model'!L148</f>
        <v>140.37428</v>
      </c>
      <c r="AO33" s="35">
        <f>AN33+'Planning Model'!M39+'Planning Model'!M47+'Planning Model'!M94+'Planning Model'!M102-'Planning Model'!M148</f>
        <v>126.76627999999999</v>
      </c>
      <c r="AP33" s="35">
        <f>AO33+'Planning Model'!N39+'Planning Model'!N47+'Planning Model'!N94+'Planning Model'!N102-'Planning Model'!N148</f>
        <v>117.487325</v>
      </c>
      <c r="AQ33" s="35">
        <f>AP33+'Planning Model'!O39+'Planning Model'!O47+'Planning Model'!O94+'Planning Model'!O102-'Planning Model'!O148</f>
        <v>108.20837</v>
      </c>
      <c r="AR33" s="35">
        <f>AQ33+'Planning Model'!P39+'Planning Model'!P47+'Planning Model'!P94+'Planning Model'!P102-'Planning Model'!P148</f>
        <v>100.785206</v>
      </c>
      <c r="AS33" s="35">
        <f>AR33+'Planning Model'!Q39+'Planning Model'!Q47+'Planning Model'!Q94+'Planning Model'!Q102-'Planning Model'!Q148</f>
        <v>93.555956000000009</v>
      </c>
      <c r="AT33" s="35">
        <f>AS33+'Planning Model'!R39+'Planning Model'!R47+'Planning Model'!R94+'Planning Model'!R102-'Planning Model'!R148</f>
        <v>85.493216000000004</v>
      </c>
      <c r="AU33" s="35">
        <f>AT33+'Planning Model'!S39+'Planning Model'!S47+'Planning Model'!S94+'Planning Model'!S102-'Planning Model'!S148</f>
        <v>79.139981000000006</v>
      </c>
      <c r="AV33" s="35">
        <f>AU33+'Planning Model'!T39+'Planning Model'!T47+'Planning Model'!T94+'Planning Model'!T102-'Planning Model'!T148</f>
        <v>70.936908500000001</v>
      </c>
      <c r="AW33" s="35">
        <f>AV33+'Planning Model'!U39+'Planning Model'!U47+'Planning Model'!U94+'Planning Model'!U102-'Planning Model'!U148</f>
        <v>59.289311500000004</v>
      </c>
      <c r="AX33" s="35">
        <f>AW33+'Planning Model'!V39+'Planning Model'!V47+'Planning Model'!V94+'Planning Model'!V102-'Planning Model'!V148</f>
        <v>45.230546500000003</v>
      </c>
      <c r="AY33" s="1"/>
    </row>
    <row r="34" spans="1:51" x14ac:dyDescent="0.2">
      <c r="A34" t="s">
        <v>28</v>
      </c>
      <c r="B34" t="s">
        <v>2</v>
      </c>
      <c r="C34" t="s">
        <v>18</v>
      </c>
      <c r="D34" s="54">
        <v>50</v>
      </c>
      <c r="E34" s="64">
        <v>115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20.292352000000001</v>
      </c>
      <c r="Q34" s="64">
        <v>215.208</v>
      </c>
      <c r="R34" s="64">
        <v>395.79539999999997</v>
      </c>
      <c r="S34" s="64">
        <v>0</v>
      </c>
      <c r="T34" s="64">
        <v>0</v>
      </c>
      <c r="U34" s="64">
        <v>0</v>
      </c>
      <c r="V34" s="64">
        <v>0</v>
      </c>
      <c r="W34" s="31">
        <f t="shared" si="1"/>
        <v>37314.787599999996</v>
      </c>
      <c r="AB34" t="s">
        <v>27</v>
      </c>
      <c r="AC34" t="s">
        <v>16</v>
      </c>
      <c r="AF34" s="4">
        <v>0</v>
      </c>
      <c r="AG34" s="35">
        <f>AF34-'Planning Model'!E151</f>
        <v>0</v>
      </c>
      <c r="AH34" s="35">
        <f>AG34-'Planning Model'!F151</f>
        <v>0</v>
      </c>
      <c r="AI34" s="35">
        <f>AH34-'Planning Model'!G151</f>
        <v>0</v>
      </c>
      <c r="AJ34" s="35">
        <f>AI34-'Planning Model'!H151</f>
        <v>0</v>
      </c>
      <c r="AK34" s="35">
        <f>AJ34-'Planning Model'!I151</f>
        <v>0</v>
      </c>
      <c r="AL34" s="35">
        <f>AK34-'Planning Model'!J151</f>
        <v>0</v>
      </c>
      <c r="AM34" s="35">
        <f>AL34-'Planning Model'!K151</f>
        <v>0</v>
      </c>
      <c r="AN34" s="35">
        <f>AM34-'Planning Model'!L151</f>
        <v>0</v>
      </c>
      <c r="AO34" s="35">
        <f>AN34-'Planning Model'!M151</f>
        <v>0</v>
      </c>
      <c r="AP34" s="35">
        <f>AO34-'Planning Model'!N151</f>
        <v>0</v>
      </c>
      <c r="AQ34" s="35">
        <f>AP34-'Planning Model'!O151</f>
        <v>0</v>
      </c>
      <c r="AR34" s="35">
        <f>AQ34-'Planning Model'!P151</f>
        <v>0</v>
      </c>
      <c r="AS34" s="35">
        <f>AR34-'Planning Model'!Q151</f>
        <v>0</v>
      </c>
      <c r="AT34" s="35">
        <f>AS34-'Planning Model'!R151</f>
        <v>0</v>
      </c>
      <c r="AU34" s="35">
        <f>AT34-'Planning Model'!S151</f>
        <v>0</v>
      </c>
      <c r="AV34" s="35">
        <f>AU34-'Planning Model'!T151</f>
        <v>0</v>
      </c>
      <c r="AW34" s="35">
        <f>AV34-'Planning Model'!U151</f>
        <v>0</v>
      </c>
      <c r="AX34" s="35">
        <f>AW34-'Planning Model'!V151</f>
        <v>0</v>
      </c>
      <c r="AY34" s="1"/>
    </row>
    <row r="35" spans="1:51" x14ac:dyDescent="0.2">
      <c r="A35" t="s">
        <v>27</v>
      </c>
      <c r="B35" t="s">
        <v>3</v>
      </c>
      <c r="C35" t="s">
        <v>10</v>
      </c>
      <c r="D35" s="54">
        <v>141.66666666666666</v>
      </c>
      <c r="E35" s="64">
        <v>113.4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31">
        <f t="shared" si="1"/>
        <v>16065</v>
      </c>
      <c r="AB35" t="s">
        <v>27</v>
      </c>
      <c r="AC35" t="s">
        <v>17</v>
      </c>
      <c r="AF35" s="4">
        <v>0</v>
      </c>
      <c r="AG35" s="35">
        <f>AF35+'Planning Model'!E40+'Planning Model'!E95-'Planning Model'!E154</f>
        <v>0</v>
      </c>
      <c r="AH35" s="35">
        <f>AG35+'Planning Model'!F40+'Planning Model'!F95-'Planning Model'!F154</f>
        <v>0</v>
      </c>
      <c r="AI35" s="35">
        <f>AH35+'Planning Model'!G40+'Planning Model'!G95-'Planning Model'!G154</f>
        <v>0</v>
      </c>
      <c r="AJ35" s="35">
        <f>AI35+'Planning Model'!H40+'Planning Model'!H95-'Planning Model'!H154</f>
        <v>92.405331999999987</v>
      </c>
      <c r="AK35" s="35">
        <f>AJ35+'Planning Model'!I40+'Planning Model'!I95-'Planning Model'!I154</f>
        <v>145.64832199999995</v>
      </c>
      <c r="AL35" s="35">
        <f>AK35+'Planning Model'!J40+'Planning Model'!J95-'Planning Model'!J154</f>
        <v>126.16630199999994</v>
      </c>
      <c r="AM35" s="35">
        <f>AL35+'Planning Model'!K40+'Planning Model'!K95-'Planning Model'!K154</f>
        <v>4.1943489999999315</v>
      </c>
      <c r="AN35" s="35">
        <f>AM35+'Planning Model'!L40+'Planning Model'!L95-'Planning Model'!L154</f>
        <v>-8.0000000792779247E-6</v>
      </c>
      <c r="AO35" s="35">
        <f>AN35+'Planning Model'!M40+'Planning Model'!M95-'Planning Model'!M154</f>
        <v>2.5058199999999218</v>
      </c>
      <c r="AP35" s="35">
        <f>AO35+'Planning Model'!N40+'Planning Model'!N95-'Planning Model'!N154</f>
        <v>89.322464999999909</v>
      </c>
      <c r="AQ35" s="35">
        <f>AP35+'Planning Model'!O40+'Planning Model'!O95-'Planning Model'!O154</f>
        <v>142.2993899999999</v>
      </c>
      <c r="AR35" s="35">
        <f>AQ35+'Planning Model'!P40+'Planning Model'!P95-'Planning Model'!P154</f>
        <v>229.68092599999989</v>
      </c>
      <c r="AS35" s="35">
        <f>AR35+'Planning Model'!Q40+'Planning Model'!Q95-'Planning Model'!Q154</f>
        <v>346.66742599999986</v>
      </c>
      <c r="AT35" s="35">
        <f>AS35+'Planning Model'!R40+'Planning Model'!R95-'Planning Model'!R154</f>
        <v>498.52655199999987</v>
      </c>
      <c r="AU35" s="35">
        <f>AT35+'Planning Model'!S40+'Planning Model'!S95-'Planning Model'!S154</f>
        <v>499.9999889999998</v>
      </c>
      <c r="AV35" s="35">
        <f>AU35+'Planning Model'!T40+'Planning Model'!T95-'Planning Model'!T154</f>
        <v>481.19162299999977</v>
      </c>
      <c r="AW35" s="35">
        <f>AV35+'Planning Model'!U40+'Planning Model'!U95-'Planning Model'!U154</f>
        <v>253.36606299999977</v>
      </c>
      <c r="AX35" s="35">
        <f>AW35+'Planning Model'!V40+'Planning Model'!V95-'Planning Model'!V154</f>
        <v>-1.700000024129622E-5</v>
      </c>
      <c r="AY35" s="1"/>
    </row>
    <row r="36" spans="1:51" x14ac:dyDescent="0.2">
      <c r="A36" t="s">
        <v>27</v>
      </c>
      <c r="B36" t="s">
        <v>3</v>
      </c>
      <c r="C36" t="s">
        <v>11</v>
      </c>
      <c r="D36" s="54">
        <v>161.66666666666669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31">
        <f t="shared" si="1"/>
        <v>0</v>
      </c>
      <c r="AB36" t="s">
        <v>27</v>
      </c>
      <c r="AC36" t="s">
        <v>18</v>
      </c>
      <c r="AF36" s="4">
        <v>0</v>
      </c>
      <c r="AG36" s="35">
        <f>AF36+'Planning Model'!E44+'Planning Model'!E99-'Planning Model'!E157</f>
        <v>105.825</v>
      </c>
      <c r="AH36" s="35">
        <f>AG36+'Planning Model'!F44+'Planning Model'!F99-'Planning Model'!F157</f>
        <v>292.88513999999998</v>
      </c>
      <c r="AI36" s="35">
        <f>AH36+'Planning Model'!G44+'Planning Model'!G99-'Planning Model'!G157</f>
        <v>512.88513999999998</v>
      </c>
      <c r="AJ36" s="35">
        <f>AI36+'Planning Model'!H44+'Planning Model'!H99-'Planning Model'!H157</f>
        <v>473.04809999999998</v>
      </c>
      <c r="AK36" s="35">
        <f>AJ36+'Planning Model'!I44+'Planning Model'!I99-'Planning Model'!I157</f>
        <v>166.97982999999994</v>
      </c>
      <c r="AL36" s="35">
        <f>AK36+'Planning Model'!J44+'Planning Model'!J99-'Planning Model'!J157</f>
        <v>293.72250999999994</v>
      </c>
      <c r="AM36" s="35">
        <f>AL36+'Planning Model'!K44+'Planning Model'!K99-'Planning Model'!K157</f>
        <v>1.3999999964653398E-5</v>
      </c>
      <c r="AN36" s="35">
        <f>AM36+'Planning Model'!L44+'Planning Model'!L99-'Planning Model'!L157</f>
        <v>1.3999999964653398E-5</v>
      </c>
      <c r="AO36" s="35">
        <f>AN36+'Planning Model'!M44+'Planning Model'!M99-'Planning Model'!M157</f>
        <v>1.3999999964653398E-5</v>
      </c>
      <c r="AP36" s="35">
        <f>AO36+'Planning Model'!N44+'Planning Model'!N99-'Planning Model'!N157</f>
        <v>1.3999999964653398E-5</v>
      </c>
      <c r="AQ36" s="35">
        <f>AP36+'Planning Model'!O44+'Planning Model'!O99-'Planning Model'!O157</f>
        <v>1.3999999964653398E-5</v>
      </c>
      <c r="AR36" s="35">
        <f>AQ36+'Planning Model'!P44+'Planning Model'!P99-'Planning Model'!P157</f>
        <v>1.3999999964653398E-5</v>
      </c>
      <c r="AS36" s="35">
        <f>AR36+'Planning Model'!Q44+'Planning Model'!Q99-'Planning Model'!Q157</f>
        <v>229.39126399999992</v>
      </c>
      <c r="AT36" s="35">
        <f>AS36+'Planning Model'!R44+'Planning Model'!R99-'Planning Model'!R157</f>
        <v>492.57231399999989</v>
      </c>
      <c r="AU36" s="35">
        <f>AT36+'Planning Model'!S44+'Planning Model'!S99-'Planning Model'!S157</f>
        <v>622.45024399999988</v>
      </c>
      <c r="AV36" s="35">
        <f>AU36+'Planning Model'!T44+'Planning Model'!T99-'Planning Model'!T157</f>
        <v>499.5383139999999</v>
      </c>
      <c r="AW36" s="35">
        <f>AV36+'Planning Model'!U44+'Planning Model'!U99-'Planning Model'!U157</f>
        <v>150.43591399999991</v>
      </c>
      <c r="AX36" s="35">
        <f>AW36+'Planning Model'!V44+'Planning Model'!V99-'Planning Model'!V157</f>
        <v>1.3999999964653398E-5</v>
      </c>
      <c r="AY36" s="1"/>
    </row>
    <row r="37" spans="1:51" x14ac:dyDescent="0.2">
      <c r="A37" t="s">
        <v>27</v>
      </c>
      <c r="B37" t="s">
        <v>3</v>
      </c>
      <c r="C37" t="s">
        <v>15</v>
      </c>
      <c r="D37" s="54">
        <v>175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48.7333</v>
      </c>
      <c r="K37" s="64">
        <v>114.166</v>
      </c>
      <c r="L37" s="64">
        <v>27.842203000000001</v>
      </c>
      <c r="M37" s="64">
        <v>0</v>
      </c>
      <c r="N37" s="64">
        <v>77.565600000000003</v>
      </c>
      <c r="O37" s="64">
        <v>77.565600000000003</v>
      </c>
      <c r="P37" s="64">
        <v>62.052480000000003</v>
      </c>
      <c r="Q37" s="64">
        <v>75.836250000000007</v>
      </c>
      <c r="R37" s="64">
        <v>0</v>
      </c>
      <c r="S37" s="64">
        <v>102.86754999999999</v>
      </c>
      <c r="T37" s="64">
        <v>98.759130999999996</v>
      </c>
      <c r="U37" s="64">
        <v>191.41942</v>
      </c>
      <c r="V37" s="64">
        <v>184.74299999999999</v>
      </c>
      <c r="W37" s="31">
        <f t="shared" si="1"/>
        <v>185771.34344999999</v>
      </c>
      <c r="AB37" t="s">
        <v>27</v>
      </c>
      <c r="AC37" t="s">
        <v>22</v>
      </c>
      <c r="AF37" s="4">
        <v>0</v>
      </c>
      <c r="AG37" s="35">
        <f>AF37+'Planning Model'!E45+'Planning Model'!E100-'Planning Model'!E155-'Planning Model'!E149-'Planning Model'!E144-'Planning Model'!E158</f>
        <v>0</v>
      </c>
      <c r="AH37" s="35">
        <f>AG37+'Planning Model'!F45+'Planning Model'!F100-'Planning Model'!F155-'Planning Model'!F149-'Planning Model'!F144-'Planning Model'!F158</f>
        <v>0</v>
      </c>
      <c r="AI37" s="35">
        <f>AH37+'Planning Model'!G45+'Planning Model'!G100-'Planning Model'!G155-'Planning Model'!G149-'Planning Model'!G144-'Planning Model'!G158</f>
        <v>0</v>
      </c>
      <c r="AJ37" s="35">
        <f>AI37+'Planning Model'!H45+'Planning Model'!H100-'Planning Model'!H155-'Planning Model'!H149-'Planning Model'!H144-'Planning Model'!H158</f>
        <v>0</v>
      </c>
      <c r="AK37" s="35">
        <f>AJ37+'Planning Model'!I45+'Planning Model'!I100-'Planning Model'!I155-'Planning Model'!I149-'Planning Model'!I144-'Planning Model'!I158</f>
        <v>0</v>
      </c>
      <c r="AL37" s="35">
        <f>AK37+'Planning Model'!J45+'Planning Model'!J100-'Planning Model'!J155-'Planning Model'!J149-'Planning Model'!J144-'Planning Model'!J158</f>
        <v>0</v>
      </c>
      <c r="AM37" s="35">
        <f>AL37+'Planning Model'!K45+'Planning Model'!K100-'Planning Model'!K155-'Planning Model'!K149-'Planning Model'!K144-'Planning Model'!K158</f>
        <v>74.966559999999987</v>
      </c>
      <c r="AN37" s="35">
        <f>AM37+'Planning Model'!L45+'Planning Model'!L100-'Planning Model'!L155-'Planning Model'!L149-'Planning Model'!L144-'Planning Model'!L158</f>
        <v>10.974939999999989</v>
      </c>
      <c r="AO37" s="35">
        <f>AN37+'Planning Model'!M45+'Planning Model'!M100-'Planning Model'!M155-'Planning Model'!M149-'Planning Model'!M144-'Planning Model'!M158</f>
        <v>-1.0000000116860974E-6</v>
      </c>
      <c r="AP37" s="35">
        <f>AO37+'Planning Model'!N45+'Planning Model'!N100-'Planning Model'!N155-'Planning Model'!N149-'Planning Model'!N144-'Planning Model'!N158</f>
        <v>-1.0000000116860974E-6</v>
      </c>
      <c r="AQ37" s="35">
        <f>AP37+'Planning Model'!O45+'Planning Model'!O100-'Planning Model'!O155-'Planning Model'!O149-'Planning Model'!O144-'Planning Model'!O158</f>
        <v>-1.0000000116860974E-6</v>
      </c>
      <c r="AR37" s="35">
        <f>AQ37+'Planning Model'!P45+'Planning Model'!P100-'Planning Model'!P155-'Planning Model'!P149-'Planning Model'!P144-'Planning Model'!P158</f>
        <v>-1.0000000116860974E-6</v>
      </c>
      <c r="AS37" s="35">
        <f>AR37+'Planning Model'!Q45+'Planning Model'!Q100-'Planning Model'!Q155-'Planning Model'!Q149-'Planning Model'!Q144-'Planning Model'!Q158</f>
        <v>-1.0000000116860974E-6</v>
      </c>
      <c r="AT37" s="35">
        <f>AS37+'Planning Model'!R45+'Planning Model'!R100-'Planning Model'!R155-'Planning Model'!R149-'Planning Model'!R144-'Planning Model'!R158</f>
        <v>-1.0000000116860974E-6</v>
      </c>
      <c r="AU37" s="35">
        <f>AT37+'Planning Model'!S45+'Planning Model'!S100-'Planning Model'!S155-'Planning Model'!S149-'Planning Model'!S144-'Planning Model'!S158</f>
        <v>-1.0000000116860974E-6</v>
      </c>
      <c r="AV37" s="35">
        <f>AU37+'Planning Model'!T45+'Planning Model'!T100-'Planning Model'!T155-'Planning Model'!T149-'Planning Model'!T144-'Planning Model'!T158</f>
        <v>-1.0000000116860974E-6</v>
      </c>
      <c r="AW37" s="35">
        <f>AV37+'Planning Model'!U45+'Planning Model'!U100-'Planning Model'!U155-'Planning Model'!U149-'Planning Model'!U144-'Planning Model'!U158</f>
        <v>-9.9999999747524271E-7</v>
      </c>
      <c r="AX37" s="35">
        <f>AW37+'Planning Model'!V45+'Planning Model'!V100-'Planning Model'!V155-'Planning Model'!V149-'Planning Model'!V144-'Planning Model'!V158</f>
        <v>-3.9999999899009708E-6</v>
      </c>
      <c r="AY37" s="1"/>
    </row>
    <row r="38" spans="1:51" x14ac:dyDescent="0.2">
      <c r="A38" t="s">
        <v>27</v>
      </c>
      <c r="B38" t="s">
        <v>3</v>
      </c>
      <c r="C38" t="s">
        <v>12</v>
      </c>
      <c r="D38" s="54">
        <v>150</v>
      </c>
      <c r="E38" s="64">
        <v>0</v>
      </c>
      <c r="F38" s="64">
        <v>0</v>
      </c>
      <c r="G38" s="64">
        <v>0</v>
      </c>
      <c r="H38" s="64">
        <v>0</v>
      </c>
      <c r="I38" s="64">
        <v>19.8733</v>
      </c>
      <c r="J38" s="64">
        <v>26.838000000000001</v>
      </c>
      <c r="K38" s="64">
        <v>31.66695</v>
      </c>
      <c r="L38" s="64">
        <v>41.287050000000001</v>
      </c>
      <c r="M38" s="64">
        <v>17.794350000000001</v>
      </c>
      <c r="N38" s="64">
        <v>11.916449999999999</v>
      </c>
      <c r="O38" s="64">
        <v>11.916449999999999</v>
      </c>
      <c r="P38" s="64">
        <v>9.5331600000000005</v>
      </c>
      <c r="Q38" s="64">
        <v>4.9612499999999997</v>
      </c>
      <c r="R38" s="64">
        <v>12.16215</v>
      </c>
      <c r="S38" s="64">
        <v>27.159300000000002</v>
      </c>
      <c r="T38" s="64">
        <v>26.946674999999999</v>
      </c>
      <c r="U38" s="64">
        <v>33.580575000000003</v>
      </c>
      <c r="V38" s="64">
        <v>40.256999999999998</v>
      </c>
      <c r="W38" s="31">
        <f t="shared" si="1"/>
        <v>47383.899000000005</v>
      </c>
      <c r="AB38" t="s">
        <v>27</v>
      </c>
      <c r="AC38" t="s">
        <v>13</v>
      </c>
      <c r="AF38" s="4">
        <v>800</v>
      </c>
      <c r="AG38" s="35">
        <f>AF38+'Planning Model'!E41+'Planning Model'!E65+'Planning Model'!E96+'Planning Model'!E120-'Planning Model'!E161</f>
        <v>794.33</v>
      </c>
      <c r="AH38" s="35">
        <f>AG38+'Planning Model'!F41+'Planning Model'!F65+'Planning Model'!F96+'Planning Model'!F120-'Planning Model'!F161</f>
        <v>742.17734000000007</v>
      </c>
      <c r="AI38" s="35">
        <f>AH38+'Planning Model'!G41+'Planning Model'!G65+'Planning Model'!G96+'Planning Model'!G120-'Planning Model'!G161</f>
        <v>665.31482000000005</v>
      </c>
      <c r="AJ38" s="35">
        <f>AI38+'Planning Model'!H41+'Planning Model'!H65+'Planning Model'!H96+'Planning Model'!H120-'Planning Model'!H161</f>
        <v>568.18772000000001</v>
      </c>
      <c r="AK38" s="35">
        <f>AJ38+'Planning Model'!I41+'Planning Model'!I65+'Planning Model'!I96+'Planning Model'!I120-'Planning Model'!I161</f>
        <v>413.49878000000001</v>
      </c>
      <c r="AL38" s="35">
        <f>AK38+'Planning Model'!J41+'Planning Model'!J65+'Planning Model'!J96+'Planning Model'!J120-'Planning Model'!J161</f>
        <v>232.81856000000002</v>
      </c>
      <c r="AM38" s="35">
        <f>AL38+'Planning Model'!K41+'Planning Model'!K65+'Planning Model'!K96+'Planning Model'!K120-'Planning Model'!K161</f>
        <v>29.605760000000032</v>
      </c>
      <c r="AN38" s="35">
        <f>AM38+'Planning Model'!L41+'Planning Model'!L65+'Planning Model'!L96+'Planning Model'!L120-'Planning Model'!L161</f>
        <v>0</v>
      </c>
      <c r="AO38" s="35">
        <f>AN38+'Planning Model'!M41+'Planning Model'!M65+'Planning Model'!M96+'Planning Model'!M120-'Planning Model'!M161</f>
        <v>-1.9999999523179213E-7</v>
      </c>
      <c r="AP38" s="35">
        <f>AO38+'Planning Model'!N41+'Planning Model'!N65+'Planning Model'!N96+'Planning Model'!N120-'Planning Model'!N161</f>
        <v>0</v>
      </c>
      <c r="AQ38" s="35">
        <f>AP38+'Planning Model'!O41+'Planning Model'!O65+'Planning Model'!O96+'Planning Model'!O120-'Planning Model'!O161</f>
        <v>0</v>
      </c>
      <c r="AR38" s="35">
        <f>AQ38+'Planning Model'!P41+'Planning Model'!P65+'Planning Model'!P96+'Planning Model'!P120-'Planning Model'!P161</f>
        <v>0</v>
      </c>
      <c r="AS38" s="35">
        <f>AR38+'Planning Model'!Q41+'Planning Model'!Q65+'Planning Model'!Q96+'Planning Model'!Q120-'Planning Model'!Q161</f>
        <v>0</v>
      </c>
      <c r="AT38" s="35">
        <f>AS38+'Planning Model'!R41+'Planning Model'!R65+'Planning Model'!R96+'Planning Model'!R120-'Planning Model'!R161</f>
        <v>15.985207000000003</v>
      </c>
      <c r="AU38" s="35">
        <f>AT38+'Planning Model'!S41+'Planning Model'!S65+'Planning Model'!S96+'Planning Model'!S120-'Planning Model'!S161</f>
        <v>0</v>
      </c>
      <c r="AV38" s="35">
        <f>AU38+'Planning Model'!T41+'Planning Model'!T65+'Planning Model'!T96+'Planning Model'!T120-'Planning Model'!T161</f>
        <v>0</v>
      </c>
      <c r="AW38" s="35">
        <f>AV38+'Planning Model'!U41+'Planning Model'!U65+'Planning Model'!U96+'Planning Model'!U120-'Planning Model'!U161</f>
        <v>0</v>
      </c>
      <c r="AX38" s="35">
        <f>AW38+'Planning Model'!V41+'Planning Model'!V65+'Planning Model'!V96+'Planning Model'!V120-'Planning Model'!V161</f>
        <v>0</v>
      </c>
      <c r="AY38" s="1"/>
    </row>
    <row r="39" spans="1:51" x14ac:dyDescent="0.2">
      <c r="A39" t="s">
        <v>27</v>
      </c>
      <c r="B39" t="s">
        <v>3</v>
      </c>
      <c r="C39" t="s">
        <v>19</v>
      </c>
      <c r="D39" s="54">
        <v>75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31">
        <f t="shared" si="1"/>
        <v>0</v>
      </c>
      <c r="AB39" t="s">
        <v>27</v>
      </c>
      <c r="AC39" t="s">
        <v>20</v>
      </c>
      <c r="AF39" s="4">
        <v>3000</v>
      </c>
      <c r="AG39" s="35">
        <f>AF39+'Planning Model'!E42+'Planning Model'!E46+'Planning Model'!E48+'Planning Model'!E66+'Planning Model'!E97+'Planning Model'!E101+'Planning Model'!E103+'Planning Model'!E121-'Planning Model'!E136-'Planning Model'!E141-'Planning Model'!E145-'Planning Model'!E150-'Planning Model'!E153-'Planning Model'!E156-'Planning Model'!E160-'Planning Model'!E162</f>
        <v>2924.3054999999999</v>
      </c>
      <c r="AH39" s="35">
        <f>AG39+'Planning Model'!F42+'Planning Model'!F46+'Planning Model'!F48+'Planning Model'!F66+'Planning Model'!F97+'Planning Model'!F101+'Planning Model'!F103+'Planning Model'!F121-'Planning Model'!F136-'Planning Model'!F141-'Planning Model'!F145-'Planning Model'!F150-'Planning Model'!F153-'Planning Model'!F156-'Planning Model'!F160-'Planning Model'!F162</f>
        <v>2755.9027999999998</v>
      </c>
      <c r="AI39" s="35">
        <f>AH39+'Planning Model'!G42+'Planning Model'!G46+'Planning Model'!G48+'Planning Model'!G66+'Planning Model'!G97+'Planning Model'!G101+'Planning Model'!G103+'Planning Model'!G121-'Planning Model'!G136-'Planning Model'!G141-'Planning Model'!G145-'Planning Model'!G150-'Planning Model'!G153-'Planning Model'!G156-'Planning Model'!G160-'Planning Model'!G162</f>
        <v>2405.8654449999999</v>
      </c>
      <c r="AJ39" s="35">
        <f>AI39+'Planning Model'!H42+'Planning Model'!H46+'Planning Model'!H48+'Planning Model'!H66+'Planning Model'!H97+'Planning Model'!H101+'Planning Model'!H103+'Planning Model'!H121-'Planning Model'!H136-'Planning Model'!H141-'Planning Model'!H145-'Planning Model'!H150-'Planning Model'!H153-'Planning Model'!H156-'Planning Model'!H160-'Planning Model'!H162</f>
        <v>1917.3646349999999</v>
      </c>
      <c r="AK39" s="35">
        <f>AJ39+'Planning Model'!I42+'Planning Model'!I46+'Planning Model'!I48+'Planning Model'!I66+'Planning Model'!I97+'Planning Model'!I101+'Planning Model'!I103+'Planning Model'!I121-'Planning Model'!I136-'Planning Model'!I141-'Planning Model'!I145-'Planning Model'!I150-'Planning Model'!I153-'Planning Model'!I156-'Planning Model'!I160-'Planning Model'!I162</f>
        <v>1568.1154049999998</v>
      </c>
      <c r="AL39" s="35">
        <f>AK39+'Planning Model'!J42+'Planning Model'!J46+'Planning Model'!J48+'Planning Model'!J66+'Planning Model'!J97+'Planning Model'!J101+'Planning Model'!J103+'Planning Model'!J121-'Planning Model'!J136-'Planning Model'!J141-'Planning Model'!J145-'Planning Model'!J150-'Planning Model'!J153-'Planning Model'!J156-'Planning Model'!J160-'Planning Model'!J162</f>
        <v>903.16623999999968</v>
      </c>
      <c r="AM39" s="35">
        <f>AL39+'Planning Model'!K42+'Planning Model'!K46+'Planning Model'!K48+'Planning Model'!K66+'Planning Model'!K97+'Planning Model'!K101+'Planning Model'!K103+'Planning Model'!K121-'Planning Model'!K136-'Planning Model'!K141-'Planning Model'!K145-'Planning Model'!K150-'Planning Model'!K153-'Planning Model'!K156-'Planning Model'!K160-'Planning Model'!K162</f>
        <v>617.42384499999969</v>
      </c>
      <c r="AN39" s="35">
        <f>AM39+'Planning Model'!L42+'Planning Model'!L46+'Planning Model'!L48+'Planning Model'!L66+'Planning Model'!L97+'Planning Model'!L101+'Planning Model'!L103+'Planning Model'!L121-'Planning Model'!L136-'Planning Model'!L141-'Planning Model'!L145-'Planning Model'!L150-'Planning Model'!L153-'Planning Model'!L156-'Planning Model'!L160-'Planning Model'!L162</f>
        <v>88.231489999999681</v>
      </c>
      <c r="AO39" s="35">
        <f>AN39+'Planning Model'!M42+'Planning Model'!M46+'Planning Model'!M48+'Planning Model'!M66+'Planning Model'!M97+'Planning Model'!M101+'Planning Model'!M103+'Planning Model'!M121-'Planning Model'!M136-'Planning Model'!M141-'Planning Model'!M145-'Planning Model'!M150-'Planning Model'!M153-'Planning Model'!M156-'Planning Model'!M160-'Planning Model'!M162</f>
        <v>-5.0000003497530088E-6</v>
      </c>
      <c r="AP39" s="35">
        <f>AO39+'Planning Model'!N42+'Planning Model'!N46+'Planning Model'!N48+'Planning Model'!N66+'Planning Model'!N97+'Planning Model'!N101+'Planning Model'!N103+'Planning Model'!N121-'Planning Model'!N136-'Planning Model'!N141-'Planning Model'!N145-'Planning Model'!N150-'Planning Model'!N153-'Planning Model'!N156-'Planning Model'!N160-'Planning Model'!N162</f>
        <v>-1.0000000347787363E-5</v>
      </c>
      <c r="AQ39" s="35">
        <f>AP39+'Planning Model'!O42+'Planning Model'!O46+'Planning Model'!O48+'Planning Model'!O66+'Planning Model'!O97+'Planning Model'!O101+'Planning Model'!O103+'Planning Model'!O121-'Planning Model'!O136-'Planning Model'!O141-'Planning Model'!O145-'Planning Model'!O150-'Planning Model'!O153-'Planning Model'!O156-'Planning Model'!O160-'Planning Model'!O162</f>
        <v>-5.0000003319894404E-6</v>
      </c>
      <c r="AR39" s="35">
        <f>AQ39+'Planning Model'!P42+'Planning Model'!P46+'Planning Model'!P48+'Planning Model'!P66+'Planning Model'!P97+'Planning Model'!P101+'Planning Model'!P103+'Planning Model'!P121-'Planning Model'!P136-'Planning Model'!P141-'Planning Model'!P145-'Planning Model'!P150-'Planning Model'!P153-'Planning Model'!P156-'Planning Model'!P160-'Planning Model'!P162</f>
        <v>56.496652999999654</v>
      </c>
      <c r="AS39" s="35">
        <f>AR39+'Planning Model'!Q42+'Planning Model'!Q46+'Planning Model'!Q48+'Planning Model'!Q66+'Planning Model'!Q97+'Planning Model'!Q101+'Planning Model'!Q103+'Planning Model'!Q121-'Planning Model'!Q136-'Planning Model'!Q141-'Planning Model'!Q145-'Planning Model'!Q150-'Planning Model'!Q153-'Planning Model'!Q156-'Planning Model'!Q160-'Planning Model'!Q162</f>
        <v>375.24740299999968</v>
      </c>
      <c r="AT39" s="35">
        <f>AS39+'Planning Model'!R42+'Planning Model'!R46+'Planning Model'!R48+'Planning Model'!R66+'Planning Model'!R97+'Planning Model'!R101+'Planning Model'!R103+'Planning Model'!R121-'Planning Model'!R136-'Planning Model'!R141-'Planning Model'!R145-'Planning Model'!R150-'Planning Model'!R153-'Planning Model'!R156-'Planning Model'!R160-'Planning Model'!R162</f>
        <v>539.46230299999957</v>
      </c>
      <c r="AU39" s="35">
        <f>AT39+'Planning Model'!S42+'Planning Model'!S46+'Planning Model'!S48+'Planning Model'!S66+'Planning Model'!S97+'Planning Model'!S101+'Planning Model'!S103+'Planning Model'!S121-'Planning Model'!S136-'Planning Model'!S141-'Planning Model'!S145-'Planning Model'!S150-'Planning Model'!S153-'Planning Model'!S156-'Planning Model'!S160-'Planning Model'!S162</f>
        <v>549.52833599999951</v>
      </c>
      <c r="AV39" s="35">
        <f>AU39+'Planning Model'!T42+'Planning Model'!T46+'Planning Model'!T48+'Planning Model'!T66+'Planning Model'!T97+'Planning Model'!T101+'Planning Model'!T103+'Planning Model'!T121-'Planning Model'!T136-'Planning Model'!T141-'Planning Model'!T145-'Planning Model'!T150-'Planning Model'!T153-'Planning Model'!T156-'Planning Model'!T160-'Planning Model'!T162</f>
        <v>371.6976509999995</v>
      </c>
      <c r="AW39" s="35">
        <f>AV39+'Planning Model'!U42+'Planning Model'!U46+'Planning Model'!U48+'Planning Model'!U66+'Planning Model'!U97+'Planning Model'!U101+'Planning Model'!U103+'Planning Model'!U121-'Planning Model'!U136-'Planning Model'!U141-'Planning Model'!U145-'Planning Model'!U150-'Planning Model'!U153-'Planning Model'!U156-'Planning Model'!U160-'Planning Model'!U162</f>
        <v>72.823805999999493</v>
      </c>
      <c r="AX39" s="35">
        <f>AW39+'Planning Model'!V42+'Planning Model'!V46+'Planning Model'!V48+'Planning Model'!V66+'Planning Model'!V97+'Planning Model'!V101+'Planning Model'!V103+'Planning Model'!V121-'Planning Model'!V136-'Planning Model'!V141-'Planning Model'!V145-'Planning Model'!V150-'Planning Model'!V153-'Planning Model'!V156-'Planning Model'!V160-'Planning Model'!V162</f>
        <v>-2.0000004354869816E-6</v>
      </c>
      <c r="AY39" s="1"/>
    </row>
    <row r="40" spans="1:51" x14ac:dyDescent="0.2">
      <c r="A40" t="s">
        <v>27</v>
      </c>
      <c r="B40" t="s">
        <v>3</v>
      </c>
      <c r="C40" t="s">
        <v>17</v>
      </c>
      <c r="D40" s="54">
        <v>156.66666666666666</v>
      </c>
      <c r="E40" s="64">
        <v>12.474</v>
      </c>
      <c r="F40" s="64">
        <v>40.652481999999999</v>
      </c>
      <c r="G40" s="64">
        <v>62.333145000000002</v>
      </c>
      <c r="H40" s="64">
        <v>171.14036999999999</v>
      </c>
      <c r="I40" s="64">
        <v>205.1267</v>
      </c>
      <c r="J40" s="64">
        <v>149.42869999999999</v>
      </c>
      <c r="K40" s="64">
        <v>79.167046999999997</v>
      </c>
      <c r="L40" s="64">
        <v>34.983367000000001</v>
      </c>
      <c r="M40" s="64">
        <v>62.715558000000001</v>
      </c>
      <c r="N40" s="64">
        <v>128.66974999999999</v>
      </c>
      <c r="O40" s="64">
        <v>94.830029999999994</v>
      </c>
      <c r="P40" s="64">
        <v>120.86402</v>
      </c>
      <c r="Q40" s="64">
        <v>135.69749999999999</v>
      </c>
      <c r="R40" s="64">
        <v>212.83785</v>
      </c>
      <c r="S40" s="64">
        <v>94.973155000000006</v>
      </c>
      <c r="T40" s="64">
        <v>99.294194000000005</v>
      </c>
      <c r="U40" s="64">
        <v>0</v>
      </c>
      <c r="V40" s="64">
        <v>0</v>
      </c>
      <c r="W40" s="31">
        <f t="shared" si="1"/>
        <v>267146.09932000004</v>
      </c>
      <c r="AB40" t="s">
        <v>28</v>
      </c>
      <c r="AC40" t="s">
        <v>21</v>
      </c>
      <c r="AF40" s="4">
        <v>50</v>
      </c>
      <c r="AG40" s="35">
        <f>AF40+'Planning Model'!E49+'Planning Model'!E104-'Planning Model'!E164</f>
        <v>50</v>
      </c>
      <c r="AH40" s="35">
        <f>AG40+'Planning Model'!F49+'Planning Model'!F104-'Planning Model'!F164</f>
        <v>50</v>
      </c>
      <c r="AI40" s="35">
        <f>AH40+'Planning Model'!G49+'Planning Model'!G104-'Planning Model'!G164</f>
        <v>50</v>
      </c>
      <c r="AJ40" s="35">
        <f>AI40+'Planning Model'!H49+'Planning Model'!H104-'Planning Model'!H164</f>
        <v>50</v>
      </c>
      <c r="AK40" s="35">
        <f>AJ40+'Planning Model'!I49+'Planning Model'!I104-'Planning Model'!I164</f>
        <v>0</v>
      </c>
      <c r="AL40" s="35">
        <f>AK40+'Planning Model'!J49+'Planning Model'!J104-'Planning Model'!J164</f>
        <v>0</v>
      </c>
      <c r="AM40" s="35">
        <f>AL40+'Planning Model'!K49+'Planning Model'!K104-'Planning Model'!K164</f>
        <v>0</v>
      </c>
      <c r="AN40" s="35">
        <f>AM40+'Planning Model'!L49+'Planning Model'!L104-'Planning Model'!L164</f>
        <v>0</v>
      </c>
      <c r="AO40" s="35">
        <f>AN40+'Planning Model'!M49+'Planning Model'!M104-'Planning Model'!M164</f>
        <v>0</v>
      </c>
      <c r="AP40" s="35">
        <f>AO40+'Planning Model'!N49+'Planning Model'!N104-'Planning Model'!N164</f>
        <v>0</v>
      </c>
      <c r="AQ40" s="35">
        <f>AP40+'Planning Model'!O49+'Planning Model'!O104-'Planning Model'!O164</f>
        <v>0</v>
      </c>
      <c r="AR40" s="35">
        <f>AQ40+'Planning Model'!P49+'Planning Model'!P104-'Planning Model'!P164</f>
        <v>0</v>
      </c>
      <c r="AS40" s="35">
        <f>AR40+'Planning Model'!Q49+'Planning Model'!Q104-'Planning Model'!Q164</f>
        <v>0</v>
      </c>
      <c r="AT40" s="35">
        <f>AS40+'Planning Model'!R49+'Planning Model'!R104-'Planning Model'!R164</f>
        <v>0</v>
      </c>
      <c r="AU40" s="35">
        <f>AT40+'Planning Model'!S49+'Planning Model'!S104-'Planning Model'!S164</f>
        <v>0</v>
      </c>
      <c r="AV40" s="35">
        <f>AU40+'Planning Model'!T49+'Planning Model'!T104-'Planning Model'!T164</f>
        <v>0</v>
      </c>
      <c r="AW40" s="35">
        <f>AV40+'Planning Model'!U49+'Planning Model'!U104-'Planning Model'!U164</f>
        <v>0</v>
      </c>
      <c r="AX40" s="35">
        <f>AW40+'Planning Model'!V49+'Planning Model'!V104-'Planning Model'!V164</f>
        <v>0</v>
      </c>
      <c r="AY40" s="1"/>
    </row>
    <row r="41" spans="1:51" x14ac:dyDescent="0.2">
      <c r="A41" t="s">
        <v>27</v>
      </c>
      <c r="B41" t="s">
        <v>3</v>
      </c>
      <c r="C41" t="s">
        <v>13</v>
      </c>
      <c r="D41" s="54">
        <v>171.66666666666669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120.88737999999999</v>
      </c>
      <c r="M41" s="64">
        <v>62.484326000000003</v>
      </c>
      <c r="N41" s="64">
        <v>6.8482012000000001</v>
      </c>
      <c r="O41" s="64">
        <v>40.687919999999998</v>
      </c>
      <c r="P41" s="64">
        <v>32.550336000000001</v>
      </c>
      <c r="Q41" s="64">
        <v>8.5050000000000008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31">
        <f t="shared" si="1"/>
        <v>46687.00968266667</v>
      </c>
      <c r="AB41" t="s">
        <v>28</v>
      </c>
      <c r="AC41" t="s">
        <v>10</v>
      </c>
      <c r="AF41" s="4">
        <v>0</v>
      </c>
      <c r="AG41" s="35">
        <f>AF41+'Planning Model'!E26+'Planning Model'!E50+'Planning Model'!E81+'Planning Model'!E105-'Planning Model'!E165</f>
        <v>816.48</v>
      </c>
      <c r="AH41" s="35">
        <f>AG41+'Planning Model'!F26+'Planning Model'!F50+'Planning Model'!F81+'Planning Model'!F105-'Planning Model'!F165</f>
        <v>816.48</v>
      </c>
      <c r="AI41" s="35">
        <f>AH41+'Planning Model'!G26+'Planning Model'!G50+'Planning Model'!G81+'Planning Model'!G105-'Planning Model'!G165</f>
        <v>816.48</v>
      </c>
      <c r="AJ41" s="35">
        <f>AI41+'Planning Model'!H26+'Planning Model'!H50+'Planning Model'!H81+'Planning Model'!H105-'Planning Model'!H165</f>
        <v>790.96500000000003</v>
      </c>
      <c r="AK41" s="35">
        <f>AJ41+'Planning Model'!I26+'Planning Model'!I50+'Planning Model'!I81+'Planning Model'!I105-'Planning Model'!I165</f>
        <v>748.44</v>
      </c>
      <c r="AL41" s="35">
        <f>AK41+'Planning Model'!J26+'Planning Model'!J50+'Planning Model'!J81+'Planning Model'!J105-'Planning Model'!J165</f>
        <v>697.41000000000008</v>
      </c>
      <c r="AM41" s="35">
        <f>AL41+'Planning Model'!K26+'Planning Model'!K50+'Planning Model'!K81+'Planning Model'!K105-'Planning Model'!K165</f>
        <v>612.36000000000013</v>
      </c>
      <c r="AN41" s="35">
        <f>AM41+'Planning Model'!L26+'Planning Model'!L50+'Planning Model'!L81+'Planning Model'!L105-'Planning Model'!L165</f>
        <v>484.78500000000014</v>
      </c>
      <c r="AO41" s="35">
        <f>AN41+'Planning Model'!M26+'Planning Model'!M50+'Planning Model'!M81+'Planning Model'!M105-'Planning Model'!M165</f>
        <v>357.21000000000015</v>
      </c>
      <c r="AP41" s="35">
        <f>AO41+'Planning Model'!N26+'Planning Model'!N50+'Planning Model'!N81+'Planning Model'!N105-'Planning Model'!N165</f>
        <v>255.15000000000015</v>
      </c>
      <c r="AQ41" s="35">
        <f>AP41+'Planning Model'!O26+'Planning Model'!O50+'Planning Model'!O81+'Planning Model'!O105-'Planning Model'!O165</f>
        <v>187.11000000000013</v>
      </c>
      <c r="AR41" s="35">
        <f>AQ41+'Planning Model'!P26+'Planning Model'!P50+'Planning Model'!P81+'Planning Model'!P105-'Planning Model'!P165</f>
        <v>119.07000000000012</v>
      </c>
      <c r="AS41" s="35">
        <f>AR41+'Planning Model'!Q26+'Planning Model'!Q50+'Planning Model'!Q81+'Planning Model'!Q105-'Planning Model'!Q165</f>
        <v>59.535000000000124</v>
      </c>
      <c r="AT41" s="35">
        <f>AS41+'Planning Model'!R26+'Planning Model'!R50+'Planning Model'!R81+'Planning Model'!R105-'Planning Model'!R165</f>
        <v>59.535000000000124</v>
      </c>
      <c r="AU41" s="35">
        <f>AT41+'Planning Model'!S26+'Planning Model'!S50+'Planning Model'!S81+'Planning Model'!S105-'Planning Model'!S165</f>
        <v>59.535000000000124</v>
      </c>
      <c r="AV41" s="35">
        <f>AU41+'Planning Model'!T26+'Planning Model'!T50+'Planning Model'!T81+'Planning Model'!T105-'Planning Model'!T165</f>
        <v>34.020000000000124</v>
      </c>
      <c r="AW41" s="35">
        <f>AV41+'Planning Model'!U26+'Planning Model'!U50+'Planning Model'!U81+'Planning Model'!U105-'Planning Model'!U165</f>
        <v>17.010000000000122</v>
      </c>
      <c r="AX41" s="35">
        <f>AW41+'Planning Model'!V26+'Planning Model'!V50+'Planning Model'!V81+'Planning Model'!V105-'Planning Model'!V165</f>
        <v>1.2079226507921703E-13</v>
      </c>
      <c r="AY41" s="1"/>
    </row>
    <row r="42" spans="1:51" x14ac:dyDescent="0.2">
      <c r="A42" t="s">
        <v>27</v>
      </c>
      <c r="B42" t="s">
        <v>3</v>
      </c>
      <c r="C42" t="s">
        <v>20</v>
      </c>
      <c r="D42" s="54">
        <v>170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31">
        <f t="shared" si="1"/>
        <v>0</v>
      </c>
      <c r="AB42" t="s">
        <v>28</v>
      </c>
      <c r="AC42" t="s">
        <v>23</v>
      </c>
      <c r="AF42" s="4">
        <v>75</v>
      </c>
      <c r="AG42" s="35">
        <f>AF42+'Planning Model'!E51+'Planning Model'!E67+'Planning Model'!E106+'Planning Model'!E122-'Planning Model'!E166-'Planning Model'!E170-'Planning Model'!E179-'Planning Model'!E186</f>
        <v>5.9205000000000041</v>
      </c>
      <c r="AH42" s="35">
        <f>AG42+'Planning Model'!F51+'Planning Model'!F67+'Planning Model'!F106+'Planning Model'!F122-'Planning Model'!F166-'Planning Model'!F170-'Planning Model'!F179-'Planning Model'!F186</f>
        <v>0</v>
      </c>
      <c r="AI42" s="35">
        <f>AH42+'Planning Model'!G51+'Planning Model'!G67+'Planning Model'!G106+'Planning Model'!G122-'Planning Model'!G166-'Planning Model'!G170-'Planning Model'!G179-'Planning Model'!G186</f>
        <v>0</v>
      </c>
      <c r="AJ42" s="35">
        <f>AI42+'Planning Model'!H51+'Planning Model'!H67+'Planning Model'!H106+'Planning Model'!H122-'Planning Model'!H166-'Planning Model'!H170-'Planning Model'!H179-'Planning Model'!H186</f>
        <v>0</v>
      </c>
      <c r="AK42" s="35">
        <f>AJ42+'Planning Model'!I51+'Planning Model'!I67+'Planning Model'!I106+'Planning Model'!I122-'Planning Model'!I166-'Planning Model'!I170-'Planning Model'!I179-'Planning Model'!I186</f>
        <v>0</v>
      </c>
      <c r="AL42" s="35">
        <f>AK42+'Planning Model'!J51+'Planning Model'!J67+'Planning Model'!J106+'Planning Model'!J122-'Planning Model'!J166-'Planning Model'!J170-'Planning Model'!J179-'Planning Model'!J186</f>
        <v>0</v>
      </c>
      <c r="AM42" s="35">
        <f>AL42+'Planning Model'!K51+'Planning Model'!K67+'Planning Model'!K106+'Planning Model'!K122-'Planning Model'!K166-'Planning Model'!K170-'Planning Model'!K179-'Planning Model'!K186</f>
        <v>0</v>
      </c>
      <c r="AN42" s="35">
        <f>AM42+'Planning Model'!L51+'Planning Model'!L67+'Planning Model'!L106+'Planning Model'!L122-'Planning Model'!L166-'Planning Model'!L170-'Planning Model'!L179-'Planning Model'!L186</f>
        <v>0</v>
      </c>
      <c r="AO42" s="35">
        <f>AN42+'Planning Model'!M51+'Planning Model'!M67+'Planning Model'!M106+'Planning Model'!M122-'Planning Model'!M166-'Planning Model'!M170-'Planning Model'!M179-'Planning Model'!M186</f>
        <v>0</v>
      </c>
      <c r="AP42" s="35">
        <f>AO42+'Planning Model'!N51+'Planning Model'!N67+'Planning Model'!N106+'Planning Model'!N122-'Planning Model'!N166-'Planning Model'!N170-'Planning Model'!N179-'Planning Model'!N186</f>
        <v>0</v>
      </c>
      <c r="AQ42" s="35">
        <f>AP42+'Planning Model'!O51+'Planning Model'!O67+'Planning Model'!O106+'Planning Model'!O122-'Planning Model'!O166-'Planning Model'!O170-'Planning Model'!O179-'Planning Model'!O186</f>
        <v>0</v>
      </c>
      <c r="AR42" s="35">
        <f>AQ42+'Planning Model'!P51+'Planning Model'!P67+'Planning Model'!P106+'Planning Model'!P122-'Planning Model'!P166-'Planning Model'!P170-'Planning Model'!P179-'Planning Model'!P186</f>
        <v>0</v>
      </c>
      <c r="AS42" s="35">
        <f>AR42+'Planning Model'!Q51+'Planning Model'!Q67+'Planning Model'!Q106+'Planning Model'!Q122-'Planning Model'!Q166-'Planning Model'!Q170-'Planning Model'!Q179-'Planning Model'!Q186</f>
        <v>0</v>
      </c>
      <c r="AT42" s="35">
        <f>AS42+'Planning Model'!R51+'Planning Model'!R67+'Planning Model'!R106+'Planning Model'!R122-'Planning Model'!R166-'Planning Model'!R170-'Planning Model'!R179-'Planning Model'!R186</f>
        <v>0</v>
      </c>
      <c r="AU42" s="35">
        <f>AT42+'Planning Model'!S51+'Planning Model'!S67+'Planning Model'!S106+'Planning Model'!S122-'Planning Model'!S166-'Planning Model'!S170-'Planning Model'!S179-'Planning Model'!S186</f>
        <v>0</v>
      </c>
      <c r="AV42" s="35">
        <f>AU42+'Planning Model'!T51+'Planning Model'!T67+'Planning Model'!T106+'Planning Model'!T122-'Planning Model'!T166-'Planning Model'!T170-'Planning Model'!T179-'Planning Model'!T186</f>
        <v>0</v>
      </c>
      <c r="AW42" s="35">
        <f>AV42+'Planning Model'!U51+'Planning Model'!U67+'Planning Model'!U106+'Planning Model'!U122-'Planning Model'!U166-'Planning Model'!U170-'Planning Model'!U179-'Planning Model'!U186</f>
        <v>0</v>
      </c>
      <c r="AX42" s="35">
        <f>AW42+'Planning Model'!V51+'Planning Model'!V67+'Planning Model'!V106+'Planning Model'!V122-'Planning Model'!V166-'Planning Model'!V170-'Planning Model'!V179-'Planning Model'!V186</f>
        <v>3.9999999899009708E-5</v>
      </c>
      <c r="AY42" s="1"/>
    </row>
    <row r="43" spans="1:51" x14ac:dyDescent="0.2">
      <c r="A43" t="s">
        <v>27</v>
      </c>
      <c r="B43" t="s">
        <v>4</v>
      </c>
      <c r="C43" t="s">
        <v>21</v>
      </c>
      <c r="D43" s="54">
        <v>41.666666666666671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31">
        <f t="shared" si="1"/>
        <v>0</v>
      </c>
      <c r="AB43" t="s">
        <v>28</v>
      </c>
      <c r="AC43" t="s">
        <v>14</v>
      </c>
      <c r="AF43" s="4">
        <v>150</v>
      </c>
      <c r="AG43" s="35">
        <f>AF43+'Planning Model'!E30+'Planning Model'!E52+'Planning Model'!E68+'Planning Model'!E85+'Planning Model'!E107+'Planning Model'!E123-'Planning Model'!E167</f>
        <v>95.757000000000005</v>
      </c>
      <c r="AH43" s="35">
        <f>AG43+'Planning Model'!F30+'Planning Model'!F52+'Planning Model'!F68+'Planning Model'!F85+'Planning Model'!F107+'Planning Model'!F123-'Planning Model'!F167</f>
        <v>17.22372</v>
      </c>
      <c r="AI43" s="35">
        <f>AH43+'Planning Model'!G30+'Planning Model'!G52+'Planning Model'!G68+'Planning Model'!G85+'Planning Model'!G107+'Planning Model'!G123-'Planning Model'!G167</f>
        <v>147.65864000000002</v>
      </c>
      <c r="AJ43" s="35">
        <f>AI43+'Planning Model'!H30+'Planning Model'!H52+'Planning Model'!H68+'Planning Model'!H85+'Planning Model'!H107+'Planning Model'!H123-'Planning Model'!H167</f>
        <v>183.08335999999997</v>
      </c>
      <c r="AK43" s="35">
        <f>AJ43+'Planning Model'!I30+'Planning Model'!I52+'Planning Model'!I68+'Planning Model'!I85+'Planning Model'!I107+'Planning Model'!I123-'Planning Model'!I167</f>
        <v>130.54079999999999</v>
      </c>
      <c r="AL43" s="35">
        <f>AK43+'Planning Model'!J30+'Planning Model'!J52+'Planning Model'!J68+'Planning Model'!J85+'Planning Model'!J107+'Planning Model'!J123-'Planning Model'!J167</f>
        <v>5.7329739999999845</v>
      </c>
      <c r="AM43" s="35">
        <f>AL43+'Planning Model'!K30+'Planning Model'!K52+'Planning Model'!K68+'Planning Model'!K85+'Planning Model'!K107+'Planning Model'!K123-'Planning Model'!K167</f>
        <v>3.9999999899009708E-6</v>
      </c>
      <c r="AN43" s="35">
        <f>AM43+'Planning Model'!L30+'Planning Model'!L52+'Planning Model'!L68+'Planning Model'!L85+'Planning Model'!L107+'Planning Model'!L123-'Planning Model'!L167</f>
        <v>3.9999999899009708E-6</v>
      </c>
      <c r="AO43" s="35">
        <f>AN43+'Planning Model'!M30+'Planning Model'!M52+'Planning Model'!M68+'Planning Model'!M85+'Planning Model'!M107+'Planning Model'!M123-'Planning Model'!M167</f>
        <v>3.9999999899009708E-6</v>
      </c>
      <c r="AP43" s="35">
        <f>AO43+'Planning Model'!N30+'Planning Model'!N52+'Planning Model'!N68+'Planning Model'!N85+'Planning Model'!N107+'Planning Model'!N123-'Planning Model'!N167</f>
        <v>3.9999999899009708E-6</v>
      </c>
      <c r="AQ43" s="35">
        <f>AP43+'Planning Model'!O30+'Planning Model'!O52+'Planning Model'!O68+'Planning Model'!O85+'Planning Model'!O107+'Planning Model'!O123-'Planning Model'!O167</f>
        <v>3.9999999899009708E-6</v>
      </c>
      <c r="AR43" s="35">
        <f>AQ43+'Planning Model'!P30+'Planning Model'!P52+'Planning Model'!P68+'Planning Model'!P85+'Planning Model'!P107+'Planning Model'!P123-'Planning Model'!P167</f>
        <v>3.9999999899009708E-6</v>
      </c>
      <c r="AS43" s="35">
        <f>AR43+'Planning Model'!Q30+'Planning Model'!Q52+'Planning Model'!Q68+'Planning Model'!Q85+'Planning Model'!Q107+'Planning Model'!Q123-'Planning Model'!Q167</f>
        <v>3.9999999899009708E-6</v>
      </c>
      <c r="AT43" s="35">
        <f>AS43+'Planning Model'!R30+'Planning Model'!R52+'Planning Model'!R68+'Planning Model'!R85+'Planning Model'!R107+'Planning Model'!R123-'Planning Model'!R167</f>
        <v>3.9999999899009708E-6</v>
      </c>
      <c r="AU43" s="35">
        <f>AT43+'Planning Model'!S30+'Planning Model'!S52+'Planning Model'!S68+'Planning Model'!S85+'Planning Model'!S107+'Planning Model'!S123-'Planning Model'!S167</f>
        <v>35.458975999999993</v>
      </c>
      <c r="AV43" s="35">
        <f>AU43+'Planning Model'!T30+'Planning Model'!T52+'Planning Model'!T68+'Planning Model'!T85+'Planning Model'!T107+'Planning Model'!T123-'Planning Model'!T167</f>
        <v>207.51602600000001</v>
      </c>
      <c r="AW43" s="35">
        <f>AV43+'Planning Model'!U30+'Planning Model'!U52+'Planning Model'!U68+'Planning Model'!U85+'Planning Model'!U107+'Planning Model'!U123-'Planning Model'!U167</f>
        <v>144.19861600000002</v>
      </c>
      <c r="AX43" s="35">
        <f>AW43+'Planning Model'!V30+'Planning Model'!V52+'Planning Model'!V68+'Planning Model'!V85+'Planning Model'!V107+'Planning Model'!V123-'Planning Model'!V167</f>
        <v>1.9999999949504854E-6</v>
      </c>
      <c r="AY43" s="1"/>
    </row>
    <row r="44" spans="1:51" x14ac:dyDescent="0.2">
      <c r="A44" t="s">
        <v>27</v>
      </c>
      <c r="B44" t="s">
        <v>4</v>
      </c>
      <c r="C44" t="s">
        <v>18</v>
      </c>
      <c r="D44" s="54">
        <v>33.333333333333336</v>
      </c>
      <c r="E44" s="64">
        <v>105.825</v>
      </c>
      <c r="F44" s="64">
        <v>187.06013999999999</v>
      </c>
      <c r="G44" s="64">
        <v>220</v>
      </c>
      <c r="H44" s="64">
        <v>115.49056</v>
      </c>
      <c r="I44" s="64">
        <v>130.18719999999999</v>
      </c>
      <c r="J44" s="64">
        <v>126.74267999999999</v>
      </c>
      <c r="K44" s="64">
        <v>39.273764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301.68374999999997</v>
      </c>
      <c r="R44" s="64">
        <v>440</v>
      </c>
      <c r="S44" s="64">
        <v>440</v>
      </c>
      <c r="T44" s="64">
        <v>440</v>
      </c>
      <c r="U44" s="64">
        <v>305.2808</v>
      </c>
      <c r="V44" s="64">
        <v>400.11401000000001</v>
      </c>
      <c r="W44" s="31">
        <f t="shared" si="1"/>
        <v>108388.5968</v>
      </c>
      <c r="AB44" t="s">
        <v>28</v>
      </c>
      <c r="AC44" t="s">
        <v>11</v>
      </c>
      <c r="AF44" s="4">
        <v>500</v>
      </c>
      <c r="AG44" s="35">
        <f>AF44+'Planning Model'!E27+'Planning Model'!E53+'Planning Model'!E69+'Planning Model'!E82+'Planning Model'!E108+'Planning Model'!E124-'Planning Model'!E169</f>
        <v>292.45999999999998</v>
      </c>
      <c r="AH44" s="35">
        <f>AG44+'Planning Model'!F27+'Planning Model'!F53+'Planning Model'!F69+'Planning Model'!F82+'Planning Model'!F108+'Planning Model'!F124-'Planning Model'!F169</f>
        <v>853.73489000000006</v>
      </c>
      <c r="AI44" s="35">
        <f>AH44+'Planning Model'!G27+'Planning Model'!G53+'Planning Model'!G69+'Planning Model'!G82+'Planning Model'!G108+'Planning Model'!G124-'Planning Model'!G169</f>
        <v>949.11315000000002</v>
      </c>
      <c r="AJ44" s="35">
        <f>AI44+'Planning Model'!H27+'Planning Model'!H53+'Planning Model'!H69+'Planning Model'!H82+'Planning Model'!H108+'Planning Model'!H124-'Planning Model'!H169</f>
        <v>1096.9725699999999</v>
      </c>
      <c r="AK44" s="35">
        <f>AJ44+'Planning Model'!I27+'Planning Model'!I53+'Planning Model'!I69+'Planning Model'!I82+'Planning Model'!I108+'Planning Model'!I124-'Planning Model'!I169</f>
        <v>842.45851999999991</v>
      </c>
      <c r="AL44" s="35">
        <f>AK44+'Planning Model'!J27+'Planning Model'!J53+'Planning Model'!J69+'Planning Model'!J82+'Planning Model'!J108+'Planning Model'!J124-'Planning Model'!J169</f>
        <v>77.013799999999947</v>
      </c>
      <c r="AM44" s="35">
        <f>AL44+'Planning Model'!K27+'Planning Model'!K53+'Planning Model'!K69+'Planning Model'!K82+'Planning Model'!K108+'Planning Model'!K124-'Planning Model'!K169</f>
        <v>-9.9999999747524271E-6</v>
      </c>
      <c r="AN44" s="35">
        <f>AM44+'Planning Model'!L27+'Planning Model'!L53+'Planning Model'!L69+'Planning Model'!L82+'Planning Model'!L108+'Planning Model'!L124-'Planning Model'!L169</f>
        <v>-9.9999999747524271E-6</v>
      </c>
      <c r="AO44" s="35">
        <f>AN44+'Planning Model'!M27+'Planning Model'!M53+'Planning Model'!M69+'Planning Model'!M82+'Planning Model'!M108+'Planning Model'!M124-'Planning Model'!M169</f>
        <v>366.36466000000001</v>
      </c>
      <c r="AP44" s="35">
        <f>AO44+'Planning Model'!N27+'Planning Model'!N53+'Planning Model'!N69+'Planning Model'!N82+'Planning Model'!N108+'Planning Model'!N124-'Planning Model'!N169</f>
        <v>239.65282999999999</v>
      </c>
      <c r="AQ44" s="35">
        <f>AP44+'Planning Model'!O27+'Planning Model'!O53+'Planning Model'!O69+'Planning Model'!O82+'Planning Model'!O108+'Planning Model'!O124-'Planning Model'!O169</f>
        <v>112.94099999999997</v>
      </c>
      <c r="AR44" s="35">
        <f>AQ44+'Planning Model'!P27+'Planning Model'!P53+'Planning Model'!P69+'Planning Model'!P82+'Planning Model'!P108+'Planning Model'!P124-'Planning Model'!P169</f>
        <v>252.90716999999995</v>
      </c>
      <c r="AS44" s="35">
        <f>AR44+'Planning Model'!Q27+'Planning Model'!Q53+'Planning Model'!Q69+'Planning Model'!Q82+'Planning Model'!Q108+'Planning Model'!Q124-'Planning Model'!Q169</f>
        <v>322.69591999999994</v>
      </c>
      <c r="AT44" s="35">
        <f>AS44+'Planning Model'!R27+'Planning Model'!R53+'Planning Model'!R69+'Planning Model'!R82+'Planning Model'!R108+'Planning Model'!R124-'Planning Model'!R169</f>
        <v>1055.1488599999998</v>
      </c>
      <c r="AU44" s="35">
        <f>AT44+'Planning Model'!S27+'Planning Model'!S53+'Planning Model'!S69+'Planning Model'!S82+'Planning Model'!S108+'Planning Model'!S124-'Planning Model'!S169</f>
        <v>1499.9999599999996</v>
      </c>
      <c r="AV44" s="35">
        <f>AU44+'Planning Model'!T27+'Planning Model'!T53+'Planning Model'!T69+'Planning Model'!T82+'Planning Model'!T108+'Planning Model'!T124-'Planning Model'!T169</f>
        <v>1499.9999599999996</v>
      </c>
      <c r="AW44" s="35">
        <f>AV44+'Planning Model'!U27+'Planning Model'!U53+'Planning Model'!U69+'Planning Model'!U82+'Planning Model'!U108+'Planning Model'!U124-'Planning Model'!U169</f>
        <v>804.04770999999982</v>
      </c>
      <c r="AX44" s="35">
        <f>AW44+'Planning Model'!V27+'Planning Model'!V53+'Planning Model'!V69+'Planning Model'!V82+'Planning Model'!V108+'Planning Model'!V124-'Planning Model'!V169</f>
        <v>-4.0000000353757059E-5</v>
      </c>
      <c r="AY44" s="1"/>
    </row>
    <row r="45" spans="1:51" x14ac:dyDescent="0.2">
      <c r="A45" t="s">
        <v>27</v>
      </c>
      <c r="B45" t="s">
        <v>4</v>
      </c>
      <c r="C45" t="s">
        <v>22</v>
      </c>
      <c r="D45" s="54">
        <v>33.333333333333336</v>
      </c>
      <c r="E45" s="64">
        <v>14.175000000000001</v>
      </c>
      <c r="F45" s="64">
        <v>32.939864999999998</v>
      </c>
      <c r="G45" s="64">
        <v>0</v>
      </c>
      <c r="H45" s="64">
        <v>104.50944</v>
      </c>
      <c r="I45" s="64">
        <v>89.812799999999996</v>
      </c>
      <c r="J45" s="64">
        <v>93.257324999999994</v>
      </c>
      <c r="K45" s="64">
        <v>180.72623999999999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21.262499999999999</v>
      </c>
      <c r="R45" s="64">
        <v>0</v>
      </c>
      <c r="S45" s="64">
        <v>0</v>
      </c>
      <c r="T45" s="64">
        <v>0</v>
      </c>
      <c r="U45" s="64">
        <v>134.7192</v>
      </c>
      <c r="V45" s="64">
        <v>39.885987</v>
      </c>
      <c r="W45" s="31">
        <f t="shared" si="1"/>
        <v>23709.611900000004</v>
      </c>
      <c r="AB45" t="s">
        <v>28</v>
      </c>
      <c r="AC45" t="s">
        <v>15</v>
      </c>
      <c r="AF45" s="4">
        <v>500</v>
      </c>
      <c r="AG45" s="35">
        <f>AF45+'Planning Model'!E31+'Planning Model'!E54+'Planning Model'!E70+'Planning Model'!E86+'Planning Model'!E109+'Planning Model'!E125-'Planning Model'!E173</f>
        <v>297.77</v>
      </c>
      <c r="AH45" s="35">
        <f>AG45+'Planning Model'!F31+'Planning Model'!F54+'Planning Model'!F70+'Planning Model'!F86+'Planning Model'!F109+'Planning Model'!F125-'Planning Model'!F173</f>
        <v>555.6779499999999</v>
      </c>
      <c r="AI45" s="35">
        <f>AH45+'Planning Model'!G31+'Planning Model'!G54+'Planning Model'!G70+'Planning Model'!G86+'Planning Model'!G109+'Planning Model'!G125-'Planning Model'!G173</f>
        <v>991.94984999999997</v>
      </c>
      <c r="AJ45" s="35">
        <f>AI45+'Planning Model'!H31+'Planning Model'!H54+'Planning Model'!H70+'Planning Model'!H86+'Planning Model'!H109+'Planning Model'!H125-'Planning Model'!H173</f>
        <v>-4.4000000002597517E-5</v>
      </c>
      <c r="AK45" s="35">
        <f>AJ45+'Planning Model'!I31+'Planning Model'!I54+'Planning Model'!I70+'Planning Model'!I86+'Planning Model'!I109+'Planning Model'!I125-'Planning Model'!I173</f>
        <v>-4.4000000002597517E-5</v>
      </c>
      <c r="AL45" s="35">
        <f>AK45+'Planning Model'!J31+'Planning Model'!J54+'Planning Model'!J70+'Planning Model'!J86+'Planning Model'!J109+'Planning Model'!J125-'Planning Model'!J173</f>
        <v>-4.3999999888910679E-5</v>
      </c>
      <c r="AM45" s="35">
        <f>AL45+'Planning Model'!K31+'Planning Model'!K54+'Planning Model'!K70+'Planning Model'!K86+'Planning Model'!K109+'Planning Model'!K125-'Planning Model'!K173</f>
        <v>-4.3999999888910679E-5</v>
      </c>
      <c r="AN45" s="35">
        <f>AM45+'Planning Model'!L31+'Planning Model'!L54+'Planning Model'!L70+'Planning Model'!L86+'Planning Model'!L109+'Planning Model'!L125-'Planning Model'!L173</f>
        <v>-4.3999999888910679E-5</v>
      </c>
      <c r="AO45" s="35">
        <f>AN45+'Planning Model'!M31+'Planning Model'!M54+'Planning Model'!M70+'Planning Model'!M86+'Planning Model'!M109+'Planning Model'!M125-'Planning Model'!M173</f>
        <v>-4.3999999888910679E-5</v>
      </c>
      <c r="AP45" s="35">
        <f>AO45+'Planning Model'!N31+'Planning Model'!N54+'Planning Model'!N70+'Planning Model'!N86+'Planning Model'!N109+'Planning Model'!N125-'Planning Model'!N173</f>
        <v>-4.3999999888910679E-5</v>
      </c>
      <c r="AQ45" s="35">
        <f>AP45+'Planning Model'!O31+'Planning Model'!O54+'Planning Model'!O70+'Planning Model'!O86+'Planning Model'!O109+'Planning Model'!O125-'Planning Model'!O173</f>
        <v>-4.3999999888910679E-5</v>
      </c>
      <c r="AR45" s="35">
        <f>AQ45+'Planning Model'!P31+'Planning Model'!P54+'Planning Model'!P70+'Planning Model'!P86+'Planning Model'!P109+'Planning Model'!P125-'Planning Model'!P173</f>
        <v>-4.3999999888910679E-5</v>
      </c>
      <c r="AS45" s="35">
        <f>AR45+'Planning Model'!Q31+'Planning Model'!Q54+'Planning Model'!Q70+'Planning Model'!Q86+'Planning Model'!Q109+'Planning Model'!Q125-'Planning Model'!Q173</f>
        <v>-4.3999999888910679E-5</v>
      </c>
      <c r="AT45" s="35">
        <f>AS45+'Planning Model'!R31+'Planning Model'!R54+'Planning Model'!R70+'Planning Model'!R86+'Planning Model'!R109+'Planning Model'!R125-'Planning Model'!R173</f>
        <v>-4.3999999888910679E-5</v>
      </c>
      <c r="AU45" s="35">
        <f>AT45+'Planning Model'!S31+'Planning Model'!S54+'Planning Model'!S70+'Planning Model'!S86+'Planning Model'!S109+'Planning Model'!S125-'Planning Model'!S173</f>
        <v>-4.3999999888910679E-5</v>
      </c>
      <c r="AV45" s="35">
        <f>AU45+'Planning Model'!T31+'Planning Model'!T54+'Planning Model'!T70+'Planning Model'!T86+'Planning Model'!T109+'Planning Model'!T125-'Planning Model'!T173</f>
        <v>999.99995600000011</v>
      </c>
      <c r="AW45" s="35">
        <f>AV45+'Planning Model'!U31+'Planning Model'!U54+'Planning Model'!U70+'Planning Model'!U86+'Planning Model'!U109+'Planning Model'!U125-'Planning Model'!U173</f>
        <v>-4.3999999888910679E-5</v>
      </c>
      <c r="AX45" s="35">
        <f>AW45+'Planning Model'!V31+'Planning Model'!V54+'Planning Model'!V70+'Planning Model'!V86+'Planning Model'!V109+'Planning Model'!V125-'Planning Model'!V173</f>
        <v>-3.4000000141531928E-5</v>
      </c>
      <c r="AY45" s="1"/>
    </row>
    <row r="46" spans="1:51" x14ac:dyDescent="0.2">
      <c r="A46" t="s">
        <v>27</v>
      </c>
      <c r="B46" t="s">
        <v>4</v>
      </c>
      <c r="C46" t="s">
        <v>20</v>
      </c>
      <c r="D46" s="54">
        <v>50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31">
        <f t="shared" si="1"/>
        <v>0</v>
      </c>
      <c r="AB46" t="s">
        <v>28</v>
      </c>
      <c r="AC46" t="s">
        <v>12</v>
      </c>
      <c r="AF46" s="4">
        <v>200</v>
      </c>
      <c r="AG46" s="35">
        <f>AF46+'Planning Model'!E28+'Planning Model'!E83-'Planning Model'!E174</f>
        <v>170.23250000000002</v>
      </c>
      <c r="AH46" s="35">
        <f>AG46+'Planning Model'!F28+'Planning Model'!F83-'Planning Model'!F174</f>
        <v>97.25960000000002</v>
      </c>
      <c r="AI46" s="35">
        <f>AH46+'Planning Model'!G28+'Planning Model'!G83-'Planning Model'!G174</f>
        <v>161.68004999999999</v>
      </c>
      <c r="AJ46" s="35">
        <f>AI46+'Planning Model'!H28+'Planning Model'!H83-'Planning Model'!H174</f>
        <v>0</v>
      </c>
      <c r="AK46" s="35">
        <f>AJ46+'Planning Model'!I28+'Planning Model'!I83-'Planning Model'!I174</f>
        <v>0</v>
      </c>
      <c r="AL46" s="35">
        <f>AK46+'Planning Model'!J28+'Planning Model'!J83-'Planning Model'!J174</f>
        <v>0</v>
      </c>
      <c r="AM46" s="35">
        <f>AL46+'Planning Model'!K28+'Planning Model'!K83-'Planning Model'!K174</f>
        <v>0</v>
      </c>
      <c r="AN46" s="35">
        <f>AM46+'Planning Model'!L28+'Planning Model'!L83-'Planning Model'!L174</f>
        <v>0</v>
      </c>
      <c r="AO46" s="35">
        <f>AN46+'Planning Model'!M28+'Planning Model'!M83-'Planning Model'!M174</f>
        <v>0</v>
      </c>
      <c r="AP46" s="35">
        <f>AO46+'Planning Model'!N28+'Planning Model'!N83-'Planning Model'!N174</f>
        <v>0</v>
      </c>
      <c r="AQ46" s="35">
        <f>AP46+'Planning Model'!O28+'Planning Model'!O83-'Planning Model'!O174</f>
        <v>0</v>
      </c>
      <c r="AR46" s="35">
        <f>AQ46+'Planning Model'!P28+'Planning Model'!P83-'Planning Model'!P174</f>
        <v>0</v>
      </c>
      <c r="AS46" s="35">
        <f>AR46+'Planning Model'!Q28+'Planning Model'!Q83-'Planning Model'!Q174</f>
        <v>0</v>
      </c>
      <c r="AT46" s="35">
        <f>AS46+'Planning Model'!R28+'Planning Model'!R83-'Planning Model'!R174</f>
        <v>0</v>
      </c>
      <c r="AU46" s="35">
        <f>AT46+'Planning Model'!S28+'Planning Model'!S83-'Planning Model'!S174</f>
        <v>0</v>
      </c>
      <c r="AV46" s="35">
        <f>AU46+'Planning Model'!T28+'Planning Model'!T83-'Planning Model'!T174</f>
        <v>0.67481999999998266</v>
      </c>
      <c r="AW46" s="35">
        <f>AV46+'Planning Model'!U28+'Planning Model'!U83-'Planning Model'!U174</f>
        <v>1.0000000031595846E-5</v>
      </c>
      <c r="AX46" s="35">
        <f>AW46+'Planning Model'!V28+'Planning Model'!V83-'Planning Model'!V174</f>
        <v>1.0000000031595846E-5</v>
      </c>
      <c r="AY46" s="1"/>
    </row>
    <row r="47" spans="1:51" x14ac:dyDescent="0.2">
      <c r="A47" t="s">
        <v>27</v>
      </c>
      <c r="B47" t="s">
        <v>5</v>
      </c>
      <c r="C47" t="s">
        <v>19</v>
      </c>
      <c r="D47" s="54">
        <v>66.666666666666671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31">
        <f t="shared" si="1"/>
        <v>0</v>
      </c>
      <c r="AB47" t="s">
        <v>28</v>
      </c>
      <c r="AC47" t="s">
        <v>19</v>
      </c>
      <c r="AF47" s="4">
        <v>0</v>
      </c>
      <c r="AG47" s="35">
        <f>AF47+'Planning Model'!E71+'Planning Model'!E126-'Planning Model'!E175</f>
        <v>0</v>
      </c>
      <c r="AH47" s="35">
        <f>AG47+'Planning Model'!F71+'Planning Model'!F126-'Planning Model'!F175</f>
        <v>0</v>
      </c>
      <c r="AI47" s="35">
        <f>AH47+'Planning Model'!G71+'Planning Model'!G126-'Planning Model'!G175</f>
        <v>0</v>
      </c>
      <c r="AJ47" s="35">
        <f>AI47+'Planning Model'!H71+'Planning Model'!H126-'Planning Model'!H175</f>
        <v>0</v>
      </c>
      <c r="AK47" s="35">
        <f>AJ47+'Planning Model'!I71+'Planning Model'!I126-'Planning Model'!I175</f>
        <v>0</v>
      </c>
      <c r="AL47" s="35">
        <f>AK47+'Planning Model'!J71+'Planning Model'!J126-'Planning Model'!J175</f>
        <v>0</v>
      </c>
      <c r="AM47" s="35">
        <f>AL47+'Planning Model'!K71+'Planning Model'!K126-'Planning Model'!K175</f>
        <v>0</v>
      </c>
      <c r="AN47" s="35">
        <f>AM47+'Planning Model'!L71+'Planning Model'!L126-'Planning Model'!L175</f>
        <v>0</v>
      </c>
      <c r="AO47" s="35">
        <f>AN47+'Planning Model'!M71+'Planning Model'!M126-'Planning Model'!M175</f>
        <v>0</v>
      </c>
      <c r="AP47" s="35">
        <f>AO47+'Planning Model'!N71+'Planning Model'!N126-'Planning Model'!N175</f>
        <v>0</v>
      </c>
      <c r="AQ47" s="35">
        <f>AP47+'Planning Model'!O71+'Planning Model'!O126-'Planning Model'!O175</f>
        <v>0</v>
      </c>
      <c r="AR47" s="35">
        <f>AQ47+'Planning Model'!P71+'Planning Model'!P126-'Planning Model'!P175</f>
        <v>0</v>
      </c>
      <c r="AS47" s="35">
        <f>AR47+'Planning Model'!Q71+'Planning Model'!Q126-'Planning Model'!Q175</f>
        <v>0</v>
      </c>
      <c r="AT47" s="35">
        <f>AS47+'Planning Model'!R71+'Planning Model'!R126-'Planning Model'!R175</f>
        <v>0</v>
      </c>
      <c r="AU47" s="35">
        <f>AT47+'Planning Model'!S71+'Planning Model'!S126-'Planning Model'!S175</f>
        <v>0</v>
      </c>
      <c r="AV47" s="35">
        <f>AU47+'Planning Model'!T71+'Planning Model'!T126-'Planning Model'!T175</f>
        <v>0</v>
      </c>
      <c r="AW47" s="35">
        <f>AV47+'Planning Model'!U71+'Planning Model'!U126-'Planning Model'!U175</f>
        <v>0</v>
      </c>
      <c r="AX47" s="35">
        <f>AW47+'Planning Model'!V71+'Planning Model'!V126-'Planning Model'!V175</f>
        <v>0</v>
      </c>
      <c r="AY47" s="1"/>
    </row>
    <row r="48" spans="1:51" x14ac:dyDescent="0.2">
      <c r="A48" t="s">
        <v>27</v>
      </c>
      <c r="B48" t="s">
        <v>5</v>
      </c>
      <c r="C48" t="s">
        <v>20</v>
      </c>
      <c r="D48" s="54">
        <v>66.666666666666671</v>
      </c>
      <c r="E48" s="64">
        <v>0</v>
      </c>
      <c r="F48" s="64">
        <v>80</v>
      </c>
      <c r="G48" s="64">
        <v>90</v>
      </c>
      <c r="H48" s="64">
        <v>90</v>
      </c>
      <c r="I48" s="64">
        <v>90</v>
      </c>
      <c r="J48" s="64">
        <v>90</v>
      </c>
      <c r="K48" s="64">
        <v>90</v>
      </c>
      <c r="L48" s="64">
        <v>90</v>
      </c>
      <c r="M48" s="64">
        <v>116.99878</v>
      </c>
      <c r="N48" s="64">
        <v>344.88909000000001</v>
      </c>
      <c r="O48" s="64">
        <v>231.36152000000001</v>
      </c>
      <c r="P48" s="64">
        <v>241.58587</v>
      </c>
      <c r="Q48" s="64">
        <v>360</v>
      </c>
      <c r="R48" s="64">
        <v>360</v>
      </c>
      <c r="S48" s="64">
        <v>360</v>
      </c>
      <c r="T48" s="64">
        <v>360</v>
      </c>
      <c r="U48" s="64">
        <v>360</v>
      </c>
      <c r="V48" s="64">
        <v>360</v>
      </c>
      <c r="W48" s="31">
        <f t="shared" si="1"/>
        <v>247655.68400000001</v>
      </c>
      <c r="AB48" t="s">
        <v>28</v>
      </c>
      <c r="AC48" t="s">
        <v>16</v>
      </c>
      <c r="AF48" s="4">
        <v>150</v>
      </c>
      <c r="AG48" s="35">
        <f>AF48+'Planning Model'!E32+'Planning Model'!E87-'Planning Model'!E178</f>
        <v>83.471999999999994</v>
      </c>
      <c r="AH48" s="35">
        <f>AG48+'Planning Model'!F32+'Planning Model'!F87-'Planning Model'!F178</f>
        <v>0</v>
      </c>
      <c r="AI48" s="35">
        <f>AH48+'Planning Model'!G32+'Planning Model'!G87-'Planning Model'!G178</f>
        <v>0</v>
      </c>
      <c r="AJ48" s="35">
        <f>AI48+'Planning Model'!H32+'Planning Model'!H87-'Planning Model'!H178</f>
        <v>0</v>
      </c>
      <c r="AK48" s="35">
        <f>AJ48+'Planning Model'!I32+'Planning Model'!I87-'Planning Model'!I178</f>
        <v>0</v>
      </c>
      <c r="AL48" s="35">
        <f>AK48+'Planning Model'!J32+'Planning Model'!J87-'Planning Model'!J178</f>
        <v>0</v>
      </c>
      <c r="AM48" s="35">
        <f>AL48+'Planning Model'!K32+'Planning Model'!K87-'Planning Model'!K178</f>
        <v>0</v>
      </c>
      <c r="AN48" s="35">
        <f>AM48+'Planning Model'!L32+'Planning Model'!L87-'Planning Model'!L178</f>
        <v>0</v>
      </c>
      <c r="AO48" s="35">
        <f>AN48+'Planning Model'!M32+'Planning Model'!M87-'Planning Model'!M178</f>
        <v>0</v>
      </c>
      <c r="AP48" s="35">
        <f>AO48+'Planning Model'!N32+'Planning Model'!N87-'Planning Model'!N178</f>
        <v>0</v>
      </c>
      <c r="AQ48" s="35">
        <f>AP48+'Planning Model'!O32+'Planning Model'!O87-'Planning Model'!O178</f>
        <v>0</v>
      </c>
      <c r="AR48" s="35">
        <f>AQ48+'Planning Model'!P32+'Planning Model'!P87-'Planning Model'!P178</f>
        <v>0</v>
      </c>
      <c r="AS48" s="35">
        <f>AR48+'Planning Model'!Q32+'Planning Model'!Q87-'Planning Model'!Q178</f>
        <v>0</v>
      </c>
      <c r="AT48" s="35">
        <f>AS48+'Planning Model'!R32+'Planning Model'!R87-'Planning Model'!R178</f>
        <v>0</v>
      </c>
      <c r="AU48" s="35">
        <f>AT48+'Planning Model'!S32+'Planning Model'!S87-'Planning Model'!S178</f>
        <v>0</v>
      </c>
      <c r="AV48" s="35">
        <f>AU48+'Planning Model'!T32+'Planning Model'!T87-'Planning Model'!T178</f>
        <v>500</v>
      </c>
      <c r="AW48" s="35">
        <f>AV48+'Planning Model'!U32+'Planning Model'!U87-'Planning Model'!U178</f>
        <v>0</v>
      </c>
      <c r="AX48" s="35">
        <f>AW48+'Planning Model'!V32+'Planning Model'!V87-'Planning Model'!V178</f>
        <v>0</v>
      </c>
      <c r="AY48" s="1"/>
    </row>
    <row r="49" spans="1:54" x14ac:dyDescent="0.2">
      <c r="A49" t="s">
        <v>28</v>
      </c>
      <c r="B49" t="s">
        <v>6</v>
      </c>
      <c r="C49" t="s">
        <v>21</v>
      </c>
      <c r="D49" s="54">
        <v>183.33333333333331</v>
      </c>
      <c r="E49" s="64">
        <v>0</v>
      </c>
      <c r="F49" s="64">
        <v>0</v>
      </c>
      <c r="G49" s="64">
        <v>0</v>
      </c>
      <c r="H49" s="64">
        <v>0</v>
      </c>
      <c r="I49" s="64">
        <v>283.24207999999999</v>
      </c>
      <c r="J49" s="64">
        <v>412.29050999999998</v>
      </c>
      <c r="K49" s="64">
        <v>450</v>
      </c>
      <c r="L49" s="64">
        <v>450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311.58598999999998</v>
      </c>
      <c r="S49" s="64">
        <v>452.95504</v>
      </c>
      <c r="T49" s="64">
        <v>727.94295</v>
      </c>
      <c r="U49" s="64">
        <v>634.36668999999995</v>
      </c>
      <c r="V49" s="64">
        <v>0</v>
      </c>
      <c r="W49" s="31">
        <f t="shared" si="1"/>
        <v>682436.93099999998</v>
      </c>
      <c r="AB49" t="s">
        <v>28</v>
      </c>
      <c r="AC49" t="s">
        <v>17</v>
      </c>
      <c r="AF49" s="4">
        <v>0</v>
      </c>
      <c r="AG49" s="35">
        <f>AF49+'Planning Model'!E33+'Planning Model'!E55+'Planning Model'!E88+'Planning Model'!E110-'Planning Model'!E181</f>
        <v>0</v>
      </c>
      <c r="AH49" s="35">
        <f>AG49+'Planning Model'!F33+'Planning Model'!F55+'Planning Model'!F88+'Planning Model'!F110-'Planning Model'!F181</f>
        <v>0</v>
      </c>
      <c r="AI49" s="35">
        <f>AH49+'Planning Model'!G33+'Planning Model'!G55+'Planning Model'!G88+'Planning Model'!G110-'Planning Model'!G181</f>
        <v>0</v>
      </c>
      <c r="AJ49" s="35">
        <f>AI49+'Planning Model'!H33+'Planning Model'!H55+'Planning Model'!H88+'Planning Model'!H110-'Planning Model'!H181</f>
        <v>0</v>
      </c>
      <c r="AK49" s="35">
        <f>AJ49+'Planning Model'!I33+'Planning Model'!I55+'Planning Model'!I88+'Planning Model'!I110-'Planning Model'!I181</f>
        <v>0</v>
      </c>
      <c r="AL49" s="35">
        <f>AK49+'Planning Model'!J33+'Planning Model'!J55+'Planning Model'!J88+'Planning Model'!J110-'Planning Model'!J181</f>
        <v>0</v>
      </c>
      <c r="AM49" s="35">
        <f>AL49+'Planning Model'!K33+'Planning Model'!K55+'Planning Model'!K88+'Planning Model'!K110-'Planning Model'!K181</f>
        <v>0</v>
      </c>
      <c r="AN49" s="35">
        <f>AM49+'Planning Model'!L33+'Planning Model'!L55+'Planning Model'!L88+'Planning Model'!L110-'Planning Model'!L181</f>
        <v>0</v>
      </c>
      <c r="AO49" s="35">
        <f>AN49+'Planning Model'!M33+'Planning Model'!M55+'Planning Model'!M88+'Planning Model'!M110-'Planning Model'!M181</f>
        <v>0</v>
      </c>
      <c r="AP49" s="35">
        <f>AO49+'Planning Model'!N33+'Planning Model'!N55+'Planning Model'!N88+'Planning Model'!N110-'Planning Model'!N181</f>
        <v>0</v>
      </c>
      <c r="AQ49" s="35">
        <f>AP49+'Planning Model'!O33+'Planning Model'!O55+'Planning Model'!O88+'Planning Model'!O110-'Planning Model'!O181</f>
        <v>0</v>
      </c>
      <c r="AR49" s="35">
        <f>AQ49+'Planning Model'!P33+'Planning Model'!P55+'Planning Model'!P88+'Planning Model'!P110-'Planning Model'!P181</f>
        <v>0</v>
      </c>
      <c r="AS49" s="35">
        <f>AR49+'Planning Model'!Q33+'Planning Model'!Q55+'Planning Model'!Q88+'Planning Model'!Q110-'Planning Model'!Q181</f>
        <v>0</v>
      </c>
      <c r="AT49" s="35">
        <f>AS49+'Planning Model'!R33+'Planning Model'!R55+'Planning Model'!R88+'Planning Model'!R110-'Planning Model'!R181</f>
        <v>0</v>
      </c>
      <c r="AU49" s="35">
        <f>AT49+'Planning Model'!S33+'Planning Model'!S55+'Planning Model'!S88+'Planning Model'!S110-'Planning Model'!S181</f>
        <v>0</v>
      </c>
      <c r="AV49" s="35">
        <f>AU49+'Planning Model'!T33+'Planning Model'!T55+'Planning Model'!T88+'Planning Model'!T110-'Planning Model'!T181</f>
        <v>0</v>
      </c>
      <c r="AW49" s="35">
        <f>AV49+'Planning Model'!U33+'Planning Model'!U55+'Planning Model'!U88+'Planning Model'!U110-'Planning Model'!U181</f>
        <v>0</v>
      </c>
      <c r="AX49" s="35">
        <f>AW49+'Planning Model'!V33+'Planning Model'!V55+'Planning Model'!V88+'Planning Model'!V110-'Planning Model'!V181</f>
        <v>0</v>
      </c>
      <c r="AY49" s="1"/>
    </row>
    <row r="50" spans="1:54" x14ac:dyDescent="0.2">
      <c r="A50" t="s">
        <v>28</v>
      </c>
      <c r="B50" t="s">
        <v>6</v>
      </c>
      <c r="C50" t="s">
        <v>10</v>
      </c>
      <c r="D50" s="54">
        <v>216.66666666666669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31">
        <f t="shared" si="1"/>
        <v>0</v>
      </c>
      <c r="AB50" t="s">
        <v>28</v>
      </c>
      <c r="AC50" t="s">
        <v>18</v>
      </c>
      <c r="AF50" s="4">
        <v>500</v>
      </c>
      <c r="AG50" s="35">
        <f>AF50+'Planning Model'!E34+'Planning Model'!E56+'Planning Model'!E72+'Planning Model'!E89+'Planning Model'!E111+'Planning Model'!E127-'Planning Model'!E184</f>
        <v>615</v>
      </c>
      <c r="AH50" s="35">
        <f>AG50+'Planning Model'!F34+'Planning Model'!F56+'Planning Model'!F72+'Planning Model'!F89+'Planning Model'!F111+'Planning Model'!F127-'Planning Model'!F184</f>
        <v>615</v>
      </c>
      <c r="AI50" s="35">
        <f>AH50+'Planning Model'!G34+'Planning Model'!G56+'Planning Model'!G72+'Planning Model'!G89+'Planning Model'!G111+'Planning Model'!G127-'Planning Model'!G184</f>
        <v>615</v>
      </c>
      <c r="AJ50" s="35">
        <f>AI50+'Planning Model'!H34+'Planning Model'!H56+'Planning Model'!H72+'Planning Model'!H89+'Planning Model'!H111+'Planning Model'!H127-'Planning Model'!H184</f>
        <v>615</v>
      </c>
      <c r="AK50" s="35">
        <f>AJ50+'Planning Model'!I34+'Planning Model'!I56+'Planning Model'!I72+'Planning Model'!I89+'Planning Model'!I111+'Planning Model'!I127-'Planning Model'!I184</f>
        <v>334.85359999999997</v>
      </c>
      <c r="AL50" s="35">
        <f>AK50+'Planning Model'!J34+'Planning Model'!J56+'Planning Model'!J72+'Planning Model'!J89+'Planning Model'!J111+'Planning Model'!J127-'Planning Model'!J184</f>
        <v>0</v>
      </c>
      <c r="AM50" s="35">
        <f>AL50+'Planning Model'!K34+'Planning Model'!K56+'Planning Model'!K72+'Planning Model'!K89+'Planning Model'!K111+'Planning Model'!K127-'Planning Model'!K184</f>
        <v>0</v>
      </c>
      <c r="AN50" s="35">
        <f>AM50+'Planning Model'!L34+'Planning Model'!L56+'Planning Model'!L72+'Planning Model'!L89+'Planning Model'!L111+'Planning Model'!L127-'Planning Model'!L184</f>
        <v>0</v>
      </c>
      <c r="AO50" s="35">
        <f>AN50+'Planning Model'!M34+'Planning Model'!M56+'Planning Model'!M72+'Planning Model'!M89+'Planning Model'!M111+'Planning Model'!M127-'Planning Model'!M184</f>
        <v>0</v>
      </c>
      <c r="AP50" s="35">
        <f>AO50+'Planning Model'!N34+'Planning Model'!N56+'Planning Model'!N72+'Planning Model'!N89+'Planning Model'!N111+'Planning Model'!N127-'Planning Model'!N184</f>
        <v>0</v>
      </c>
      <c r="AQ50" s="35">
        <f>AP50+'Planning Model'!O34+'Planning Model'!O56+'Planning Model'!O72+'Planning Model'!O89+'Planning Model'!O111+'Planning Model'!O127-'Planning Model'!O184</f>
        <v>0</v>
      </c>
      <c r="AR50" s="35">
        <f>AQ50+'Planning Model'!P34+'Planning Model'!P56+'Planning Model'!P72+'Planning Model'!P89+'Planning Model'!P111+'Planning Model'!P127-'Planning Model'!P184</f>
        <v>20.292352000000001</v>
      </c>
      <c r="AS50" s="35">
        <f>AR50+'Planning Model'!Q34+'Planning Model'!Q56+'Planning Model'!Q72+'Planning Model'!Q89+'Planning Model'!Q111+'Planning Model'!Q127-'Planning Model'!Q184</f>
        <v>235.50035199999999</v>
      </c>
      <c r="AT50" s="35">
        <f>AS50+'Planning Model'!R34+'Planning Model'!R56+'Planning Model'!R72+'Planning Model'!R89+'Planning Model'!R111+'Planning Model'!R127-'Planning Model'!R184</f>
        <v>631.29575199999999</v>
      </c>
      <c r="AU50" s="35">
        <f>AT50+'Planning Model'!S34+'Planning Model'!S56+'Planning Model'!S72+'Planning Model'!S89+'Planning Model'!S111+'Planning Model'!S127-'Planning Model'!S184</f>
        <v>631.29575199999999</v>
      </c>
      <c r="AV50" s="35">
        <f>AU50+'Planning Model'!T34+'Planning Model'!T56+'Planning Model'!T72+'Planning Model'!T89+'Planning Model'!T111+'Planning Model'!T127-'Planning Model'!T184</f>
        <v>631.29575199999999</v>
      </c>
      <c r="AW50" s="35">
        <f>AV50+'Planning Model'!U34+'Planning Model'!U56+'Planning Model'!U72+'Planning Model'!U89+'Planning Model'!U111+'Planning Model'!U127-'Planning Model'!U184</f>
        <v>123.70625200000001</v>
      </c>
      <c r="AX50" s="35">
        <f>AW50+'Planning Model'!V34+'Planning Model'!V56+'Planning Model'!V72+'Planning Model'!V89+'Planning Model'!V111+'Planning Model'!V127-'Planning Model'!V184</f>
        <v>2.0000000091613401E-6</v>
      </c>
      <c r="AY50" s="1"/>
    </row>
    <row r="51" spans="1:54" x14ac:dyDescent="0.2">
      <c r="A51" t="s">
        <v>28</v>
      </c>
      <c r="B51" t="s">
        <v>6</v>
      </c>
      <c r="C51" t="s">
        <v>23</v>
      </c>
      <c r="D51" s="54">
        <v>190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319.08728000000002</v>
      </c>
      <c r="W51" s="31">
        <f t="shared" si="1"/>
        <v>60626.583200000001</v>
      </c>
      <c r="AB51" t="s">
        <v>28</v>
      </c>
      <c r="AC51" t="s">
        <v>22</v>
      </c>
      <c r="AF51" s="4">
        <v>75</v>
      </c>
      <c r="AG51" s="35">
        <f>AF51+'Planning Model'!E57+'Planning Model'!E73+'Planning Model'!E112+'Planning Model'!E128-'Planning Model'!E171-'Planning Model'!E176-'Planning Model'!E182-'Planning Model'!E185</f>
        <v>0</v>
      </c>
      <c r="AH51" s="35">
        <f>AG51+'Planning Model'!F57+'Planning Model'!F73+'Planning Model'!F112+'Planning Model'!F128-'Planning Model'!F171-'Planning Model'!F176-'Planning Model'!F182-'Planning Model'!F185</f>
        <v>5.0000000015870683E-6</v>
      </c>
      <c r="AI51" s="35">
        <f>AH51+'Planning Model'!G57+'Planning Model'!G73+'Planning Model'!G112+'Planning Model'!G128-'Planning Model'!G171-'Planning Model'!G176-'Planning Model'!G182-'Planning Model'!G185</f>
        <v>-1.4999999862652658E-5</v>
      </c>
      <c r="AJ51" s="35">
        <f>AI51+'Planning Model'!H57+'Planning Model'!H73+'Planning Model'!H112+'Planning Model'!H128-'Planning Model'!H171-'Planning Model'!H176-'Planning Model'!H182-'Planning Model'!H185</f>
        <v>-1.5000000274767444E-5</v>
      </c>
      <c r="AK51" s="35">
        <f>AJ51+'Planning Model'!I57+'Planning Model'!I73+'Planning Model'!I112+'Planning Model'!I128-'Planning Model'!I171-'Planning Model'!I176-'Planning Model'!I182-'Planning Model'!I185</f>
        <v>-4.5000000170603016E-5</v>
      </c>
      <c r="AL51" s="35">
        <f>AK51+'Planning Model'!J57+'Planning Model'!J73+'Planning Model'!J112+'Planning Model'!J128-'Planning Model'!J171-'Planning Model'!J176-'Planning Model'!J182-'Planning Model'!J185</f>
        <v>-9.500000012963028E-5</v>
      </c>
      <c r="AM51" s="35">
        <f>AL51+'Planning Model'!K57+'Planning Model'!K73+'Planning Model'!K112+'Planning Model'!K128-'Planning Model'!K171-'Planning Model'!K176-'Planning Model'!K182-'Planning Model'!K185</f>
        <v>-9.5000000015943442E-5</v>
      </c>
      <c r="AN51" s="35">
        <f>AM51+'Planning Model'!L57+'Planning Model'!L73+'Planning Model'!L112+'Planning Model'!L128-'Planning Model'!L171-'Planning Model'!L176-'Planning Model'!L182-'Planning Model'!L185</f>
        <v>-9.5000000044365152E-5</v>
      </c>
      <c r="AO51" s="35">
        <f>AN51+'Planning Model'!M57+'Planning Model'!M73+'Planning Model'!M112+'Planning Model'!M128-'Planning Model'!M171-'Planning Model'!M176-'Planning Model'!M182-'Planning Model'!M185</f>
        <v>-9.0000000028567229E-5</v>
      </c>
      <c r="AP51" s="35">
        <f>AO51+'Planning Model'!N57+'Planning Model'!N73+'Planning Model'!N112+'Planning Model'!N128-'Planning Model'!N171-'Planning Model'!N176-'Planning Model'!N182-'Planning Model'!N185</f>
        <v>-9.000000007830522E-5</v>
      </c>
      <c r="AQ51" s="35">
        <f>AP51+'Planning Model'!O57+'Planning Model'!O73+'Planning Model'!O112+'Planning Model'!O128-'Planning Model'!O171-'Planning Model'!O176-'Planning Model'!O182-'Planning Model'!O185</f>
        <v>-9.000000007830522E-5</v>
      </c>
      <c r="AR51" s="35">
        <f>AQ51+'Planning Model'!P57+'Planning Model'!P73+'Planning Model'!P112+'Planning Model'!P128-'Planning Model'!P171-'Planning Model'!P176-'Planning Model'!P182-'Planning Model'!P185</f>
        <v>-9.4000000075311618E-5</v>
      </c>
      <c r="AS51" s="35">
        <f>AR51+'Planning Model'!Q57+'Planning Model'!Q73+'Planning Model'!Q112+'Planning Model'!Q128-'Planning Model'!Q171-'Planning Model'!Q176-'Planning Model'!Q182-'Planning Model'!Q185</f>
        <v>-9.4000000089522473E-5</v>
      </c>
      <c r="AT51" s="35">
        <f>AS51+'Planning Model'!R57+'Planning Model'!R73+'Planning Model'!R112+'Planning Model'!R128-'Planning Model'!R171-'Planning Model'!R176-'Planning Model'!R182-'Planning Model'!R185</f>
        <v>-9.4000000089522473E-5</v>
      </c>
      <c r="AU51" s="35">
        <f>AT51+'Planning Model'!S57+'Planning Model'!S73+'Planning Model'!S112+'Planning Model'!S128-'Planning Model'!S171-'Planning Model'!S176-'Planning Model'!S182-'Planning Model'!S185</f>
        <v>-9.4000000103733328E-5</v>
      </c>
      <c r="AV51" s="35">
        <f>AU51+'Planning Model'!T57+'Planning Model'!T73+'Planning Model'!T112+'Planning Model'!T128-'Planning Model'!T171-'Planning Model'!T176-'Planning Model'!T182-'Planning Model'!T185</f>
        <v>35.60026599999992</v>
      </c>
      <c r="AW51" s="35">
        <f>AV51+'Planning Model'!U57+'Planning Model'!U73+'Planning Model'!U112+'Planning Model'!U128-'Planning Model'!U171-'Planning Model'!U176-'Planning Model'!U182-'Planning Model'!U185</f>
        <v>-1.4000000248870492E-5</v>
      </c>
      <c r="AX51" s="35">
        <f>AW51+'Planning Model'!V57+'Planning Model'!V73+'Planning Model'!V112+'Planning Model'!V128-'Planning Model'!V171-'Planning Model'!V176-'Planning Model'!V182-'Planning Model'!V185</f>
        <v>-1.4000000589931005E-5</v>
      </c>
      <c r="AY51" s="1"/>
      <c r="BA51" s="6"/>
      <c r="BB51" s="6"/>
    </row>
    <row r="52" spans="1:54" x14ac:dyDescent="0.2">
      <c r="A52" t="s">
        <v>28</v>
      </c>
      <c r="B52" t="s">
        <v>6</v>
      </c>
      <c r="C52" t="s">
        <v>14</v>
      </c>
      <c r="D52" s="54">
        <v>186.66666666666669</v>
      </c>
      <c r="E52" s="64">
        <v>0</v>
      </c>
      <c r="F52" s="64">
        <v>0</v>
      </c>
      <c r="G52" s="64">
        <v>350</v>
      </c>
      <c r="H52" s="64">
        <v>450</v>
      </c>
      <c r="I52" s="64">
        <v>166.75792000000001</v>
      </c>
      <c r="J52" s="64">
        <v>37.709493999999999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35.458972000000003</v>
      </c>
      <c r="T52" s="64">
        <v>172.05705</v>
      </c>
      <c r="U52" s="64">
        <v>265.63330999999999</v>
      </c>
      <c r="V52" s="64">
        <v>0</v>
      </c>
      <c r="W52" s="31">
        <f t="shared" si="1"/>
        <v>275821.79258666671</v>
      </c>
      <c r="AB52" t="s">
        <v>28</v>
      </c>
      <c r="AC52" t="s">
        <v>13</v>
      </c>
      <c r="AF52" s="4">
        <v>0</v>
      </c>
      <c r="AG52" s="35">
        <f>AF52+'Planning Model'!E29+'Planning Model'!E58+'Planning Model'!E74+'Planning Model'!E84+'Planning Model'!E113+'Planning Model'!E129-'Planning Model'!E188</f>
        <v>0</v>
      </c>
      <c r="AH52" s="35">
        <f>AG52+'Planning Model'!F29+'Planning Model'!F58+'Planning Model'!F74+'Planning Model'!F84+'Planning Model'!F113+'Planning Model'!F129-'Planning Model'!F188</f>
        <v>257.82266000000004</v>
      </c>
      <c r="AI52" s="35">
        <f>AH52+'Planning Model'!G29+'Planning Model'!G58+'Planning Model'!G74+'Planning Model'!G84+'Planning Model'!G113+'Planning Model'!G129-'Planning Model'!G188</f>
        <v>334.68518</v>
      </c>
      <c r="AJ52" s="35">
        <f>AI52+'Planning Model'!H29+'Planning Model'!H58+'Planning Model'!H74+'Planning Model'!H84+'Planning Model'!H113+'Planning Model'!H129-'Planning Model'!H188</f>
        <v>431.8122800000001</v>
      </c>
      <c r="AK52" s="35">
        <f>AJ52+'Planning Model'!I29+'Planning Model'!I58+'Planning Model'!I74+'Planning Model'!I84+'Planning Model'!I113+'Planning Model'!I129-'Planning Model'!I188</f>
        <v>57.862260000000106</v>
      </c>
      <c r="AL52" s="35">
        <f>AK52+'Planning Model'!J29+'Planning Model'!J58+'Planning Model'!J74+'Planning Model'!J84+'Planning Model'!J113+'Planning Model'!J129-'Planning Model'!J188</f>
        <v>-1.9999999949504854E-5</v>
      </c>
      <c r="AM52" s="35">
        <f>AL52+'Planning Model'!K29+'Planning Model'!K58+'Planning Model'!K74+'Planning Model'!K84+'Planning Model'!K113+'Planning Model'!K129-'Planning Model'!K188</f>
        <v>-1.9999999949504854E-5</v>
      </c>
      <c r="AN52" s="35">
        <f>AM52+'Planning Model'!L29+'Planning Model'!L58+'Planning Model'!L74+'Planning Model'!L84+'Planning Model'!L113+'Planning Model'!L129-'Planning Model'!L188</f>
        <v>-9.9999998610655894E-6</v>
      </c>
      <c r="AO52" s="35">
        <f>AN52+'Planning Model'!M29+'Planning Model'!M58+'Planning Model'!M74+'Planning Model'!M84+'Planning Model'!M113+'Planning Model'!M129-'Planning Model'!M188</f>
        <v>-9.9999998610655894E-6</v>
      </c>
      <c r="AP52" s="35">
        <f>AO52+'Planning Model'!N29+'Planning Model'!N58+'Planning Model'!N74+'Planning Model'!N84+'Planning Model'!N113+'Planning Model'!N129-'Planning Model'!N188</f>
        <v>-9.9999998610655894E-6</v>
      </c>
      <c r="AQ52" s="35">
        <f>AP52+'Planning Model'!O29+'Planning Model'!O58+'Planning Model'!O74+'Planning Model'!O84+'Planning Model'!O113+'Planning Model'!O129-'Planning Model'!O188</f>
        <v>-9.9999998610655894E-6</v>
      </c>
      <c r="AR52" s="35">
        <f>AQ52+'Planning Model'!P29+'Planning Model'!P58+'Planning Model'!P74+'Planning Model'!P84+'Planning Model'!P113+'Planning Model'!P129-'Planning Model'!P188</f>
        <v>-7.9999998376933945E-6</v>
      </c>
      <c r="AS52" s="35">
        <f>AR52+'Planning Model'!Q29+'Planning Model'!Q58+'Planning Model'!Q74+'Planning Model'!Q84+'Planning Model'!Q113+'Planning Model'!Q129-'Planning Model'!Q188</f>
        <v>-7.9999998376933945E-6</v>
      </c>
      <c r="AT52" s="35">
        <f>AS52+'Planning Model'!R29+'Planning Model'!R58+'Planning Model'!R74+'Planning Model'!R84+'Planning Model'!R113+'Planning Model'!R129-'Planning Model'!R188</f>
        <v>984.0147820000002</v>
      </c>
      <c r="AU52" s="35">
        <f>AT52+'Planning Model'!S29+'Planning Model'!S58+'Planning Model'!S74+'Planning Model'!S84+'Planning Model'!S113+'Planning Model'!S129-'Planning Model'!S188</f>
        <v>999.99999200000025</v>
      </c>
      <c r="AV52" s="35">
        <f>AU52+'Planning Model'!T29+'Planning Model'!T58+'Planning Model'!T74+'Planning Model'!T84+'Planning Model'!T113+'Planning Model'!T129-'Planning Model'!T188</f>
        <v>999.99999200000025</v>
      </c>
      <c r="AW52" s="35">
        <f>AV52+'Planning Model'!U29+'Planning Model'!U58+'Planning Model'!U74+'Planning Model'!U84+'Planning Model'!U113+'Planning Model'!U129-'Planning Model'!U188</f>
        <v>-1.7999999727180693E-5</v>
      </c>
      <c r="AX52" s="35">
        <f>AW52+'Planning Model'!V29+'Planning Model'!V58+'Planning Model'!V74+'Planning Model'!V84+'Planning Model'!V113+'Planning Model'!V129-'Planning Model'!V188</f>
        <v>-4.7999999651437975E-5</v>
      </c>
      <c r="AY52" s="1"/>
    </row>
    <row r="53" spans="1:54" x14ac:dyDescent="0.2">
      <c r="A53" t="s">
        <v>28</v>
      </c>
      <c r="B53" t="s">
        <v>6</v>
      </c>
      <c r="C53" t="s">
        <v>11</v>
      </c>
      <c r="D53" s="54">
        <v>233.33333333333331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31">
        <f t="shared" si="1"/>
        <v>0</v>
      </c>
      <c r="AB53" t="s">
        <v>28</v>
      </c>
      <c r="AC53" t="s">
        <v>20</v>
      </c>
      <c r="AF53" s="4">
        <v>0</v>
      </c>
      <c r="AG53" s="35">
        <f>AF53+'Planning Model'!E59+'Planning Model'!E75+'Planning Model'!E130-'Planning Model'!E163-'Planning Model'!E168-'Planning Model'!E172-'Planning Model'!E177-'Planning Model'!E180-'Planning Model'!E183-'Planning Model'!E187-'Planning Model'!E189</f>
        <v>2642.8515000000002</v>
      </c>
      <c r="AH53" s="35">
        <f>AG53+'Planning Model'!F59+'Planning Model'!F75+'Planning Model'!F130-'Planning Model'!F163-'Planning Model'!F168-'Planning Model'!F172-'Planning Model'!F177-'Planning Model'!F180-'Planning Model'!F183-'Planning Model'!F187-'Planning Model'!F189</f>
        <v>4244.0972400000001</v>
      </c>
      <c r="AI53" s="35">
        <f>AH53+'Planning Model'!G59+'Planning Model'!G75+'Planning Model'!G130-'Planning Model'!G163-'Planning Model'!G168-'Planning Model'!G172-'Planning Model'!G177-'Planning Model'!G180-'Planning Model'!G183-'Planning Model'!G187-'Planning Model'!G189</f>
        <v>4594.1345499999998</v>
      </c>
      <c r="AJ53" s="35">
        <f>AI53+'Planning Model'!H59+'Planning Model'!H75+'Planning Model'!H130-'Planning Model'!H163-'Planning Model'!H168-'Planning Model'!H172-'Planning Model'!H177-'Planning Model'!H180-'Planning Model'!H183-'Planning Model'!H187-'Planning Model'!H189</f>
        <v>4409.1418700000004</v>
      </c>
      <c r="AK53" s="35">
        <f>AJ53+'Planning Model'!I59+'Planning Model'!I75+'Planning Model'!I130-'Planning Model'!I163-'Planning Model'!I168-'Planning Model'!I172-'Planning Model'!I177-'Planning Model'!I180-'Planning Model'!I183-'Planning Model'!I187-'Planning Model'!I189</f>
        <v>3203.3082840000002</v>
      </c>
      <c r="AL53" s="35">
        <f>AK53+'Planning Model'!J59+'Planning Model'!J75+'Planning Model'!J130-'Planning Model'!J163-'Planning Model'!J168-'Planning Model'!J172-'Planning Model'!J177-'Planning Model'!J180-'Planning Model'!J183-'Planning Model'!J187-'Planning Model'!J189</f>
        <v>1937.3026540000001</v>
      </c>
      <c r="AM53" s="35">
        <f>AL53+'Planning Model'!K59+'Planning Model'!K75+'Planning Model'!K130-'Planning Model'!K163-'Planning Model'!K168-'Planning Model'!K172-'Planning Model'!K177-'Planning Model'!K180-'Planning Model'!K183-'Planning Model'!K187-'Planning Model'!K189</f>
        <v>470.75285400000001</v>
      </c>
      <c r="AN53" s="35">
        <f>AM53+'Planning Model'!L59+'Planning Model'!L75+'Planning Model'!L130-'Planning Model'!L163-'Planning Model'!L168-'Planning Model'!L172-'Planning Model'!L177-'Planning Model'!L180-'Planning Model'!L183-'Planning Model'!L187-'Planning Model'!L189</f>
        <v>-5.5999999915457011E-5</v>
      </c>
      <c r="AO53" s="35">
        <f>AN53+'Planning Model'!M59+'Planning Model'!M75+'Planning Model'!M130-'Planning Model'!M163-'Planning Model'!M168-'Planning Model'!M172-'Planning Model'!M177-'Planning Model'!M180-'Planning Model'!M183-'Planning Model'!M187-'Planning Model'!M189</f>
        <v>-5.599999994387872E-5</v>
      </c>
      <c r="AP53" s="35">
        <f>AO53+'Planning Model'!N59+'Planning Model'!N75+'Planning Model'!N130-'Planning Model'!N163-'Planning Model'!N168-'Planning Model'!N172-'Planning Model'!N177-'Planning Model'!N180-'Planning Model'!N183-'Planning Model'!N187-'Planning Model'!N189</f>
        <v>-5.5999999872824446E-5</v>
      </c>
      <c r="AQ53" s="35">
        <f>AP53+'Planning Model'!O59+'Planning Model'!O75+'Planning Model'!O130-'Planning Model'!O163-'Planning Model'!O168-'Planning Model'!O172-'Planning Model'!O177-'Planning Model'!O180-'Planning Model'!O183-'Planning Model'!O187-'Planning Model'!O189</f>
        <v>-5.5999999872824446E-5</v>
      </c>
      <c r="AR53" s="35">
        <f>AQ53+'Planning Model'!P59+'Planning Model'!P75+'Planning Model'!P130-'Planning Model'!P163-'Planning Model'!P168-'Planning Model'!P172-'Planning Model'!P177-'Planning Model'!P180-'Planning Model'!P183-'Planning Model'!P187-'Planning Model'!P189</f>
        <v>-5.5999999858613592E-5</v>
      </c>
      <c r="AS53" s="35">
        <f>AR53+'Planning Model'!Q59+'Planning Model'!Q75+'Planning Model'!Q130-'Planning Model'!Q163-'Planning Model'!Q168-'Planning Model'!Q172-'Planning Model'!Q177-'Planning Model'!Q180-'Planning Model'!Q183-'Planning Model'!Q187-'Planning Model'!Q189</f>
        <v>262.45082400000018</v>
      </c>
      <c r="AT53" s="35">
        <f>AS53+'Planning Model'!R59+'Planning Model'!R75+'Planning Model'!R130-'Planning Model'!R163-'Planning Model'!R168-'Planning Model'!R172-'Planning Model'!R177-'Planning Model'!R180-'Planning Model'!R183-'Planning Model'!R187-'Planning Model'!R189</f>
        <v>1391.9365240000002</v>
      </c>
      <c r="AU53" s="35">
        <f>AT53+'Planning Model'!S59+'Planning Model'!S75+'Planning Model'!S130-'Planning Model'!S163-'Planning Model'!S168-'Planning Model'!S172-'Planning Model'!S177-'Planning Model'!S180-'Planning Model'!S183-'Planning Model'!S187-'Planning Model'!S189</f>
        <v>3812.5859740000005</v>
      </c>
      <c r="AV53" s="35">
        <f>AU53+'Planning Model'!T59+'Planning Model'!T75+'Planning Model'!T130-'Planning Model'!T163-'Planning Model'!T168-'Planning Model'!T172-'Planning Model'!T177-'Planning Model'!T180-'Planning Model'!T183-'Planning Model'!T187-'Planning Model'!T189</f>
        <v>3573.2552740000006</v>
      </c>
      <c r="AW53" s="35">
        <f>AV53+'Planning Model'!U59+'Planning Model'!U75+'Planning Model'!U130-'Planning Model'!U163-'Planning Model'!U168-'Planning Model'!U172-'Planning Model'!U177-'Planning Model'!U180-'Planning Model'!U183-'Planning Model'!U187-'Planning Model'!U189</f>
        <v>1899.0084740000004</v>
      </c>
      <c r="AX53" s="35">
        <f>AW53+'Planning Model'!V59+'Planning Model'!V75+'Planning Model'!V130-'Planning Model'!V163-'Planning Model'!V168-'Planning Model'!V172-'Planning Model'!V177-'Planning Model'!V180-'Planning Model'!V183-'Planning Model'!V187-'Planning Model'!V189</f>
        <v>2.4000000450996595E-5</v>
      </c>
      <c r="AY53" s="1"/>
    </row>
    <row r="54" spans="1:54" x14ac:dyDescent="0.2">
      <c r="A54" t="s">
        <v>28</v>
      </c>
      <c r="B54" t="s">
        <v>6</v>
      </c>
      <c r="C54" t="s">
        <v>15</v>
      </c>
      <c r="D54" s="54">
        <v>216.66666666666669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31">
        <f t="shared" si="1"/>
        <v>0</v>
      </c>
      <c r="AY54" s="1"/>
    </row>
    <row r="55" spans="1:54" x14ac:dyDescent="0.2">
      <c r="A55" t="s">
        <v>28</v>
      </c>
      <c r="B55" t="s">
        <v>6</v>
      </c>
      <c r="C55" t="s">
        <v>17</v>
      </c>
      <c r="D55" s="54">
        <v>216.66666666666669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31">
        <f t="shared" si="1"/>
        <v>0</v>
      </c>
      <c r="AY55" s="1"/>
    </row>
    <row r="56" spans="1:54" x14ac:dyDescent="0.2">
      <c r="A56" t="s">
        <v>28</v>
      </c>
      <c r="B56" t="s">
        <v>6</v>
      </c>
      <c r="C56" t="s">
        <v>18</v>
      </c>
      <c r="D56" s="54">
        <v>221.66666666666669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31">
        <f t="shared" si="1"/>
        <v>0</v>
      </c>
      <c r="AB56" s="36" t="s">
        <v>113</v>
      </c>
    </row>
    <row r="57" spans="1:54" x14ac:dyDescent="0.2">
      <c r="A57" t="s">
        <v>28</v>
      </c>
      <c r="B57" t="s">
        <v>6</v>
      </c>
      <c r="C57" t="s">
        <v>22</v>
      </c>
      <c r="D57" s="54">
        <v>178.33333333333331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31">
        <f t="shared" si="1"/>
        <v>0</v>
      </c>
      <c r="AC57" t="s">
        <v>30</v>
      </c>
      <c r="AD57" s="52" t="s">
        <v>109</v>
      </c>
      <c r="AE57" s="52" t="s">
        <v>36</v>
      </c>
      <c r="AF57" s="2">
        <v>44236</v>
      </c>
      <c r="AG57" s="68" t="s">
        <v>83</v>
      </c>
      <c r="AH57" s="68" t="s">
        <v>84</v>
      </c>
      <c r="AI57" s="68" t="s">
        <v>85</v>
      </c>
      <c r="AJ57" s="68" t="s">
        <v>86</v>
      </c>
      <c r="AK57" s="68" t="s">
        <v>87</v>
      </c>
      <c r="AL57" s="68" t="s">
        <v>88</v>
      </c>
      <c r="AM57" s="68" t="s">
        <v>89</v>
      </c>
      <c r="AN57" s="68" t="s">
        <v>90</v>
      </c>
      <c r="AO57" s="68" t="s">
        <v>91</v>
      </c>
      <c r="AP57" s="68" t="s">
        <v>92</v>
      </c>
      <c r="AQ57" s="68" t="s">
        <v>94</v>
      </c>
      <c r="AR57" s="68" t="s">
        <v>95</v>
      </c>
      <c r="AS57" s="68" t="s">
        <v>93</v>
      </c>
      <c r="AT57" s="68" t="s">
        <v>96</v>
      </c>
      <c r="AU57" s="68" t="s">
        <v>97</v>
      </c>
      <c r="AV57" s="68" t="s">
        <v>98</v>
      </c>
      <c r="AW57" s="68" t="s">
        <v>99</v>
      </c>
      <c r="AX57" s="68" t="s">
        <v>100</v>
      </c>
      <c r="AY57" t="s">
        <v>70</v>
      </c>
    </row>
    <row r="58" spans="1:54" x14ac:dyDescent="0.2">
      <c r="A58" t="s">
        <v>28</v>
      </c>
      <c r="B58" t="s">
        <v>6</v>
      </c>
      <c r="C58" t="s">
        <v>13</v>
      </c>
      <c r="D58" s="54">
        <v>191.66666666666669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580.91272000000004</v>
      </c>
      <c r="W58" s="31">
        <f t="shared" si="1"/>
        <v>111341.60466666668</v>
      </c>
      <c r="AC58" t="s">
        <v>21</v>
      </c>
      <c r="AD58" s="74">
        <v>1000</v>
      </c>
      <c r="AE58" s="75">
        <v>1</v>
      </c>
      <c r="AF58" s="5">
        <f t="shared" ref="AF58:AX58" si="2">AF26+AF40</f>
        <v>350</v>
      </c>
      <c r="AG58" s="35">
        <f t="shared" si="2"/>
        <v>334.17531299999996</v>
      </c>
      <c r="AH58" s="35">
        <f t="shared" si="2"/>
        <v>864.93398200000001</v>
      </c>
      <c r="AI58" s="35">
        <f t="shared" si="2"/>
        <v>999.99999200000002</v>
      </c>
      <c r="AJ58" s="35">
        <f t="shared" si="2"/>
        <v>838.23489200000006</v>
      </c>
      <c r="AK58" s="35">
        <f t="shared" si="2"/>
        <v>647.26452200000006</v>
      </c>
      <c r="AL58" s="35">
        <f t="shared" si="2"/>
        <v>509.83435200000008</v>
      </c>
      <c r="AM58" s="35">
        <f t="shared" si="2"/>
        <v>296.97546200000011</v>
      </c>
      <c r="AN58" s="35">
        <f t="shared" si="2"/>
        <v>83.733852000000098</v>
      </c>
      <c r="AO58" s="35">
        <f t="shared" si="2"/>
        <v>-4.6999999057106834E-6</v>
      </c>
      <c r="AP58" s="35">
        <f t="shared" si="2"/>
        <v>86.916847300000114</v>
      </c>
      <c r="AQ58" s="35">
        <f t="shared" si="2"/>
        <v>38.629709300000115</v>
      </c>
      <c r="AR58" s="35">
        <f t="shared" si="2"/>
        <v>-6.9999988738800312E-7</v>
      </c>
      <c r="AS58" s="35">
        <f t="shared" si="2"/>
        <v>-6.9999988738800312E-7</v>
      </c>
      <c r="AT58" s="35">
        <f t="shared" si="2"/>
        <v>-6.9999988738800312E-7</v>
      </c>
      <c r="AU58" s="35">
        <f t="shared" si="2"/>
        <v>336.79270930000013</v>
      </c>
      <c r="AV58" s="35">
        <f t="shared" si="2"/>
        <v>194.5988493000001</v>
      </c>
      <c r="AW58" s="35">
        <f t="shared" si="2"/>
        <v>-1.6999998990741005E-6</v>
      </c>
      <c r="AX58" s="35">
        <f t="shared" si="2"/>
        <v>-1.6999998990741005E-6</v>
      </c>
      <c r="AY58" s="31">
        <f>AE58*SUM(AG58:AX58)</f>
        <v>5232.0904720000008</v>
      </c>
    </row>
    <row r="59" spans="1:54" x14ac:dyDescent="0.2">
      <c r="A59" t="s">
        <v>28</v>
      </c>
      <c r="B59" t="s">
        <v>6</v>
      </c>
      <c r="C59" t="s">
        <v>20</v>
      </c>
      <c r="D59" s="54">
        <v>186.66666666666669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31">
        <f t="shared" si="1"/>
        <v>0</v>
      </c>
      <c r="AC59" t="s">
        <v>10</v>
      </c>
      <c r="AD59" s="74">
        <v>1000</v>
      </c>
      <c r="AE59" s="75">
        <v>0.16666666666666666</v>
      </c>
      <c r="AF59" s="5">
        <f t="shared" ref="AF59:AX59" si="3">AF27+AF41</f>
        <v>0</v>
      </c>
      <c r="AG59" s="35">
        <f t="shared" si="3"/>
        <v>926.1</v>
      </c>
      <c r="AH59" s="35">
        <f t="shared" si="3"/>
        <v>922.32</v>
      </c>
      <c r="AI59" s="35">
        <f t="shared" si="3"/>
        <v>916.65</v>
      </c>
      <c r="AJ59" s="35">
        <f t="shared" si="3"/>
        <v>888.30000000000007</v>
      </c>
      <c r="AK59" s="35">
        <f t="shared" si="3"/>
        <v>841.05000000000007</v>
      </c>
      <c r="AL59" s="35">
        <f t="shared" si="3"/>
        <v>784.35000000000014</v>
      </c>
      <c r="AM59" s="35">
        <f t="shared" si="3"/>
        <v>689.85000000000014</v>
      </c>
      <c r="AN59" s="35">
        <f t="shared" si="3"/>
        <v>548.10000000000014</v>
      </c>
      <c r="AO59" s="35">
        <f t="shared" si="3"/>
        <v>406.35000000000014</v>
      </c>
      <c r="AP59" s="35">
        <f t="shared" si="3"/>
        <v>292.95000000000016</v>
      </c>
      <c r="AQ59" s="35">
        <f t="shared" si="3"/>
        <v>217.35000000000014</v>
      </c>
      <c r="AR59" s="35">
        <f t="shared" si="3"/>
        <v>141.75000000000014</v>
      </c>
      <c r="AS59" s="35">
        <f t="shared" si="3"/>
        <v>75.600000000000136</v>
      </c>
      <c r="AT59" s="35">
        <f t="shared" si="3"/>
        <v>69.930000000000135</v>
      </c>
      <c r="AU59" s="35">
        <f t="shared" si="3"/>
        <v>66.150000000000134</v>
      </c>
      <c r="AV59" s="35">
        <f t="shared" si="3"/>
        <v>37.800000000000139</v>
      </c>
      <c r="AW59" s="35">
        <f t="shared" si="3"/>
        <v>18.900000000000134</v>
      </c>
      <c r="AX59" s="35">
        <f t="shared" si="3"/>
        <v>1.3367085216486885E-13</v>
      </c>
      <c r="AY59" s="31">
        <f t="shared" ref="AY59:AY71" si="4">AE59*SUM(AG59:AX59)</f>
        <v>1307.2500000000005</v>
      </c>
    </row>
    <row r="60" spans="1:54" x14ac:dyDescent="0.2">
      <c r="A60" t="s">
        <v>27</v>
      </c>
      <c r="B60" t="s">
        <v>7</v>
      </c>
      <c r="C60" t="s">
        <v>21</v>
      </c>
      <c r="D60" s="54">
        <v>55</v>
      </c>
      <c r="E60" s="64">
        <v>30.952812999999999</v>
      </c>
      <c r="F60" s="64">
        <v>600</v>
      </c>
      <c r="G60" s="64">
        <v>235.72269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6.2703062999999997</v>
      </c>
      <c r="N60" s="64">
        <v>135.20399</v>
      </c>
      <c r="O60" s="64">
        <v>0</v>
      </c>
      <c r="P60" s="64">
        <v>0</v>
      </c>
      <c r="Q60" s="64">
        <v>0</v>
      </c>
      <c r="R60" s="64">
        <v>103.86199999999999</v>
      </c>
      <c r="S60" s="64">
        <v>487.77771999999999</v>
      </c>
      <c r="T60" s="64">
        <v>100.45379</v>
      </c>
      <c r="U60" s="64">
        <v>16.856708999999999</v>
      </c>
      <c r="V60" s="64">
        <v>206.14525</v>
      </c>
      <c r="W60" s="31">
        <f t="shared" si="1"/>
        <v>105778.4897565</v>
      </c>
      <c r="AC60" t="s">
        <v>23</v>
      </c>
      <c r="AD60" s="74">
        <v>1250</v>
      </c>
      <c r="AE60" s="75">
        <v>5</v>
      </c>
      <c r="AF60" s="5">
        <f t="shared" ref="AF60:AX60" si="5">AF28+AF42</f>
        <v>75</v>
      </c>
      <c r="AG60" s="35">
        <f t="shared" si="5"/>
        <v>5.9205000000000041</v>
      </c>
      <c r="AH60" s="35">
        <f t="shared" si="5"/>
        <v>0</v>
      </c>
      <c r="AI60" s="35">
        <f t="shared" si="5"/>
        <v>0</v>
      </c>
      <c r="AJ60" s="35">
        <f t="shared" si="5"/>
        <v>0</v>
      </c>
      <c r="AK60" s="35">
        <f t="shared" si="5"/>
        <v>0</v>
      </c>
      <c r="AL60" s="35">
        <f t="shared" si="5"/>
        <v>0</v>
      </c>
      <c r="AM60" s="35">
        <f t="shared" si="5"/>
        <v>0</v>
      </c>
      <c r="AN60" s="35">
        <f t="shared" si="5"/>
        <v>0</v>
      </c>
      <c r="AO60" s="35">
        <f t="shared" si="5"/>
        <v>0</v>
      </c>
      <c r="AP60" s="35">
        <f t="shared" si="5"/>
        <v>0</v>
      </c>
      <c r="AQ60" s="35">
        <f t="shared" si="5"/>
        <v>0</v>
      </c>
      <c r="AR60" s="35">
        <f t="shared" si="5"/>
        <v>0</v>
      </c>
      <c r="AS60" s="35">
        <f t="shared" si="5"/>
        <v>0</v>
      </c>
      <c r="AT60" s="35">
        <f t="shared" si="5"/>
        <v>0</v>
      </c>
      <c r="AU60" s="35">
        <f t="shared" si="5"/>
        <v>0</v>
      </c>
      <c r="AV60" s="35">
        <f t="shared" si="5"/>
        <v>0</v>
      </c>
      <c r="AW60" s="35">
        <f t="shared" si="5"/>
        <v>0</v>
      </c>
      <c r="AX60" s="35">
        <f t="shared" si="5"/>
        <v>3.9999999899009708E-5</v>
      </c>
      <c r="AY60" s="31">
        <f t="shared" si="4"/>
        <v>29.602699999999516</v>
      </c>
    </row>
    <row r="61" spans="1:54" x14ac:dyDescent="0.2">
      <c r="A61" t="s">
        <v>27</v>
      </c>
      <c r="B61" t="s">
        <v>7</v>
      </c>
      <c r="C61" t="s">
        <v>10</v>
      </c>
      <c r="D61" s="54">
        <v>58.333333333333329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31">
        <f t="shared" si="1"/>
        <v>0</v>
      </c>
      <c r="AC61" t="s">
        <v>14</v>
      </c>
      <c r="AD61" s="74">
        <v>500</v>
      </c>
      <c r="AE61" s="75">
        <v>0.8</v>
      </c>
      <c r="AF61" s="5">
        <f t="shared" ref="AF61:AX61" si="6">AF29+AF43</f>
        <v>150</v>
      </c>
      <c r="AG61" s="35">
        <f t="shared" si="6"/>
        <v>95.757000000000005</v>
      </c>
      <c r="AH61" s="35">
        <f t="shared" si="6"/>
        <v>17.22372</v>
      </c>
      <c r="AI61" s="35">
        <f t="shared" si="6"/>
        <v>147.65864000000002</v>
      </c>
      <c r="AJ61" s="35">
        <f t="shared" si="6"/>
        <v>183.08335999999997</v>
      </c>
      <c r="AK61" s="35">
        <f t="shared" si="6"/>
        <v>130.54079999999999</v>
      </c>
      <c r="AL61" s="35">
        <f t="shared" si="6"/>
        <v>5.7329739999999845</v>
      </c>
      <c r="AM61" s="35">
        <f t="shared" si="6"/>
        <v>3.9999999899009708E-6</v>
      </c>
      <c r="AN61" s="35">
        <f t="shared" si="6"/>
        <v>3.9999999899009708E-6</v>
      </c>
      <c r="AO61" s="35">
        <f t="shared" si="6"/>
        <v>3.9999999899009708E-6</v>
      </c>
      <c r="AP61" s="35">
        <f t="shared" si="6"/>
        <v>3.9999999899009708E-6</v>
      </c>
      <c r="AQ61" s="35">
        <f t="shared" si="6"/>
        <v>3.9999999899009708E-6</v>
      </c>
      <c r="AR61" s="35">
        <f t="shared" si="6"/>
        <v>3.9999999899009708E-6</v>
      </c>
      <c r="AS61" s="35">
        <f t="shared" si="6"/>
        <v>3.9999999899009708E-6</v>
      </c>
      <c r="AT61" s="35">
        <f t="shared" si="6"/>
        <v>3.9999999899009708E-6</v>
      </c>
      <c r="AU61" s="35">
        <f t="shared" si="6"/>
        <v>35.458975999999993</v>
      </c>
      <c r="AV61" s="35">
        <f t="shared" si="6"/>
        <v>207.51602600000001</v>
      </c>
      <c r="AW61" s="35">
        <f t="shared" si="6"/>
        <v>144.19861600000002</v>
      </c>
      <c r="AX61" s="35">
        <f t="shared" si="6"/>
        <v>1.9999999949504854E-6</v>
      </c>
      <c r="AY61" s="31">
        <f t="shared" si="4"/>
        <v>773.73611679999999</v>
      </c>
    </row>
    <row r="62" spans="1:54" x14ac:dyDescent="0.2">
      <c r="A62" t="s">
        <v>27</v>
      </c>
      <c r="B62" t="s">
        <v>7</v>
      </c>
      <c r="C62" t="s">
        <v>11</v>
      </c>
      <c r="D62" s="54">
        <v>50</v>
      </c>
      <c r="E62" s="64">
        <v>469.04719</v>
      </c>
      <c r="F62" s="64">
        <v>0</v>
      </c>
      <c r="G62" s="64">
        <v>0</v>
      </c>
      <c r="H62" s="64">
        <v>0</v>
      </c>
      <c r="I62" s="64">
        <v>91.380905999999996</v>
      </c>
      <c r="J62" s="64">
        <v>0</v>
      </c>
      <c r="K62" s="64">
        <v>30.770102999999999</v>
      </c>
      <c r="L62" s="64">
        <v>48.736502999999999</v>
      </c>
      <c r="M62" s="64">
        <v>90.323099999999997</v>
      </c>
      <c r="N62" s="64">
        <v>180.9563</v>
      </c>
      <c r="O62" s="64">
        <v>0</v>
      </c>
      <c r="P62" s="64">
        <v>0</v>
      </c>
      <c r="Q62" s="64">
        <v>0</v>
      </c>
      <c r="R62" s="64">
        <v>259.20051000000001</v>
      </c>
      <c r="S62" s="64">
        <v>0</v>
      </c>
      <c r="T62" s="64">
        <v>221.78914</v>
      </c>
      <c r="U62" s="64">
        <v>278.74340000000001</v>
      </c>
      <c r="V62" s="64">
        <v>180.0351</v>
      </c>
      <c r="W62" s="31">
        <f t="shared" si="1"/>
        <v>92549.112600000008</v>
      </c>
      <c r="AC62" t="s">
        <v>11</v>
      </c>
      <c r="AD62" s="74">
        <v>1500</v>
      </c>
      <c r="AE62" s="75">
        <v>0.8</v>
      </c>
      <c r="AF62" s="5">
        <f t="shared" ref="AF62:AX62" si="7">AF30+AF44</f>
        <v>800</v>
      </c>
      <c r="AG62" s="35">
        <f t="shared" si="7"/>
        <v>1016.1471899999999</v>
      </c>
      <c r="AH62" s="35">
        <f t="shared" si="7"/>
        <v>1500.0000020000002</v>
      </c>
      <c r="AI62" s="35">
        <f t="shared" si="7"/>
        <v>1500.0000030000001</v>
      </c>
      <c r="AJ62" s="35">
        <f t="shared" si="7"/>
        <v>1500.0000030000001</v>
      </c>
      <c r="AK62" s="35">
        <f t="shared" si="7"/>
        <v>1151.0379290000001</v>
      </c>
      <c r="AL62" s="35">
        <f t="shared" si="7"/>
        <v>198.90313900000001</v>
      </c>
      <c r="AM62" s="35">
        <f t="shared" si="7"/>
        <v>2.0000001086373231E-6</v>
      </c>
      <c r="AN62" s="35">
        <f t="shared" si="7"/>
        <v>5.0000001010630513E-6</v>
      </c>
      <c r="AO62" s="35">
        <f t="shared" si="7"/>
        <v>366.36467500000009</v>
      </c>
      <c r="AP62" s="35">
        <f t="shared" si="7"/>
        <v>369.6269860000001</v>
      </c>
      <c r="AQ62" s="35">
        <f t="shared" si="7"/>
        <v>191.93299700000006</v>
      </c>
      <c r="AR62" s="35">
        <f t="shared" si="7"/>
        <v>291.11343900000003</v>
      </c>
      <c r="AS62" s="35">
        <f t="shared" si="7"/>
        <v>322.69593900000001</v>
      </c>
      <c r="AT62" s="35">
        <f t="shared" si="7"/>
        <v>1198.2162689999998</v>
      </c>
      <c r="AU62" s="35">
        <f t="shared" si="7"/>
        <v>1499.9999789999997</v>
      </c>
      <c r="AV62" s="35">
        <f t="shared" si="7"/>
        <v>1499.9999789999997</v>
      </c>
      <c r="AW62" s="35">
        <f t="shared" si="7"/>
        <v>804.04772899999989</v>
      </c>
      <c r="AX62" s="35">
        <f t="shared" si="7"/>
        <v>-2.100000028804061E-5</v>
      </c>
      <c r="AY62" s="31">
        <f t="shared" si="4"/>
        <v>10728.068995200001</v>
      </c>
      <c r="AZ62" s="6"/>
    </row>
    <row r="63" spans="1:54" x14ac:dyDescent="0.2">
      <c r="A63" t="s">
        <v>27</v>
      </c>
      <c r="B63" t="s">
        <v>7</v>
      </c>
      <c r="C63" t="s">
        <v>15</v>
      </c>
      <c r="D63" s="54">
        <v>66.666666666666671</v>
      </c>
      <c r="E63" s="64">
        <v>0</v>
      </c>
      <c r="F63" s="64">
        <v>0</v>
      </c>
      <c r="G63" s="64">
        <v>114.27731</v>
      </c>
      <c r="H63" s="64">
        <v>350</v>
      </c>
      <c r="I63" s="64">
        <v>258.61909000000003</v>
      </c>
      <c r="J63" s="64">
        <v>350</v>
      </c>
      <c r="K63" s="64">
        <v>319.22989999999999</v>
      </c>
      <c r="L63" s="64">
        <v>301.26350000000002</v>
      </c>
      <c r="M63" s="64">
        <v>152.0694</v>
      </c>
      <c r="N63" s="64">
        <v>0</v>
      </c>
      <c r="O63" s="64">
        <v>0</v>
      </c>
      <c r="P63" s="64">
        <v>0</v>
      </c>
      <c r="Q63" s="64">
        <v>0</v>
      </c>
      <c r="R63" s="64">
        <v>192.72329999999999</v>
      </c>
      <c r="S63" s="64">
        <v>162.91371000000001</v>
      </c>
      <c r="T63" s="64">
        <v>282.06641999999999</v>
      </c>
      <c r="U63" s="64">
        <v>222.36648</v>
      </c>
      <c r="V63" s="64">
        <v>43.749296000000001</v>
      </c>
      <c r="W63" s="31">
        <f t="shared" si="1"/>
        <v>183285.2270666667</v>
      </c>
      <c r="AC63" t="s">
        <v>15</v>
      </c>
      <c r="AD63" s="74">
        <v>1000</v>
      </c>
      <c r="AE63" s="75">
        <v>2</v>
      </c>
      <c r="AF63" s="5">
        <f t="shared" ref="AF63:AX63" si="8">AF31+AF45</f>
        <v>750</v>
      </c>
      <c r="AG63" s="35">
        <f t="shared" si="8"/>
        <v>497.21249999999998</v>
      </c>
      <c r="AH63" s="35">
        <f t="shared" si="8"/>
        <v>626.63824999999986</v>
      </c>
      <c r="AI63" s="35">
        <f t="shared" si="8"/>
        <v>999.99995999999999</v>
      </c>
      <c r="AJ63" s="35">
        <f t="shared" si="8"/>
        <v>104.16636600000001</v>
      </c>
      <c r="AK63" s="35">
        <f t="shared" si="8"/>
        <v>-4.4000000002597517E-5</v>
      </c>
      <c r="AL63" s="35">
        <f t="shared" si="8"/>
        <v>-4.3999999888910679E-5</v>
      </c>
      <c r="AM63" s="35">
        <f t="shared" si="8"/>
        <v>-4.3999999888910679E-5</v>
      </c>
      <c r="AN63" s="35">
        <f t="shared" si="8"/>
        <v>-4.0999999896484951E-5</v>
      </c>
      <c r="AO63" s="35">
        <f t="shared" si="8"/>
        <v>-4.0999999896484951E-5</v>
      </c>
      <c r="AP63" s="35">
        <f t="shared" si="8"/>
        <v>-4.0999999896484951E-5</v>
      </c>
      <c r="AQ63" s="35">
        <f t="shared" si="8"/>
        <v>-4.0999999896484951E-5</v>
      </c>
      <c r="AR63" s="35">
        <f t="shared" si="8"/>
        <v>-4.0999999896484951E-5</v>
      </c>
      <c r="AS63" s="35">
        <f t="shared" si="8"/>
        <v>-4.0999999896484951E-5</v>
      </c>
      <c r="AT63" s="35">
        <f t="shared" si="8"/>
        <v>-4.0999999896484951E-5</v>
      </c>
      <c r="AU63" s="35">
        <f t="shared" si="8"/>
        <v>-3.0999999921732524E-5</v>
      </c>
      <c r="AV63" s="35">
        <f t="shared" si="8"/>
        <v>999.99997000000008</v>
      </c>
      <c r="AW63" s="35">
        <f t="shared" si="8"/>
        <v>-3.0000000037944119E-5</v>
      </c>
      <c r="AX63" s="35">
        <f t="shared" si="8"/>
        <v>-2.4000000394153176E-5</v>
      </c>
      <c r="AY63" s="31">
        <f t="shared" si="4"/>
        <v>6456.0330840000015</v>
      </c>
      <c r="AZ63" s="15"/>
    </row>
    <row r="64" spans="1:54" x14ac:dyDescent="0.2">
      <c r="A64" t="s">
        <v>27</v>
      </c>
      <c r="B64" t="s">
        <v>7</v>
      </c>
      <c r="C64" t="s">
        <v>12</v>
      </c>
      <c r="D64" s="54">
        <v>50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31">
        <f t="shared" si="1"/>
        <v>0</v>
      </c>
      <c r="AC64" t="s">
        <v>12</v>
      </c>
      <c r="AD64" s="74">
        <v>1000</v>
      </c>
      <c r="AE64" s="75">
        <v>3</v>
      </c>
      <c r="AF64" s="5">
        <f t="shared" ref="AF64:AX64" si="9">AF32+AF46</f>
        <v>250</v>
      </c>
      <c r="AG64" s="35">
        <f t="shared" si="9"/>
        <v>216.92500000000001</v>
      </c>
      <c r="AH64" s="35">
        <f t="shared" si="9"/>
        <v>135.84400000000002</v>
      </c>
      <c r="AI64" s="35">
        <f t="shared" si="9"/>
        <v>182.15825000000001</v>
      </c>
      <c r="AJ64" s="35">
        <f t="shared" si="9"/>
        <v>2.5137500000000017</v>
      </c>
      <c r="AK64" s="35">
        <f t="shared" si="9"/>
        <v>0</v>
      </c>
      <c r="AL64" s="35">
        <f t="shared" si="9"/>
        <v>0</v>
      </c>
      <c r="AM64" s="35">
        <f t="shared" si="9"/>
        <v>0</v>
      </c>
      <c r="AN64" s="35">
        <f t="shared" si="9"/>
        <v>0</v>
      </c>
      <c r="AO64" s="35">
        <f t="shared" si="9"/>
        <v>0</v>
      </c>
      <c r="AP64" s="35">
        <f t="shared" si="9"/>
        <v>0</v>
      </c>
      <c r="AQ64" s="35">
        <f t="shared" si="9"/>
        <v>0</v>
      </c>
      <c r="AR64" s="35">
        <f t="shared" si="9"/>
        <v>0</v>
      </c>
      <c r="AS64" s="35">
        <f t="shared" si="9"/>
        <v>0</v>
      </c>
      <c r="AT64" s="35">
        <f t="shared" si="9"/>
        <v>0</v>
      </c>
      <c r="AU64" s="35">
        <f t="shared" si="9"/>
        <v>0</v>
      </c>
      <c r="AV64" s="35">
        <f t="shared" si="9"/>
        <v>0.67481999999998266</v>
      </c>
      <c r="AW64" s="35">
        <f t="shared" si="9"/>
        <v>1.0000000031595846E-5</v>
      </c>
      <c r="AX64" s="35">
        <f t="shared" si="9"/>
        <v>1.0000000031595846E-5</v>
      </c>
      <c r="AY64" s="31">
        <f t="shared" si="4"/>
        <v>1614.3475199999998</v>
      </c>
      <c r="AZ64" s="18"/>
    </row>
    <row r="65" spans="1:52" x14ac:dyDescent="0.2">
      <c r="A65" t="s">
        <v>27</v>
      </c>
      <c r="B65" t="s">
        <v>7</v>
      </c>
      <c r="C65" t="s">
        <v>13</v>
      </c>
      <c r="D65" s="54">
        <v>63.333333333333329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1.3371938000000001</v>
      </c>
      <c r="N65" s="64">
        <v>33.839719000000002</v>
      </c>
      <c r="O65" s="64">
        <v>0</v>
      </c>
      <c r="P65" s="64">
        <v>0</v>
      </c>
      <c r="Q65" s="64">
        <v>0</v>
      </c>
      <c r="R65" s="64">
        <v>94.214196999999999</v>
      </c>
      <c r="S65" s="64">
        <v>99.308572999999996</v>
      </c>
      <c r="T65" s="64">
        <v>145.69065000000001</v>
      </c>
      <c r="U65" s="64">
        <v>232.03341</v>
      </c>
      <c r="V65" s="64">
        <v>271.02033</v>
      </c>
      <c r="W65" s="31">
        <f t="shared" si="1"/>
        <v>55571.457943999994</v>
      </c>
      <c r="AC65" t="s">
        <v>19</v>
      </c>
      <c r="AD65" s="74">
        <v>1200</v>
      </c>
      <c r="AE65" s="75">
        <v>4.5</v>
      </c>
      <c r="AF65" s="5">
        <f t="shared" ref="AF65:AX65" si="10">AF33+AF47</f>
        <v>200</v>
      </c>
      <c r="AG65" s="35">
        <f t="shared" si="10"/>
        <v>195.18049999999999</v>
      </c>
      <c r="AH65" s="35">
        <f t="shared" si="10"/>
        <v>189.80534</v>
      </c>
      <c r="AI65" s="35">
        <f t="shared" si="10"/>
        <v>185.56985</v>
      </c>
      <c r="AJ65" s="35">
        <f t="shared" si="10"/>
        <v>180.101135</v>
      </c>
      <c r="AK65" s="35">
        <f t="shared" si="10"/>
        <v>172.33607000000001</v>
      </c>
      <c r="AL65" s="35">
        <f t="shared" si="10"/>
        <v>162.96356</v>
      </c>
      <c r="AM65" s="35">
        <f t="shared" si="10"/>
        <v>154.84979000000001</v>
      </c>
      <c r="AN65" s="35">
        <f t="shared" si="10"/>
        <v>140.37428</v>
      </c>
      <c r="AO65" s="35">
        <f t="shared" si="10"/>
        <v>126.76627999999999</v>
      </c>
      <c r="AP65" s="35">
        <f t="shared" si="10"/>
        <v>117.487325</v>
      </c>
      <c r="AQ65" s="35">
        <f t="shared" si="10"/>
        <v>108.20837</v>
      </c>
      <c r="AR65" s="35">
        <f t="shared" si="10"/>
        <v>100.785206</v>
      </c>
      <c r="AS65" s="35">
        <f t="shared" si="10"/>
        <v>93.555956000000009</v>
      </c>
      <c r="AT65" s="35">
        <f t="shared" si="10"/>
        <v>85.493216000000004</v>
      </c>
      <c r="AU65" s="35">
        <f t="shared" si="10"/>
        <v>79.139981000000006</v>
      </c>
      <c r="AV65" s="35">
        <f t="shared" si="10"/>
        <v>70.936908500000001</v>
      </c>
      <c r="AW65" s="35">
        <f t="shared" si="10"/>
        <v>59.289311500000004</v>
      </c>
      <c r="AX65" s="35">
        <f t="shared" si="10"/>
        <v>45.230546500000003</v>
      </c>
      <c r="AY65" s="31">
        <f t="shared" si="4"/>
        <v>10206.331314750001</v>
      </c>
      <c r="AZ65" s="6"/>
    </row>
    <row r="66" spans="1:52" x14ac:dyDescent="0.2">
      <c r="A66" t="s">
        <v>27</v>
      </c>
      <c r="B66" t="s">
        <v>7</v>
      </c>
      <c r="C66" t="s">
        <v>20</v>
      </c>
      <c r="D66" s="54">
        <v>60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49.050021999999998</v>
      </c>
      <c r="W66" s="31">
        <f t="shared" si="1"/>
        <v>2943.0013199999999</v>
      </c>
      <c r="AC66" t="s">
        <v>16</v>
      </c>
      <c r="AD66" s="74">
        <v>500</v>
      </c>
      <c r="AE66" s="75">
        <v>4</v>
      </c>
      <c r="AF66" s="5">
        <f t="shared" ref="AF66:AX66" si="11">AF34+AF48</f>
        <v>150</v>
      </c>
      <c r="AG66" s="35">
        <f t="shared" si="11"/>
        <v>83.471999999999994</v>
      </c>
      <c r="AH66" s="35">
        <f t="shared" si="11"/>
        <v>0</v>
      </c>
      <c r="AI66" s="35">
        <f t="shared" si="11"/>
        <v>0</v>
      </c>
      <c r="AJ66" s="35">
        <f t="shared" si="11"/>
        <v>0</v>
      </c>
      <c r="AK66" s="35">
        <f t="shared" si="11"/>
        <v>0</v>
      </c>
      <c r="AL66" s="35">
        <f t="shared" si="11"/>
        <v>0</v>
      </c>
      <c r="AM66" s="35">
        <f t="shared" si="11"/>
        <v>0</v>
      </c>
      <c r="AN66" s="35">
        <f t="shared" si="11"/>
        <v>0</v>
      </c>
      <c r="AO66" s="35">
        <f t="shared" si="11"/>
        <v>0</v>
      </c>
      <c r="AP66" s="35">
        <f t="shared" si="11"/>
        <v>0</v>
      </c>
      <c r="AQ66" s="35">
        <f t="shared" si="11"/>
        <v>0</v>
      </c>
      <c r="AR66" s="35">
        <f t="shared" si="11"/>
        <v>0</v>
      </c>
      <c r="AS66" s="35">
        <f t="shared" si="11"/>
        <v>0</v>
      </c>
      <c r="AT66" s="35">
        <f t="shared" si="11"/>
        <v>0</v>
      </c>
      <c r="AU66" s="35">
        <f t="shared" si="11"/>
        <v>0</v>
      </c>
      <c r="AV66" s="35">
        <f t="shared" si="11"/>
        <v>500</v>
      </c>
      <c r="AW66" s="35">
        <f t="shared" si="11"/>
        <v>0</v>
      </c>
      <c r="AX66" s="35">
        <f t="shared" si="11"/>
        <v>0</v>
      </c>
      <c r="AY66" s="31">
        <f t="shared" si="4"/>
        <v>2333.8879999999999</v>
      </c>
      <c r="AZ66" s="18"/>
    </row>
    <row r="67" spans="1:52" x14ac:dyDescent="0.2">
      <c r="A67" t="s">
        <v>28</v>
      </c>
      <c r="B67" t="s">
        <v>8</v>
      </c>
      <c r="C67" t="s">
        <v>23</v>
      </c>
      <c r="D67" s="54">
        <v>83.333333333333343</v>
      </c>
      <c r="E67" s="64">
        <v>0</v>
      </c>
      <c r="F67" s="64">
        <v>167.64576</v>
      </c>
      <c r="G67" s="64">
        <v>251.12808000000001</v>
      </c>
      <c r="H67" s="64">
        <v>357.99245999999999</v>
      </c>
      <c r="I67" s="64">
        <v>548.65188000000001</v>
      </c>
      <c r="J67" s="64">
        <v>738.09036000000003</v>
      </c>
      <c r="K67" s="64">
        <v>610.91981999999996</v>
      </c>
      <c r="L67" s="64">
        <v>456.05322000000001</v>
      </c>
      <c r="M67" s="64">
        <v>220.15476000000001</v>
      </c>
      <c r="N67" s="64">
        <v>126.65646</v>
      </c>
      <c r="O67" s="64">
        <v>126.65646</v>
      </c>
      <c r="P67" s="64">
        <v>101.32517</v>
      </c>
      <c r="Q67" s="64">
        <v>103.61924999999999</v>
      </c>
      <c r="R67" s="64">
        <v>260.34939000000003</v>
      </c>
      <c r="S67" s="64">
        <v>376.69211999999999</v>
      </c>
      <c r="T67" s="64">
        <v>536.98869000000002</v>
      </c>
      <c r="U67" s="64">
        <v>822.97781999999995</v>
      </c>
      <c r="V67" s="64">
        <v>0</v>
      </c>
      <c r="W67" s="31">
        <f t="shared" si="1"/>
        <v>483825.14166666684</v>
      </c>
      <c r="AC67" t="s">
        <v>17</v>
      </c>
      <c r="AD67" s="74">
        <v>500</v>
      </c>
      <c r="AE67" s="75">
        <v>0.5</v>
      </c>
      <c r="AF67" s="5">
        <f t="shared" ref="AF67:AX67" si="12">AF35+AF49</f>
        <v>0</v>
      </c>
      <c r="AG67" s="35">
        <f t="shared" si="12"/>
        <v>0</v>
      </c>
      <c r="AH67" s="35">
        <f t="shared" si="12"/>
        <v>0</v>
      </c>
      <c r="AI67" s="35">
        <f t="shared" si="12"/>
        <v>0</v>
      </c>
      <c r="AJ67" s="35">
        <f t="shared" si="12"/>
        <v>92.405331999999987</v>
      </c>
      <c r="AK67" s="35">
        <f t="shared" si="12"/>
        <v>145.64832199999995</v>
      </c>
      <c r="AL67" s="35">
        <f t="shared" si="12"/>
        <v>126.16630199999994</v>
      </c>
      <c r="AM67" s="35">
        <f t="shared" si="12"/>
        <v>4.1943489999999315</v>
      </c>
      <c r="AN67" s="35">
        <f t="shared" si="12"/>
        <v>-8.0000000792779247E-6</v>
      </c>
      <c r="AO67" s="35">
        <f t="shared" si="12"/>
        <v>2.5058199999999218</v>
      </c>
      <c r="AP67" s="35">
        <f t="shared" si="12"/>
        <v>89.322464999999909</v>
      </c>
      <c r="AQ67" s="35">
        <f t="shared" si="12"/>
        <v>142.2993899999999</v>
      </c>
      <c r="AR67" s="35">
        <f t="shared" si="12"/>
        <v>229.68092599999989</v>
      </c>
      <c r="AS67" s="35">
        <f t="shared" si="12"/>
        <v>346.66742599999986</v>
      </c>
      <c r="AT67" s="35">
        <f t="shared" si="12"/>
        <v>498.52655199999987</v>
      </c>
      <c r="AU67" s="35">
        <f t="shared" si="12"/>
        <v>499.9999889999998</v>
      </c>
      <c r="AV67" s="35">
        <f t="shared" si="12"/>
        <v>481.19162299999977</v>
      </c>
      <c r="AW67" s="35">
        <f t="shared" si="12"/>
        <v>253.36606299999977</v>
      </c>
      <c r="AX67" s="35">
        <f t="shared" si="12"/>
        <v>-1.700000024129622E-5</v>
      </c>
      <c r="AY67" s="31">
        <f t="shared" si="4"/>
        <v>1455.9872669999991</v>
      </c>
      <c r="AZ67" s="18"/>
    </row>
    <row r="68" spans="1:52" x14ac:dyDescent="0.2">
      <c r="A68" t="s">
        <v>28</v>
      </c>
      <c r="B68" t="s">
        <v>8</v>
      </c>
      <c r="C68" t="s">
        <v>14</v>
      </c>
      <c r="D68" s="54">
        <v>100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31">
        <f t="shared" si="1"/>
        <v>0</v>
      </c>
      <c r="AC68" t="s">
        <v>18</v>
      </c>
      <c r="AD68" s="74">
        <v>2000</v>
      </c>
      <c r="AE68" s="75">
        <v>1</v>
      </c>
      <c r="AF68" s="5">
        <f t="shared" ref="AF68:AX68" si="13">AF36+AF50</f>
        <v>500</v>
      </c>
      <c r="AG68" s="35">
        <f t="shared" si="13"/>
        <v>720.82500000000005</v>
      </c>
      <c r="AH68" s="35">
        <f t="shared" si="13"/>
        <v>907.88513999999998</v>
      </c>
      <c r="AI68" s="35">
        <f t="shared" si="13"/>
        <v>1127.8851399999999</v>
      </c>
      <c r="AJ68" s="35">
        <f t="shared" si="13"/>
        <v>1088.0481</v>
      </c>
      <c r="AK68" s="35">
        <f t="shared" si="13"/>
        <v>501.83342999999991</v>
      </c>
      <c r="AL68" s="35">
        <f t="shared" si="13"/>
        <v>293.72250999999994</v>
      </c>
      <c r="AM68" s="35">
        <f t="shared" si="13"/>
        <v>1.3999999964653398E-5</v>
      </c>
      <c r="AN68" s="35">
        <f t="shared" si="13"/>
        <v>1.3999999964653398E-5</v>
      </c>
      <c r="AO68" s="35">
        <f t="shared" si="13"/>
        <v>1.3999999964653398E-5</v>
      </c>
      <c r="AP68" s="35">
        <f t="shared" si="13"/>
        <v>1.3999999964653398E-5</v>
      </c>
      <c r="AQ68" s="35">
        <f t="shared" si="13"/>
        <v>1.3999999964653398E-5</v>
      </c>
      <c r="AR68" s="35">
        <f t="shared" si="13"/>
        <v>20.292365999999966</v>
      </c>
      <c r="AS68" s="35">
        <f t="shared" si="13"/>
        <v>464.89161599999989</v>
      </c>
      <c r="AT68" s="35">
        <f t="shared" si="13"/>
        <v>1123.868066</v>
      </c>
      <c r="AU68" s="35">
        <f t="shared" si="13"/>
        <v>1253.7459959999999</v>
      </c>
      <c r="AV68" s="35">
        <f t="shared" si="13"/>
        <v>1130.8340659999999</v>
      </c>
      <c r="AW68" s="35">
        <f t="shared" si="13"/>
        <v>274.14216599999992</v>
      </c>
      <c r="AX68" s="35">
        <f t="shared" si="13"/>
        <v>1.5999999973814738E-5</v>
      </c>
      <c r="AY68" s="31">
        <f t="shared" si="4"/>
        <v>8907.9736819999998</v>
      </c>
      <c r="AZ68" s="18"/>
    </row>
    <row r="69" spans="1:52" x14ac:dyDescent="0.2">
      <c r="A69" t="s">
        <v>28</v>
      </c>
      <c r="B69" t="s">
        <v>8</v>
      </c>
      <c r="C69" t="s">
        <v>11</v>
      </c>
      <c r="D69" s="54">
        <v>133.33333333333334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31">
        <f t="shared" si="1"/>
        <v>0</v>
      </c>
      <c r="AC69" t="s">
        <v>22</v>
      </c>
      <c r="AD69" s="74">
        <v>2500</v>
      </c>
      <c r="AE69" s="75">
        <v>4.5</v>
      </c>
      <c r="AF69" s="5">
        <f t="shared" ref="AF69:AX69" si="14">AF37+AF51</f>
        <v>75</v>
      </c>
      <c r="AG69" s="35">
        <f t="shared" si="14"/>
        <v>0</v>
      </c>
      <c r="AH69" s="35">
        <f t="shared" si="14"/>
        <v>5.0000000015870683E-6</v>
      </c>
      <c r="AI69" s="35">
        <f t="shared" si="14"/>
        <v>-1.4999999862652658E-5</v>
      </c>
      <c r="AJ69" s="35">
        <f t="shared" si="14"/>
        <v>-1.5000000274767444E-5</v>
      </c>
      <c r="AK69" s="35">
        <f t="shared" si="14"/>
        <v>-4.5000000170603016E-5</v>
      </c>
      <c r="AL69" s="35">
        <f t="shared" si="14"/>
        <v>-9.500000012963028E-5</v>
      </c>
      <c r="AM69" s="35">
        <f t="shared" si="14"/>
        <v>74.966464999999971</v>
      </c>
      <c r="AN69" s="35">
        <f t="shared" si="14"/>
        <v>10.974844999999945</v>
      </c>
      <c r="AO69" s="35">
        <f t="shared" si="14"/>
        <v>-9.1000000040253326E-5</v>
      </c>
      <c r="AP69" s="35">
        <f t="shared" si="14"/>
        <v>-9.1000000089991318E-5</v>
      </c>
      <c r="AQ69" s="35">
        <f t="shared" si="14"/>
        <v>-9.1000000089991318E-5</v>
      </c>
      <c r="AR69" s="35">
        <f t="shared" si="14"/>
        <v>-9.5000000086997716E-5</v>
      </c>
      <c r="AS69" s="35">
        <f t="shared" si="14"/>
        <v>-9.500000010120857E-5</v>
      </c>
      <c r="AT69" s="35">
        <f t="shared" si="14"/>
        <v>-9.500000010120857E-5</v>
      </c>
      <c r="AU69" s="35">
        <f t="shared" si="14"/>
        <v>-9.5000000115419425E-5</v>
      </c>
      <c r="AV69" s="35">
        <f t="shared" si="14"/>
        <v>35.600264999999908</v>
      </c>
      <c r="AW69" s="35">
        <f t="shared" si="14"/>
        <v>-1.5000000246345735E-5</v>
      </c>
      <c r="AX69" s="35">
        <f t="shared" si="14"/>
        <v>-1.8000000579831976E-5</v>
      </c>
      <c r="AY69" s="31">
        <f t="shared" si="4"/>
        <v>546.93325799999081</v>
      </c>
      <c r="AZ69" s="18"/>
    </row>
    <row r="70" spans="1:52" x14ac:dyDescent="0.2">
      <c r="A70" t="s">
        <v>28</v>
      </c>
      <c r="B70" t="s">
        <v>8</v>
      </c>
      <c r="C70" t="s">
        <v>15</v>
      </c>
      <c r="D70" s="54">
        <v>101.66666666666666</v>
      </c>
      <c r="E70" s="64">
        <v>0</v>
      </c>
      <c r="F70" s="64">
        <v>771.83675000000005</v>
      </c>
      <c r="G70" s="64">
        <v>1145.0219</v>
      </c>
      <c r="H70" s="64">
        <v>23.584906</v>
      </c>
      <c r="I70" s="64">
        <v>814.87453000000005</v>
      </c>
      <c r="J70" s="64">
        <v>1594.9331999999999</v>
      </c>
      <c r="K70" s="64">
        <v>1733.5835999999999</v>
      </c>
      <c r="L70" s="64">
        <v>1316.4228000000001</v>
      </c>
      <c r="M70" s="64">
        <v>608.27760000000001</v>
      </c>
      <c r="N70" s="64">
        <v>310.26240000000001</v>
      </c>
      <c r="O70" s="64">
        <v>310.26240000000001</v>
      </c>
      <c r="P70" s="64">
        <v>248.20992000000001</v>
      </c>
      <c r="Q70" s="64">
        <v>303.34500000000003</v>
      </c>
      <c r="R70" s="64">
        <v>0</v>
      </c>
      <c r="S70" s="64">
        <v>0</v>
      </c>
      <c r="T70" s="64">
        <v>1000</v>
      </c>
      <c r="U70" s="64">
        <v>1176.713</v>
      </c>
      <c r="V70" s="64">
        <v>1898.4612</v>
      </c>
      <c r="W70" s="31">
        <f t="shared" si="1"/>
        <v>1347671.9026099998</v>
      </c>
      <c r="AC70" t="s">
        <v>13</v>
      </c>
      <c r="AD70" s="74">
        <v>1000</v>
      </c>
      <c r="AE70" s="75">
        <v>1</v>
      </c>
      <c r="AF70" s="5">
        <f t="shared" ref="AF70:AX70" si="15">AF38+AF52</f>
        <v>800</v>
      </c>
      <c r="AG70" s="35">
        <f t="shared" si="15"/>
        <v>794.33</v>
      </c>
      <c r="AH70" s="35">
        <f t="shared" si="15"/>
        <v>1000.0000000000001</v>
      </c>
      <c r="AI70" s="35">
        <f t="shared" si="15"/>
        <v>1000</v>
      </c>
      <c r="AJ70" s="35">
        <f t="shared" si="15"/>
        <v>1000.0000000000001</v>
      </c>
      <c r="AK70" s="35">
        <f t="shared" si="15"/>
        <v>471.36104000000012</v>
      </c>
      <c r="AL70" s="35">
        <f t="shared" si="15"/>
        <v>232.81854000000007</v>
      </c>
      <c r="AM70" s="35">
        <f t="shared" si="15"/>
        <v>29.605740000000083</v>
      </c>
      <c r="AN70" s="35">
        <f t="shared" si="15"/>
        <v>-9.9999998610655894E-6</v>
      </c>
      <c r="AO70" s="35">
        <f t="shared" si="15"/>
        <v>-1.0199999856297381E-5</v>
      </c>
      <c r="AP70" s="35">
        <f t="shared" si="15"/>
        <v>-9.9999998610655894E-6</v>
      </c>
      <c r="AQ70" s="35">
        <f t="shared" si="15"/>
        <v>-9.9999998610655894E-6</v>
      </c>
      <c r="AR70" s="35">
        <f t="shared" si="15"/>
        <v>-7.9999998376933945E-6</v>
      </c>
      <c r="AS70" s="35">
        <f t="shared" si="15"/>
        <v>-7.9999998376933945E-6</v>
      </c>
      <c r="AT70" s="35">
        <f t="shared" si="15"/>
        <v>999.99998900000014</v>
      </c>
      <c r="AU70" s="35">
        <f t="shared" si="15"/>
        <v>999.99999200000025</v>
      </c>
      <c r="AV70" s="35">
        <f t="shared" si="15"/>
        <v>999.99999200000025</v>
      </c>
      <c r="AW70" s="35">
        <f t="shared" si="15"/>
        <v>-1.7999999727180693E-5</v>
      </c>
      <c r="AX70" s="35">
        <f t="shared" si="15"/>
        <v>-4.7999999651437975E-5</v>
      </c>
      <c r="AY70" s="31">
        <f t="shared" si="4"/>
        <v>7528.1151708000016</v>
      </c>
      <c r="AZ70" s="18"/>
    </row>
    <row r="71" spans="1:52" x14ac:dyDescent="0.2">
      <c r="A71" t="s">
        <v>28</v>
      </c>
      <c r="B71" t="s">
        <v>8</v>
      </c>
      <c r="C71" t="s">
        <v>19</v>
      </c>
      <c r="D71" s="54">
        <v>133.33333333333334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31">
        <f t="shared" si="1"/>
        <v>0</v>
      </c>
      <c r="AC71" t="s">
        <v>20</v>
      </c>
      <c r="AD71" s="74">
        <v>7000</v>
      </c>
      <c r="AE71" s="75">
        <v>1</v>
      </c>
      <c r="AF71" s="5">
        <f t="shared" ref="AF71:AX71" si="16">AF39+AF53</f>
        <v>3000</v>
      </c>
      <c r="AG71" s="35">
        <f t="shared" si="16"/>
        <v>5567.1570000000002</v>
      </c>
      <c r="AH71" s="35">
        <f t="shared" si="16"/>
        <v>7000.0000399999999</v>
      </c>
      <c r="AI71" s="35">
        <f t="shared" si="16"/>
        <v>6999.9999950000001</v>
      </c>
      <c r="AJ71" s="35">
        <f t="shared" si="16"/>
        <v>6326.5065050000003</v>
      </c>
      <c r="AK71" s="35">
        <f t="shared" si="16"/>
        <v>4771.4236890000002</v>
      </c>
      <c r="AL71" s="35">
        <f t="shared" si="16"/>
        <v>2840.4688939999996</v>
      </c>
      <c r="AM71" s="35">
        <f t="shared" si="16"/>
        <v>1088.1766989999996</v>
      </c>
      <c r="AN71" s="35">
        <f t="shared" si="16"/>
        <v>88.231433999999766</v>
      </c>
      <c r="AO71" s="35">
        <f t="shared" si="16"/>
        <v>-6.1000000293631729E-5</v>
      </c>
      <c r="AP71" s="35">
        <f t="shared" si="16"/>
        <v>-6.600000022061181E-5</v>
      </c>
      <c r="AQ71" s="35">
        <f t="shared" si="16"/>
        <v>-6.1000000204813887E-5</v>
      </c>
      <c r="AR71" s="35">
        <f t="shared" si="16"/>
        <v>56.496596999999795</v>
      </c>
      <c r="AS71" s="35">
        <f t="shared" si="16"/>
        <v>637.69822699999986</v>
      </c>
      <c r="AT71" s="35">
        <f t="shared" si="16"/>
        <v>1931.3988269999998</v>
      </c>
      <c r="AU71" s="35">
        <f t="shared" si="16"/>
        <v>4362.1143099999999</v>
      </c>
      <c r="AV71" s="35">
        <f t="shared" si="16"/>
        <v>3944.9529250000001</v>
      </c>
      <c r="AW71" s="35">
        <f t="shared" si="16"/>
        <v>1971.8322799999999</v>
      </c>
      <c r="AX71" s="35">
        <f t="shared" si="16"/>
        <v>2.2000000015509613E-5</v>
      </c>
      <c r="AY71" s="31">
        <f t="shared" si="4"/>
        <v>47586.457256000002</v>
      </c>
      <c r="AZ71" s="18"/>
    </row>
    <row r="72" spans="1:52" x14ac:dyDescent="0.2">
      <c r="A72" t="s">
        <v>28</v>
      </c>
      <c r="B72" t="s">
        <v>8</v>
      </c>
      <c r="C72" t="s">
        <v>18</v>
      </c>
      <c r="D72" s="54">
        <v>115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31">
        <f t="shared" si="1"/>
        <v>0</v>
      </c>
      <c r="AZ72" s="18"/>
    </row>
    <row r="73" spans="1:52" x14ac:dyDescent="0.2">
      <c r="A73" t="s">
        <v>28</v>
      </c>
      <c r="B73" t="s">
        <v>8</v>
      </c>
      <c r="C73" t="s">
        <v>22</v>
      </c>
      <c r="D73" s="54">
        <v>68.333333333333329</v>
      </c>
      <c r="E73" s="64">
        <v>70.53</v>
      </c>
      <c r="F73" s="64">
        <v>381.87213000000003</v>
      </c>
      <c r="G73" s="64">
        <v>1122.5576000000001</v>
      </c>
      <c r="H73" s="64">
        <v>2079.1574999999998</v>
      </c>
      <c r="I73" s="64">
        <v>2133.8528999999999</v>
      </c>
      <c r="J73" s="64">
        <v>1666.9764</v>
      </c>
      <c r="K73" s="64">
        <v>1030.8985</v>
      </c>
      <c r="L73" s="64">
        <v>1348.7942</v>
      </c>
      <c r="M73" s="64">
        <v>577.11496999999997</v>
      </c>
      <c r="N73" s="64">
        <v>659.23105999999996</v>
      </c>
      <c r="O73" s="64">
        <v>394.33337999999998</v>
      </c>
      <c r="P73" s="64">
        <v>315.4667</v>
      </c>
      <c r="Q73" s="64">
        <v>218.29499999999999</v>
      </c>
      <c r="R73" s="64">
        <v>115.28953</v>
      </c>
      <c r="S73" s="64">
        <v>382.71827999999999</v>
      </c>
      <c r="T73" s="64">
        <v>1637.431</v>
      </c>
      <c r="U73" s="64">
        <v>2000.3091999999999</v>
      </c>
      <c r="V73" s="64">
        <v>2101.5387999999998</v>
      </c>
      <c r="W73" s="31">
        <f t="shared" si="1"/>
        <v>1246151.7552499997</v>
      </c>
      <c r="AZ73" s="18"/>
    </row>
    <row r="74" spans="1:52" x14ac:dyDescent="0.2">
      <c r="A74" t="s">
        <v>28</v>
      </c>
      <c r="B74" t="s">
        <v>8</v>
      </c>
      <c r="C74" t="s">
        <v>13</v>
      </c>
      <c r="D74" s="54">
        <v>86.666666666666657</v>
      </c>
      <c r="E74" s="64">
        <v>32.130000000000003</v>
      </c>
      <c r="F74" s="64">
        <v>553.35440000000006</v>
      </c>
      <c r="G74" s="64">
        <v>375.64810999999997</v>
      </c>
      <c r="H74" s="64">
        <v>633.24350000000004</v>
      </c>
      <c r="I74" s="64">
        <v>502.62063999999998</v>
      </c>
      <c r="J74" s="64">
        <v>0</v>
      </c>
      <c r="K74" s="64">
        <v>624.59807000000001</v>
      </c>
      <c r="L74" s="64">
        <v>421.29093</v>
      </c>
      <c r="M74" s="64">
        <v>0</v>
      </c>
      <c r="N74" s="64">
        <v>0</v>
      </c>
      <c r="O74" s="64">
        <v>0</v>
      </c>
      <c r="P74" s="64">
        <v>141.33563000000001</v>
      </c>
      <c r="Q74" s="64">
        <v>48.195</v>
      </c>
      <c r="R74" s="64">
        <v>1427.3124</v>
      </c>
      <c r="S74" s="64">
        <v>669.31663000000003</v>
      </c>
      <c r="T74" s="64">
        <v>825.58034999999995</v>
      </c>
      <c r="U74" s="64">
        <v>0</v>
      </c>
      <c r="V74" s="64">
        <v>0</v>
      </c>
      <c r="W74" s="31">
        <f t="shared" si="1"/>
        <v>542067.55720000004</v>
      </c>
      <c r="AZ74" s="18"/>
    </row>
    <row r="75" spans="1:52" x14ac:dyDescent="0.2">
      <c r="A75" t="s">
        <v>28</v>
      </c>
      <c r="B75" t="s">
        <v>8</v>
      </c>
      <c r="C75" t="s">
        <v>20</v>
      </c>
      <c r="D75" s="54">
        <v>78.333333333333329</v>
      </c>
      <c r="E75" s="64">
        <v>2897.34</v>
      </c>
      <c r="F75" s="64">
        <v>2125.2910000000002</v>
      </c>
      <c r="G75" s="64">
        <v>1105.6442</v>
      </c>
      <c r="H75" s="64">
        <v>906.02162999999996</v>
      </c>
      <c r="I75" s="64">
        <v>0</v>
      </c>
      <c r="J75" s="64">
        <v>0</v>
      </c>
      <c r="K75" s="64">
        <v>0</v>
      </c>
      <c r="L75" s="64">
        <v>457.43885</v>
      </c>
      <c r="M75" s="64">
        <v>594.45267000000001</v>
      </c>
      <c r="N75" s="64">
        <v>481.65091000000001</v>
      </c>
      <c r="O75" s="64">
        <v>481.65091000000001</v>
      </c>
      <c r="P75" s="64">
        <v>385.32073000000003</v>
      </c>
      <c r="Q75" s="64">
        <v>644.18362999999999</v>
      </c>
      <c r="R75" s="64">
        <v>1603.9675999999999</v>
      </c>
      <c r="S75" s="64">
        <v>2571.2730000000001</v>
      </c>
      <c r="T75" s="64">
        <v>0</v>
      </c>
      <c r="U75" s="64">
        <v>0</v>
      </c>
      <c r="V75" s="64">
        <v>0</v>
      </c>
      <c r="W75" s="31">
        <f t="shared" si="1"/>
        <v>1116581.7518499997</v>
      </c>
      <c r="AZ75" s="6"/>
    </row>
    <row r="76" spans="1:52" x14ac:dyDescent="0.2">
      <c r="AZ76" s="18"/>
    </row>
    <row r="77" spans="1:52" x14ac:dyDescent="0.2">
      <c r="AZ77" s="18"/>
    </row>
    <row r="79" spans="1:52" x14ac:dyDescent="0.2">
      <c r="A79" s="70" t="s">
        <v>102</v>
      </c>
      <c r="B79" s="3"/>
      <c r="C79" s="3"/>
      <c r="D79" s="3"/>
      <c r="E79" s="3"/>
      <c r="F79" s="3"/>
    </row>
    <row r="80" spans="1:52" x14ac:dyDescent="0.2">
      <c r="B80" t="s">
        <v>0</v>
      </c>
      <c r="C80" t="s">
        <v>9</v>
      </c>
      <c r="D80" s="29" t="s">
        <v>75</v>
      </c>
      <c r="E80" s="68" t="s">
        <v>83</v>
      </c>
      <c r="F80" s="68" t="s">
        <v>84</v>
      </c>
      <c r="G80" s="68" t="s">
        <v>85</v>
      </c>
      <c r="H80" s="68" t="s">
        <v>86</v>
      </c>
      <c r="I80" s="68" t="s">
        <v>87</v>
      </c>
      <c r="J80" s="68" t="s">
        <v>88</v>
      </c>
      <c r="K80" s="68" t="s">
        <v>89</v>
      </c>
      <c r="L80" s="68" t="s">
        <v>90</v>
      </c>
      <c r="M80" s="68" t="s">
        <v>91</v>
      </c>
      <c r="N80" s="68" t="s">
        <v>92</v>
      </c>
      <c r="O80" s="68" t="s">
        <v>94</v>
      </c>
      <c r="P80" s="68" t="s">
        <v>95</v>
      </c>
      <c r="Q80" s="68" t="s">
        <v>93</v>
      </c>
      <c r="R80" s="68" t="s">
        <v>96</v>
      </c>
      <c r="S80" s="68" t="s">
        <v>97</v>
      </c>
      <c r="T80" s="68" t="s">
        <v>98</v>
      </c>
      <c r="U80" s="68" t="s">
        <v>99</v>
      </c>
      <c r="V80" s="68" t="s">
        <v>100</v>
      </c>
      <c r="W80" t="s">
        <v>70</v>
      </c>
    </row>
    <row r="81" spans="2:50" x14ac:dyDescent="0.2">
      <c r="B81" t="s">
        <v>1</v>
      </c>
      <c r="C81" t="s">
        <v>10</v>
      </c>
      <c r="D81" s="55">
        <v>58.666666666666664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51">
        <f>D81*SUM(E81:V81)</f>
        <v>0</v>
      </c>
      <c r="AB81" t="s">
        <v>105</v>
      </c>
    </row>
    <row r="82" spans="2:50" x14ac:dyDescent="0.2">
      <c r="B82" t="s">
        <v>1</v>
      </c>
      <c r="C82" t="s">
        <v>11</v>
      </c>
      <c r="D82" s="55">
        <v>42.000000000000007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100</v>
      </c>
      <c r="W82" s="51">
        <f t="shared" ref="W82:W130" si="17">D82*SUM(E82:V82)</f>
        <v>4200.0000000000009</v>
      </c>
      <c r="AC82" t="s">
        <v>0</v>
      </c>
      <c r="AD82" s="48"/>
      <c r="AG82" s="68" t="s">
        <v>83</v>
      </c>
      <c r="AH82" s="68" t="s">
        <v>84</v>
      </c>
      <c r="AI82" s="68" t="s">
        <v>85</v>
      </c>
      <c r="AJ82" s="68" t="s">
        <v>86</v>
      </c>
      <c r="AK82" s="68" t="s">
        <v>87</v>
      </c>
      <c r="AL82" s="68" t="s">
        <v>88</v>
      </c>
      <c r="AM82" s="68" t="s">
        <v>89</v>
      </c>
      <c r="AN82" s="68" t="s">
        <v>90</v>
      </c>
      <c r="AO82" s="68" t="s">
        <v>91</v>
      </c>
      <c r="AP82" s="68" t="s">
        <v>92</v>
      </c>
      <c r="AQ82" s="68" t="s">
        <v>94</v>
      </c>
      <c r="AR82" s="68" t="s">
        <v>95</v>
      </c>
      <c r="AS82" s="68" t="s">
        <v>93</v>
      </c>
      <c r="AT82" s="68" t="s">
        <v>96</v>
      </c>
      <c r="AU82" s="68" t="s">
        <v>97</v>
      </c>
      <c r="AV82" s="68" t="s">
        <v>98</v>
      </c>
      <c r="AW82" s="68" t="s">
        <v>99</v>
      </c>
      <c r="AX82" s="68" t="s">
        <v>100</v>
      </c>
    </row>
    <row r="83" spans="2:50" x14ac:dyDescent="0.2">
      <c r="B83" t="s">
        <v>1</v>
      </c>
      <c r="C83" t="s">
        <v>12</v>
      </c>
      <c r="D83" s="55">
        <v>42.000000000000007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51">
        <f t="shared" si="17"/>
        <v>0</v>
      </c>
      <c r="AC83" t="s">
        <v>1</v>
      </c>
      <c r="AD83" s="3"/>
      <c r="AG83" s="49">
        <f>$AD13</f>
        <v>100</v>
      </c>
      <c r="AH83" s="49">
        <f t="shared" ref="AH83:AX90" si="18">$AD13</f>
        <v>100</v>
      </c>
      <c r="AI83" s="49">
        <f t="shared" si="18"/>
        <v>100</v>
      </c>
      <c r="AJ83" s="49">
        <f t="shared" si="18"/>
        <v>100</v>
      </c>
      <c r="AK83" s="49">
        <f t="shared" si="18"/>
        <v>100</v>
      </c>
      <c r="AL83" s="49">
        <f t="shared" si="18"/>
        <v>100</v>
      </c>
      <c r="AM83" s="49">
        <f t="shared" si="18"/>
        <v>100</v>
      </c>
      <c r="AN83" s="49">
        <f t="shared" si="18"/>
        <v>100</v>
      </c>
      <c r="AO83" s="49">
        <f t="shared" si="18"/>
        <v>100</v>
      </c>
      <c r="AP83" s="49">
        <f t="shared" si="18"/>
        <v>100</v>
      </c>
      <c r="AQ83" s="49">
        <f t="shared" si="18"/>
        <v>100</v>
      </c>
      <c r="AR83" s="49">
        <f t="shared" si="18"/>
        <v>100</v>
      </c>
      <c r="AS83" s="49">
        <f t="shared" si="18"/>
        <v>100</v>
      </c>
      <c r="AT83" s="49">
        <f t="shared" si="18"/>
        <v>100</v>
      </c>
      <c r="AU83" s="49">
        <f t="shared" si="18"/>
        <v>100</v>
      </c>
      <c r="AV83" s="49">
        <f t="shared" si="18"/>
        <v>100</v>
      </c>
      <c r="AW83" s="49">
        <f t="shared" si="18"/>
        <v>100</v>
      </c>
      <c r="AX83" s="49">
        <f t="shared" si="18"/>
        <v>100</v>
      </c>
    </row>
    <row r="84" spans="2:50" x14ac:dyDescent="0.2">
      <c r="B84" t="s">
        <v>1</v>
      </c>
      <c r="C84" t="s">
        <v>13</v>
      </c>
      <c r="D84" s="55">
        <v>50.333333333333336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100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51">
        <f t="shared" si="17"/>
        <v>5033.3333333333339</v>
      </c>
      <c r="AC84" t="s">
        <v>2</v>
      </c>
      <c r="AD84" s="3"/>
      <c r="AG84" s="49">
        <f t="shared" ref="AG84:AV90" si="19">$AD14</f>
        <v>200</v>
      </c>
      <c r="AH84" s="49">
        <f t="shared" si="19"/>
        <v>200</v>
      </c>
      <c r="AI84" s="49">
        <f t="shared" si="19"/>
        <v>200</v>
      </c>
      <c r="AJ84" s="49">
        <f t="shared" si="19"/>
        <v>200</v>
      </c>
      <c r="AK84" s="49">
        <f t="shared" si="19"/>
        <v>200</v>
      </c>
      <c r="AL84" s="49">
        <f t="shared" si="19"/>
        <v>200</v>
      </c>
      <c r="AM84" s="49">
        <f t="shared" si="19"/>
        <v>200</v>
      </c>
      <c r="AN84" s="49">
        <f t="shared" si="19"/>
        <v>200</v>
      </c>
      <c r="AO84" s="49">
        <f t="shared" si="19"/>
        <v>200</v>
      </c>
      <c r="AP84" s="49">
        <f t="shared" si="19"/>
        <v>200</v>
      </c>
      <c r="AQ84" s="49">
        <f t="shared" si="19"/>
        <v>200</v>
      </c>
      <c r="AR84" s="49">
        <f t="shared" si="19"/>
        <v>200</v>
      </c>
      <c r="AS84" s="49">
        <f t="shared" si="19"/>
        <v>200</v>
      </c>
      <c r="AT84" s="49">
        <f t="shared" si="19"/>
        <v>200</v>
      </c>
      <c r="AU84" s="49">
        <f t="shared" si="19"/>
        <v>200</v>
      </c>
      <c r="AV84" s="49">
        <f t="shared" si="19"/>
        <v>200</v>
      </c>
      <c r="AW84" s="49">
        <f t="shared" si="18"/>
        <v>200</v>
      </c>
      <c r="AX84" s="49">
        <f t="shared" si="18"/>
        <v>200</v>
      </c>
    </row>
    <row r="85" spans="2:50" x14ac:dyDescent="0.2">
      <c r="B85" t="s">
        <v>2</v>
      </c>
      <c r="C85" t="s">
        <v>14</v>
      </c>
      <c r="D85" s="55">
        <v>41.833333333333336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51">
        <f t="shared" si="17"/>
        <v>0</v>
      </c>
      <c r="AC85" t="s">
        <v>3</v>
      </c>
      <c r="AD85" s="3"/>
      <c r="AG85" s="49">
        <f t="shared" si="19"/>
        <v>500</v>
      </c>
      <c r="AH85" s="49">
        <f t="shared" si="18"/>
        <v>500</v>
      </c>
      <c r="AI85" s="49">
        <f t="shared" si="18"/>
        <v>500</v>
      </c>
      <c r="AJ85" s="49">
        <f t="shared" si="18"/>
        <v>500</v>
      </c>
      <c r="AK85" s="49">
        <f t="shared" si="18"/>
        <v>500</v>
      </c>
      <c r="AL85" s="49">
        <f t="shared" si="18"/>
        <v>500</v>
      </c>
      <c r="AM85" s="49">
        <f t="shared" si="18"/>
        <v>500</v>
      </c>
      <c r="AN85" s="49">
        <f t="shared" si="18"/>
        <v>500</v>
      </c>
      <c r="AO85" s="49">
        <f t="shared" si="18"/>
        <v>500</v>
      </c>
      <c r="AP85" s="49">
        <f t="shared" si="18"/>
        <v>500</v>
      </c>
      <c r="AQ85" s="49">
        <f t="shared" si="18"/>
        <v>500</v>
      </c>
      <c r="AR85" s="49">
        <f t="shared" si="18"/>
        <v>500</v>
      </c>
      <c r="AS85" s="49">
        <f t="shared" si="18"/>
        <v>500</v>
      </c>
      <c r="AT85" s="49">
        <f t="shared" si="18"/>
        <v>500</v>
      </c>
      <c r="AU85" s="49">
        <f t="shared" si="18"/>
        <v>500</v>
      </c>
      <c r="AV85" s="49">
        <f t="shared" si="18"/>
        <v>500</v>
      </c>
      <c r="AW85" s="49">
        <f t="shared" si="18"/>
        <v>500</v>
      </c>
      <c r="AX85" s="49">
        <f t="shared" si="18"/>
        <v>500</v>
      </c>
    </row>
    <row r="86" spans="2:50" x14ac:dyDescent="0.2">
      <c r="B86" t="s">
        <v>2</v>
      </c>
      <c r="C86" t="s">
        <v>15</v>
      </c>
      <c r="D86" s="55">
        <v>58.499999999999993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51">
        <f t="shared" si="17"/>
        <v>0</v>
      </c>
      <c r="AC86" t="s">
        <v>4</v>
      </c>
      <c r="AD86" s="3"/>
      <c r="AG86" s="49">
        <f t="shared" si="19"/>
        <v>100</v>
      </c>
      <c r="AH86" s="49">
        <f t="shared" si="18"/>
        <v>100</v>
      </c>
      <c r="AI86" s="49">
        <f t="shared" si="18"/>
        <v>100</v>
      </c>
      <c r="AJ86" s="49">
        <f t="shared" si="18"/>
        <v>100</v>
      </c>
      <c r="AK86" s="49">
        <f t="shared" si="18"/>
        <v>100</v>
      </c>
      <c r="AL86" s="49">
        <f t="shared" si="18"/>
        <v>100</v>
      </c>
      <c r="AM86" s="49">
        <f t="shared" si="18"/>
        <v>100</v>
      </c>
      <c r="AN86" s="49">
        <f t="shared" si="18"/>
        <v>100</v>
      </c>
      <c r="AO86" s="49">
        <f t="shared" si="18"/>
        <v>100</v>
      </c>
      <c r="AP86" s="49">
        <f t="shared" si="18"/>
        <v>100</v>
      </c>
      <c r="AQ86" s="49">
        <f t="shared" si="18"/>
        <v>100</v>
      </c>
      <c r="AR86" s="49">
        <f t="shared" si="18"/>
        <v>100</v>
      </c>
      <c r="AS86" s="49">
        <f t="shared" si="18"/>
        <v>100</v>
      </c>
      <c r="AT86" s="49">
        <f t="shared" si="18"/>
        <v>100</v>
      </c>
      <c r="AU86" s="49">
        <f t="shared" si="18"/>
        <v>100</v>
      </c>
      <c r="AV86" s="49">
        <f t="shared" si="18"/>
        <v>100</v>
      </c>
      <c r="AW86" s="49">
        <f t="shared" si="18"/>
        <v>100</v>
      </c>
      <c r="AX86" s="49">
        <f t="shared" si="18"/>
        <v>100</v>
      </c>
    </row>
    <row r="87" spans="2:50" x14ac:dyDescent="0.2">
      <c r="B87" t="s">
        <v>2</v>
      </c>
      <c r="C87" t="s">
        <v>16</v>
      </c>
      <c r="D87" s="55">
        <v>50.166666666666664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200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200</v>
      </c>
      <c r="W87" s="51">
        <f t="shared" si="17"/>
        <v>20066.666666666664</v>
      </c>
      <c r="AC87" t="s">
        <v>5</v>
      </c>
      <c r="AD87" s="3"/>
      <c r="AG87" s="49">
        <f t="shared" si="19"/>
        <v>100</v>
      </c>
      <c r="AH87" s="49">
        <f t="shared" si="18"/>
        <v>100</v>
      </c>
      <c r="AI87" s="49">
        <f t="shared" si="18"/>
        <v>100</v>
      </c>
      <c r="AJ87" s="49">
        <f t="shared" si="18"/>
        <v>100</v>
      </c>
      <c r="AK87" s="49">
        <f t="shared" si="18"/>
        <v>100</v>
      </c>
      <c r="AL87" s="49">
        <f t="shared" si="18"/>
        <v>100</v>
      </c>
      <c r="AM87" s="49">
        <f t="shared" si="18"/>
        <v>100</v>
      </c>
      <c r="AN87" s="49">
        <f t="shared" si="18"/>
        <v>100</v>
      </c>
      <c r="AO87" s="49">
        <f t="shared" si="18"/>
        <v>100</v>
      </c>
      <c r="AP87" s="49">
        <f t="shared" si="18"/>
        <v>100</v>
      </c>
      <c r="AQ87" s="49">
        <f t="shared" si="18"/>
        <v>100</v>
      </c>
      <c r="AR87" s="49">
        <f t="shared" si="18"/>
        <v>100</v>
      </c>
      <c r="AS87" s="49">
        <f t="shared" si="18"/>
        <v>100</v>
      </c>
      <c r="AT87" s="49">
        <f t="shared" si="18"/>
        <v>100</v>
      </c>
      <c r="AU87" s="49">
        <f t="shared" si="18"/>
        <v>100</v>
      </c>
      <c r="AV87" s="49">
        <f t="shared" si="18"/>
        <v>100</v>
      </c>
      <c r="AW87" s="49">
        <f t="shared" si="18"/>
        <v>100</v>
      </c>
      <c r="AX87" s="49">
        <f t="shared" si="18"/>
        <v>100</v>
      </c>
    </row>
    <row r="88" spans="2:50" x14ac:dyDescent="0.2">
      <c r="B88" t="s">
        <v>2</v>
      </c>
      <c r="C88" t="s">
        <v>17</v>
      </c>
      <c r="D88" s="55">
        <v>66.833333333333343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51">
        <f t="shared" si="17"/>
        <v>0</v>
      </c>
      <c r="AC88" t="s">
        <v>6</v>
      </c>
      <c r="AD88" s="3"/>
      <c r="AG88" s="49">
        <f t="shared" si="19"/>
        <v>1000</v>
      </c>
      <c r="AH88" s="49">
        <f t="shared" si="18"/>
        <v>1000</v>
      </c>
      <c r="AI88" s="49">
        <f t="shared" si="18"/>
        <v>1000</v>
      </c>
      <c r="AJ88" s="49">
        <f t="shared" si="18"/>
        <v>1000</v>
      </c>
      <c r="AK88" s="49">
        <f t="shared" si="18"/>
        <v>1000</v>
      </c>
      <c r="AL88" s="49">
        <f t="shared" si="18"/>
        <v>1000</v>
      </c>
      <c r="AM88" s="49">
        <f t="shared" si="18"/>
        <v>1000</v>
      </c>
      <c r="AN88" s="49">
        <f t="shared" si="18"/>
        <v>1000</v>
      </c>
      <c r="AO88" s="49">
        <f t="shared" si="18"/>
        <v>1000</v>
      </c>
      <c r="AP88" s="49">
        <f t="shared" si="18"/>
        <v>1000</v>
      </c>
      <c r="AQ88" s="49">
        <f t="shared" si="18"/>
        <v>1000</v>
      </c>
      <c r="AR88" s="49">
        <f t="shared" si="18"/>
        <v>1000</v>
      </c>
      <c r="AS88" s="49">
        <f t="shared" si="18"/>
        <v>1000</v>
      </c>
      <c r="AT88" s="49">
        <f t="shared" si="18"/>
        <v>1000</v>
      </c>
      <c r="AU88" s="49">
        <f t="shared" si="18"/>
        <v>1000</v>
      </c>
      <c r="AV88" s="49">
        <f t="shared" si="18"/>
        <v>1000</v>
      </c>
      <c r="AW88" s="49">
        <f t="shared" si="18"/>
        <v>1000</v>
      </c>
      <c r="AX88" s="49">
        <f t="shared" si="18"/>
        <v>1000</v>
      </c>
    </row>
    <row r="89" spans="2:50" x14ac:dyDescent="0.2">
      <c r="B89" t="s">
        <v>2</v>
      </c>
      <c r="C89" t="s">
        <v>18</v>
      </c>
      <c r="D89" s="55">
        <v>50.166666666666664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51">
        <f t="shared" si="17"/>
        <v>0</v>
      </c>
      <c r="AC89" t="s">
        <v>7</v>
      </c>
      <c r="AD89" s="3"/>
      <c r="AG89" s="49">
        <f t="shared" si="19"/>
        <v>100</v>
      </c>
      <c r="AH89" s="49">
        <f t="shared" si="18"/>
        <v>100</v>
      </c>
      <c r="AI89" s="49">
        <f t="shared" si="18"/>
        <v>100</v>
      </c>
      <c r="AJ89" s="49">
        <f t="shared" si="18"/>
        <v>100</v>
      </c>
      <c r="AK89" s="49">
        <f t="shared" si="18"/>
        <v>100</v>
      </c>
      <c r="AL89" s="49">
        <f t="shared" si="18"/>
        <v>100</v>
      </c>
      <c r="AM89" s="49">
        <f t="shared" si="18"/>
        <v>100</v>
      </c>
      <c r="AN89" s="49">
        <f t="shared" si="18"/>
        <v>100</v>
      </c>
      <c r="AO89" s="49">
        <f t="shared" si="18"/>
        <v>100</v>
      </c>
      <c r="AP89" s="49">
        <f t="shared" si="18"/>
        <v>100</v>
      </c>
      <c r="AQ89" s="49">
        <f t="shared" si="18"/>
        <v>100</v>
      </c>
      <c r="AR89" s="49">
        <f t="shared" si="18"/>
        <v>100</v>
      </c>
      <c r="AS89" s="49">
        <f t="shared" si="18"/>
        <v>100</v>
      </c>
      <c r="AT89" s="49">
        <f t="shared" si="18"/>
        <v>100</v>
      </c>
      <c r="AU89" s="49">
        <f t="shared" si="18"/>
        <v>100</v>
      </c>
      <c r="AV89" s="49">
        <f t="shared" si="18"/>
        <v>100</v>
      </c>
      <c r="AW89" s="49">
        <f t="shared" si="18"/>
        <v>100</v>
      </c>
      <c r="AX89" s="49">
        <f t="shared" si="18"/>
        <v>100</v>
      </c>
    </row>
    <row r="90" spans="2:50" x14ac:dyDescent="0.2">
      <c r="B90" t="s">
        <v>3</v>
      </c>
      <c r="C90" t="s">
        <v>10</v>
      </c>
      <c r="D90" s="55">
        <v>141.83333333333331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51">
        <f t="shared" si="17"/>
        <v>0</v>
      </c>
      <c r="AC90" t="s">
        <v>8</v>
      </c>
      <c r="AD90" s="3"/>
      <c r="AG90" s="49">
        <f t="shared" si="19"/>
        <v>1000</v>
      </c>
      <c r="AH90" s="49">
        <f t="shared" si="18"/>
        <v>1000</v>
      </c>
      <c r="AI90" s="49">
        <f t="shared" si="18"/>
        <v>1000</v>
      </c>
      <c r="AJ90" s="49">
        <f t="shared" si="18"/>
        <v>1000</v>
      </c>
      <c r="AK90" s="49">
        <f t="shared" si="18"/>
        <v>1000</v>
      </c>
      <c r="AL90" s="49">
        <f t="shared" si="18"/>
        <v>1000</v>
      </c>
      <c r="AM90" s="49">
        <f t="shared" si="18"/>
        <v>1000</v>
      </c>
      <c r="AN90" s="49">
        <f t="shared" si="18"/>
        <v>1000</v>
      </c>
      <c r="AO90" s="49">
        <f t="shared" si="18"/>
        <v>1000</v>
      </c>
      <c r="AP90" s="49">
        <f t="shared" si="18"/>
        <v>1000</v>
      </c>
      <c r="AQ90" s="49">
        <f t="shared" si="18"/>
        <v>1000</v>
      </c>
      <c r="AR90" s="49">
        <f t="shared" si="18"/>
        <v>1000</v>
      </c>
      <c r="AS90" s="49">
        <f t="shared" si="18"/>
        <v>1000</v>
      </c>
      <c r="AT90" s="49">
        <f t="shared" si="18"/>
        <v>1000</v>
      </c>
      <c r="AU90" s="49">
        <f t="shared" si="18"/>
        <v>1000</v>
      </c>
      <c r="AV90" s="49">
        <f t="shared" si="18"/>
        <v>1000</v>
      </c>
      <c r="AW90" s="49">
        <f t="shared" si="18"/>
        <v>1000</v>
      </c>
      <c r="AX90" s="49">
        <f t="shared" si="18"/>
        <v>1000</v>
      </c>
    </row>
    <row r="91" spans="2:50" x14ac:dyDescent="0.2">
      <c r="B91" t="s">
        <v>3</v>
      </c>
      <c r="C91" t="s">
        <v>11</v>
      </c>
      <c r="D91" s="55">
        <v>161.83333333333334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51">
        <f t="shared" si="17"/>
        <v>0</v>
      </c>
    </row>
    <row r="92" spans="2:50" x14ac:dyDescent="0.2">
      <c r="B92" t="s">
        <v>3</v>
      </c>
      <c r="C92" t="s">
        <v>15</v>
      </c>
      <c r="D92" s="55">
        <v>175.16666666666666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130.39234999999999</v>
      </c>
      <c r="V92" s="64">
        <v>369.60764999999998</v>
      </c>
      <c r="W92" s="51">
        <f t="shared" si="17"/>
        <v>87583.333333333328</v>
      </c>
    </row>
    <row r="93" spans="2:50" x14ac:dyDescent="0.2">
      <c r="B93" t="s">
        <v>3</v>
      </c>
      <c r="C93" t="s">
        <v>12</v>
      </c>
      <c r="D93" s="55">
        <v>150.16666666666666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51">
        <f t="shared" si="17"/>
        <v>0</v>
      </c>
      <c r="AB93" t="s">
        <v>105</v>
      </c>
    </row>
    <row r="94" spans="2:50" x14ac:dyDescent="0.2">
      <c r="B94" t="s">
        <v>3</v>
      </c>
      <c r="C94" t="s">
        <v>19</v>
      </c>
      <c r="D94" s="55">
        <v>75.166666666666671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51">
        <f t="shared" si="17"/>
        <v>0</v>
      </c>
      <c r="AC94" t="s">
        <v>30</v>
      </c>
      <c r="AD94" s="48"/>
      <c r="AG94" s="68" t="s">
        <v>83</v>
      </c>
      <c r="AH94" s="68" t="s">
        <v>84</v>
      </c>
      <c r="AI94" s="68" t="s">
        <v>85</v>
      </c>
      <c r="AJ94" s="68" t="s">
        <v>86</v>
      </c>
      <c r="AK94" s="68" t="s">
        <v>87</v>
      </c>
      <c r="AL94" s="68" t="s">
        <v>88</v>
      </c>
      <c r="AM94" s="68" t="s">
        <v>89</v>
      </c>
      <c r="AN94" s="68" t="s">
        <v>90</v>
      </c>
      <c r="AO94" s="68" t="s">
        <v>91</v>
      </c>
      <c r="AP94" s="68" t="s">
        <v>92</v>
      </c>
      <c r="AQ94" s="68" t="s">
        <v>94</v>
      </c>
      <c r="AR94" s="68" t="s">
        <v>95</v>
      </c>
      <c r="AS94" s="68" t="s">
        <v>93</v>
      </c>
      <c r="AT94" s="68" t="s">
        <v>96</v>
      </c>
      <c r="AU94" s="68" t="s">
        <v>97</v>
      </c>
      <c r="AV94" s="68" t="s">
        <v>98</v>
      </c>
      <c r="AW94" s="68" t="s">
        <v>99</v>
      </c>
      <c r="AX94" s="68" t="s">
        <v>100</v>
      </c>
    </row>
    <row r="95" spans="2:50" x14ac:dyDescent="0.2">
      <c r="B95" t="s">
        <v>3</v>
      </c>
      <c r="C95" t="s">
        <v>17</v>
      </c>
      <c r="D95" s="55">
        <v>156.83333333333331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82.005765999999994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51">
        <f t="shared" si="17"/>
        <v>12861.237634333331</v>
      </c>
      <c r="AC95" t="s">
        <v>21</v>
      </c>
      <c r="AD95" s="49"/>
      <c r="AG95" s="49">
        <f>$AD58</f>
        <v>1000</v>
      </c>
      <c r="AH95" s="49">
        <f t="shared" ref="AH95:AX108" si="20">$AD58</f>
        <v>1000</v>
      </c>
      <c r="AI95" s="49">
        <f t="shared" si="20"/>
        <v>1000</v>
      </c>
      <c r="AJ95" s="49">
        <f t="shared" si="20"/>
        <v>1000</v>
      </c>
      <c r="AK95" s="49">
        <f t="shared" si="20"/>
        <v>1000</v>
      </c>
      <c r="AL95" s="49">
        <f t="shared" si="20"/>
        <v>1000</v>
      </c>
      <c r="AM95" s="49">
        <f t="shared" si="20"/>
        <v>1000</v>
      </c>
      <c r="AN95" s="49">
        <f t="shared" si="20"/>
        <v>1000</v>
      </c>
      <c r="AO95" s="49">
        <f t="shared" si="20"/>
        <v>1000</v>
      </c>
      <c r="AP95" s="49">
        <f t="shared" si="20"/>
        <v>1000</v>
      </c>
      <c r="AQ95" s="49">
        <f t="shared" si="20"/>
        <v>1000</v>
      </c>
      <c r="AR95" s="49">
        <f t="shared" si="20"/>
        <v>1000</v>
      </c>
      <c r="AS95" s="49">
        <f t="shared" si="20"/>
        <v>1000</v>
      </c>
      <c r="AT95" s="49">
        <f t="shared" si="20"/>
        <v>1000</v>
      </c>
      <c r="AU95" s="49">
        <f t="shared" si="20"/>
        <v>1000</v>
      </c>
      <c r="AV95" s="49">
        <f t="shared" si="20"/>
        <v>1000</v>
      </c>
      <c r="AW95" s="49">
        <f t="shared" si="20"/>
        <v>1000</v>
      </c>
      <c r="AX95" s="49">
        <f t="shared" si="20"/>
        <v>1000</v>
      </c>
    </row>
    <row r="96" spans="2:50" x14ac:dyDescent="0.2">
      <c r="B96" t="s">
        <v>3</v>
      </c>
      <c r="C96" t="s">
        <v>13</v>
      </c>
      <c r="D96" s="55">
        <v>171.83333333333334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51">
        <f t="shared" si="17"/>
        <v>0</v>
      </c>
      <c r="AC96" t="s">
        <v>10</v>
      </c>
      <c r="AD96" s="49"/>
      <c r="AG96" s="49">
        <f t="shared" ref="AG96:AV108" si="21">$AD59</f>
        <v>1000</v>
      </c>
      <c r="AH96" s="49">
        <f t="shared" si="21"/>
        <v>1000</v>
      </c>
      <c r="AI96" s="49">
        <f t="shared" si="21"/>
        <v>1000</v>
      </c>
      <c r="AJ96" s="49">
        <f t="shared" si="21"/>
        <v>1000</v>
      </c>
      <c r="AK96" s="49">
        <f t="shared" si="21"/>
        <v>1000</v>
      </c>
      <c r="AL96" s="49">
        <f t="shared" si="21"/>
        <v>1000</v>
      </c>
      <c r="AM96" s="49">
        <f t="shared" si="21"/>
        <v>1000</v>
      </c>
      <c r="AN96" s="49">
        <f t="shared" si="21"/>
        <v>1000</v>
      </c>
      <c r="AO96" s="49">
        <f t="shared" si="21"/>
        <v>1000</v>
      </c>
      <c r="AP96" s="49">
        <f t="shared" si="21"/>
        <v>1000</v>
      </c>
      <c r="AQ96" s="49">
        <f t="shared" si="21"/>
        <v>1000</v>
      </c>
      <c r="AR96" s="49">
        <f t="shared" si="21"/>
        <v>1000</v>
      </c>
      <c r="AS96" s="49">
        <f t="shared" si="21"/>
        <v>1000</v>
      </c>
      <c r="AT96" s="49">
        <f t="shared" si="21"/>
        <v>1000</v>
      </c>
      <c r="AU96" s="49">
        <f t="shared" si="21"/>
        <v>1000</v>
      </c>
      <c r="AV96" s="49">
        <f t="shared" si="21"/>
        <v>1000</v>
      </c>
      <c r="AW96" s="49">
        <f t="shared" si="20"/>
        <v>1000</v>
      </c>
      <c r="AX96" s="49">
        <f t="shared" si="20"/>
        <v>1000</v>
      </c>
    </row>
    <row r="97" spans="2:50" x14ac:dyDescent="0.2">
      <c r="B97" t="s">
        <v>3</v>
      </c>
      <c r="C97" t="s">
        <v>20</v>
      </c>
      <c r="D97" s="55">
        <v>170.16666666666666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51">
        <f t="shared" si="17"/>
        <v>0</v>
      </c>
      <c r="AC97" t="s">
        <v>23</v>
      </c>
      <c r="AD97" s="49"/>
      <c r="AG97" s="49">
        <f t="shared" si="21"/>
        <v>1250</v>
      </c>
      <c r="AH97" s="49">
        <f t="shared" si="20"/>
        <v>1250</v>
      </c>
      <c r="AI97" s="49">
        <f t="shared" si="20"/>
        <v>1250</v>
      </c>
      <c r="AJ97" s="49">
        <f t="shared" si="20"/>
        <v>1250</v>
      </c>
      <c r="AK97" s="49">
        <f t="shared" si="20"/>
        <v>1250</v>
      </c>
      <c r="AL97" s="49">
        <f t="shared" si="20"/>
        <v>1250</v>
      </c>
      <c r="AM97" s="49">
        <f t="shared" si="20"/>
        <v>1250</v>
      </c>
      <c r="AN97" s="49">
        <f t="shared" si="20"/>
        <v>1250</v>
      </c>
      <c r="AO97" s="49">
        <f t="shared" si="20"/>
        <v>1250</v>
      </c>
      <c r="AP97" s="49">
        <f t="shared" si="20"/>
        <v>1250</v>
      </c>
      <c r="AQ97" s="49">
        <f t="shared" si="20"/>
        <v>1250</v>
      </c>
      <c r="AR97" s="49">
        <f t="shared" si="20"/>
        <v>1250</v>
      </c>
      <c r="AS97" s="49">
        <f t="shared" si="20"/>
        <v>1250</v>
      </c>
      <c r="AT97" s="49">
        <f t="shared" si="20"/>
        <v>1250</v>
      </c>
      <c r="AU97" s="49">
        <f t="shared" si="20"/>
        <v>1250</v>
      </c>
      <c r="AV97" s="49">
        <f t="shared" si="20"/>
        <v>1250</v>
      </c>
      <c r="AW97" s="49">
        <f t="shared" si="20"/>
        <v>1250</v>
      </c>
      <c r="AX97" s="49">
        <f t="shared" si="20"/>
        <v>1250</v>
      </c>
    </row>
    <row r="98" spans="2:50" x14ac:dyDescent="0.2">
      <c r="B98" t="s">
        <v>4</v>
      </c>
      <c r="C98" t="s">
        <v>21</v>
      </c>
      <c r="D98" s="55">
        <v>42.000000000000007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51">
        <f t="shared" si="17"/>
        <v>0</v>
      </c>
      <c r="AC98" t="s">
        <v>14</v>
      </c>
      <c r="AD98" s="49"/>
      <c r="AG98" s="49">
        <f t="shared" si="21"/>
        <v>500</v>
      </c>
      <c r="AH98" s="49">
        <f t="shared" si="20"/>
        <v>500</v>
      </c>
      <c r="AI98" s="49">
        <f t="shared" si="20"/>
        <v>500</v>
      </c>
      <c r="AJ98" s="49">
        <f t="shared" si="20"/>
        <v>500</v>
      </c>
      <c r="AK98" s="49">
        <f t="shared" si="20"/>
        <v>500</v>
      </c>
      <c r="AL98" s="49">
        <f t="shared" si="20"/>
        <v>500</v>
      </c>
      <c r="AM98" s="49">
        <f t="shared" si="20"/>
        <v>500</v>
      </c>
      <c r="AN98" s="49">
        <f t="shared" si="20"/>
        <v>500</v>
      </c>
      <c r="AO98" s="49">
        <f t="shared" si="20"/>
        <v>500</v>
      </c>
      <c r="AP98" s="49">
        <f t="shared" si="20"/>
        <v>500</v>
      </c>
      <c r="AQ98" s="49">
        <f t="shared" si="20"/>
        <v>500</v>
      </c>
      <c r="AR98" s="49">
        <f t="shared" si="20"/>
        <v>500</v>
      </c>
      <c r="AS98" s="49">
        <f t="shared" si="20"/>
        <v>500</v>
      </c>
      <c r="AT98" s="49">
        <f t="shared" si="20"/>
        <v>500</v>
      </c>
      <c r="AU98" s="49">
        <f t="shared" si="20"/>
        <v>500</v>
      </c>
      <c r="AV98" s="49">
        <f t="shared" si="20"/>
        <v>500</v>
      </c>
      <c r="AW98" s="49">
        <f t="shared" si="20"/>
        <v>500</v>
      </c>
      <c r="AX98" s="49">
        <f t="shared" si="20"/>
        <v>500</v>
      </c>
    </row>
    <row r="99" spans="2:50" x14ac:dyDescent="0.2">
      <c r="B99" t="s">
        <v>4</v>
      </c>
      <c r="C99" t="s">
        <v>18</v>
      </c>
      <c r="D99" s="55">
        <v>33.666666666666671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51">
        <f t="shared" si="17"/>
        <v>0</v>
      </c>
      <c r="AC99" t="s">
        <v>11</v>
      </c>
      <c r="AD99" s="49"/>
      <c r="AG99" s="49">
        <f t="shared" si="21"/>
        <v>1500</v>
      </c>
      <c r="AH99" s="49">
        <f t="shared" si="20"/>
        <v>1500</v>
      </c>
      <c r="AI99" s="49">
        <f t="shared" si="20"/>
        <v>1500</v>
      </c>
      <c r="AJ99" s="49">
        <f t="shared" si="20"/>
        <v>1500</v>
      </c>
      <c r="AK99" s="49">
        <f t="shared" si="20"/>
        <v>1500</v>
      </c>
      <c r="AL99" s="49">
        <f t="shared" si="20"/>
        <v>1500</v>
      </c>
      <c r="AM99" s="49">
        <f t="shared" si="20"/>
        <v>1500</v>
      </c>
      <c r="AN99" s="49">
        <f t="shared" si="20"/>
        <v>1500</v>
      </c>
      <c r="AO99" s="49">
        <f t="shared" si="20"/>
        <v>1500</v>
      </c>
      <c r="AP99" s="49">
        <f t="shared" si="20"/>
        <v>1500</v>
      </c>
      <c r="AQ99" s="49">
        <f t="shared" si="20"/>
        <v>1500</v>
      </c>
      <c r="AR99" s="49">
        <f t="shared" si="20"/>
        <v>1500</v>
      </c>
      <c r="AS99" s="49">
        <f t="shared" si="20"/>
        <v>1500</v>
      </c>
      <c r="AT99" s="49">
        <f t="shared" si="20"/>
        <v>1500</v>
      </c>
      <c r="AU99" s="49">
        <f t="shared" si="20"/>
        <v>1500</v>
      </c>
      <c r="AV99" s="49">
        <f t="shared" si="20"/>
        <v>1500</v>
      </c>
      <c r="AW99" s="49">
        <f t="shared" si="20"/>
        <v>1500</v>
      </c>
      <c r="AX99" s="49">
        <f t="shared" si="20"/>
        <v>1500</v>
      </c>
    </row>
    <row r="100" spans="2:50" x14ac:dyDescent="0.2">
      <c r="B100" t="s">
        <v>4</v>
      </c>
      <c r="C100" t="s">
        <v>22</v>
      </c>
      <c r="D100" s="55">
        <v>33.666666666666671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23.699943999999999</v>
      </c>
      <c r="N100" s="64">
        <v>27.250019999999999</v>
      </c>
      <c r="O100" s="64">
        <v>27.250019999999999</v>
      </c>
      <c r="P100" s="64">
        <v>21.800015999999999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100</v>
      </c>
      <c r="W100" s="51">
        <f t="shared" si="17"/>
        <v>6733.3333333333339</v>
      </c>
      <c r="AC100" t="s">
        <v>15</v>
      </c>
      <c r="AD100" s="49"/>
      <c r="AG100" s="49">
        <f t="shared" si="21"/>
        <v>1000</v>
      </c>
      <c r="AH100" s="49">
        <f t="shared" si="20"/>
        <v>1000</v>
      </c>
      <c r="AI100" s="49">
        <f t="shared" si="20"/>
        <v>1000</v>
      </c>
      <c r="AJ100" s="49">
        <f t="shared" si="20"/>
        <v>1000</v>
      </c>
      <c r="AK100" s="49">
        <f t="shared" si="20"/>
        <v>1000</v>
      </c>
      <c r="AL100" s="49">
        <f t="shared" si="20"/>
        <v>1000</v>
      </c>
      <c r="AM100" s="49">
        <f t="shared" si="20"/>
        <v>1000</v>
      </c>
      <c r="AN100" s="49">
        <f t="shared" si="20"/>
        <v>1000</v>
      </c>
      <c r="AO100" s="49">
        <f t="shared" si="20"/>
        <v>1000</v>
      </c>
      <c r="AP100" s="49">
        <f t="shared" si="20"/>
        <v>1000</v>
      </c>
      <c r="AQ100" s="49">
        <f t="shared" si="20"/>
        <v>1000</v>
      </c>
      <c r="AR100" s="49">
        <f t="shared" si="20"/>
        <v>1000</v>
      </c>
      <c r="AS100" s="49">
        <f t="shared" si="20"/>
        <v>1000</v>
      </c>
      <c r="AT100" s="49">
        <f t="shared" si="20"/>
        <v>1000</v>
      </c>
      <c r="AU100" s="49">
        <f t="shared" si="20"/>
        <v>1000</v>
      </c>
      <c r="AV100" s="49">
        <f t="shared" si="20"/>
        <v>1000</v>
      </c>
      <c r="AW100" s="49">
        <f t="shared" si="20"/>
        <v>1000</v>
      </c>
      <c r="AX100" s="49">
        <f t="shared" si="20"/>
        <v>1000</v>
      </c>
    </row>
    <row r="101" spans="2:50" x14ac:dyDescent="0.2">
      <c r="B101" t="s">
        <v>4</v>
      </c>
      <c r="C101" t="s">
        <v>20</v>
      </c>
      <c r="D101" s="55">
        <v>50.333333333333336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51">
        <f t="shared" si="17"/>
        <v>0</v>
      </c>
      <c r="AC101" t="s">
        <v>12</v>
      </c>
      <c r="AD101" s="49"/>
      <c r="AG101" s="49">
        <f t="shared" si="21"/>
        <v>1000</v>
      </c>
      <c r="AH101" s="49">
        <f t="shared" si="20"/>
        <v>1000</v>
      </c>
      <c r="AI101" s="49">
        <f t="shared" si="20"/>
        <v>1000</v>
      </c>
      <c r="AJ101" s="49">
        <f t="shared" si="20"/>
        <v>1000</v>
      </c>
      <c r="AK101" s="49">
        <f t="shared" si="20"/>
        <v>1000</v>
      </c>
      <c r="AL101" s="49">
        <f t="shared" si="20"/>
        <v>1000</v>
      </c>
      <c r="AM101" s="49">
        <f t="shared" si="20"/>
        <v>1000</v>
      </c>
      <c r="AN101" s="49">
        <f t="shared" si="20"/>
        <v>1000</v>
      </c>
      <c r="AO101" s="49">
        <f t="shared" si="20"/>
        <v>1000</v>
      </c>
      <c r="AP101" s="49">
        <f t="shared" si="20"/>
        <v>1000</v>
      </c>
      <c r="AQ101" s="49">
        <f t="shared" si="20"/>
        <v>1000</v>
      </c>
      <c r="AR101" s="49">
        <f t="shared" si="20"/>
        <v>1000</v>
      </c>
      <c r="AS101" s="49">
        <f t="shared" si="20"/>
        <v>1000</v>
      </c>
      <c r="AT101" s="49">
        <f t="shared" si="20"/>
        <v>1000</v>
      </c>
      <c r="AU101" s="49">
        <f t="shared" si="20"/>
        <v>1000</v>
      </c>
      <c r="AV101" s="49">
        <f t="shared" si="20"/>
        <v>1000</v>
      </c>
      <c r="AW101" s="49">
        <f t="shared" si="20"/>
        <v>1000</v>
      </c>
      <c r="AX101" s="49">
        <f t="shared" si="20"/>
        <v>1000</v>
      </c>
    </row>
    <row r="102" spans="2:50" x14ac:dyDescent="0.2">
      <c r="B102" t="s">
        <v>5</v>
      </c>
      <c r="C102" t="s">
        <v>19</v>
      </c>
      <c r="D102" s="55">
        <v>66.916666666666671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51">
        <f t="shared" si="17"/>
        <v>0</v>
      </c>
      <c r="AC102" t="s">
        <v>19</v>
      </c>
      <c r="AD102" s="49"/>
      <c r="AG102" s="49">
        <f t="shared" si="21"/>
        <v>1200</v>
      </c>
      <c r="AH102" s="49">
        <f t="shared" si="20"/>
        <v>1200</v>
      </c>
      <c r="AI102" s="49">
        <f t="shared" si="20"/>
        <v>1200</v>
      </c>
      <c r="AJ102" s="49">
        <f t="shared" si="20"/>
        <v>1200</v>
      </c>
      <c r="AK102" s="49">
        <f t="shared" si="20"/>
        <v>1200</v>
      </c>
      <c r="AL102" s="49">
        <f t="shared" si="20"/>
        <v>1200</v>
      </c>
      <c r="AM102" s="49">
        <f t="shared" si="20"/>
        <v>1200</v>
      </c>
      <c r="AN102" s="49">
        <f t="shared" si="20"/>
        <v>1200</v>
      </c>
      <c r="AO102" s="49">
        <f t="shared" si="20"/>
        <v>1200</v>
      </c>
      <c r="AP102" s="49">
        <f t="shared" si="20"/>
        <v>1200</v>
      </c>
      <c r="AQ102" s="49">
        <f t="shared" si="20"/>
        <v>1200</v>
      </c>
      <c r="AR102" s="49">
        <f t="shared" si="20"/>
        <v>1200</v>
      </c>
      <c r="AS102" s="49">
        <f t="shared" si="20"/>
        <v>1200</v>
      </c>
      <c r="AT102" s="49">
        <f t="shared" si="20"/>
        <v>1200</v>
      </c>
      <c r="AU102" s="49">
        <f t="shared" si="20"/>
        <v>1200</v>
      </c>
      <c r="AV102" s="49">
        <f t="shared" si="20"/>
        <v>1200</v>
      </c>
      <c r="AW102" s="49">
        <f t="shared" si="20"/>
        <v>1200</v>
      </c>
      <c r="AX102" s="49">
        <f t="shared" si="20"/>
        <v>1200</v>
      </c>
    </row>
    <row r="103" spans="2:50" x14ac:dyDescent="0.2">
      <c r="B103" t="s">
        <v>5</v>
      </c>
      <c r="C103" t="s">
        <v>20</v>
      </c>
      <c r="D103" s="55">
        <v>66.916666666666671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100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100</v>
      </c>
      <c r="W103" s="51">
        <f t="shared" si="17"/>
        <v>13383.333333333334</v>
      </c>
      <c r="AC103" t="s">
        <v>16</v>
      </c>
      <c r="AD103" s="49"/>
      <c r="AG103" s="49">
        <f t="shared" si="21"/>
        <v>500</v>
      </c>
      <c r="AH103" s="49">
        <f t="shared" si="20"/>
        <v>500</v>
      </c>
      <c r="AI103" s="49">
        <f t="shared" si="20"/>
        <v>500</v>
      </c>
      <c r="AJ103" s="49">
        <f t="shared" si="20"/>
        <v>500</v>
      </c>
      <c r="AK103" s="49">
        <f t="shared" si="20"/>
        <v>500</v>
      </c>
      <c r="AL103" s="49">
        <f t="shared" si="20"/>
        <v>500</v>
      </c>
      <c r="AM103" s="49">
        <f t="shared" si="20"/>
        <v>500</v>
      </c>
      <c r="AN103" s="49">
        <f t="shared" si="20"/>
        <v>500</v>
      </c>
      <c r="AO103" s="49">
        <f t="shared" si="20"/>
        <v>500</v>
      </c>
      <c r="AP103" s="49">
        <f t="shared" si="20"/>
        <v>500</v>
      </c>
      <c r="AQ103" s="49">
        <f t="shared" si="20"/>
        <v>500</v>
      </c>
      <c r="AR103" s="49">
        <f t="shared" si="20"/>
        <v>500</v>
      </c>
      <c r="AS103" s="49">
        <f t="shared" si="20"/>
        <v>500</v>
      </c>
      <c r="AT103" s="49">
        <f t="shared" si="20"/>
        <v>500</v>
      </c>
      <c r="AU103" s="49">
        <f t="shared" si="20"/>
        <v>500</v>
      </c>
      <c r="AV103" s="49">
        <f t="shared" si="20"/>
        <v>500</v>
      </c>
      <c r="AW103" s="49">
        <f t="shared" si="20"/>
        <v>500</v>
      </c>
      <c r="AX103" s="49">
        <f t="shared" si="20"/>
        <v>500</v>
      </c>
    </row>
    <row r="104" spans="2:50" x14ac:dyDescent="0.2">
      <c r="B104" t="s">
        <v>6</v>
      </c>
      <c r="C104" t="s">
        <v>21</v>
      </c>
      <c r="D104" s="55">
        <v>183.58333333333331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188.57666</v>
      </c>
      <c r="L104" s="64">
        <v>189.72484</v>
      </c>
      <c r="M104" s="64">
        <v>168.08058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618.43575999999996</v>
      </c>
      <c r="W104" s="51">
        <f t="shared" si="17"/>
        <v>213841.14179333334</v>
      </c>
      <c r="AC104" t="s">
        <v>17</v>
      </c>
      <c r="AD104" s="49"/>
      <c r="AG104" s="49">
        <f t="shared" si="21"/>
        <v>500</v>
      </c>
      <c r="AH104" s="49">
        <f t="shared" si="20"/>
        <v>500</v>
      </c>
      <c r="AI104" s="49">
        <f t="shared" si="20"/>
        <v>500</v>
      </c>
      <c r="AJ104" s="49">
        <f t="shared" si="20"/>
        <v>500</v>
      </c>
      <c r="AK104" s="49">
        <f t="shared" si="20"/>
        <v>500</v>
      </c>
      <c r="AL104" s="49">
        <f t="shared" si="20"/>
        <v>500</v>
      </c>
      <c r="AM104" s="49">
        <f t="shared" si="20"/>
        <v>500</v>
      </c>
      <c r="AN104" s="49">
        <f t="shared" si="20"/>
        <v>500</v>
      </c>
      <c r="AO104" s="49">
        <f t="shared" si="20"/>
        <v>500</v>
      </c>
      <c r="AP104" s="49">
        <f t="shared" si="20"/>
        <v>500</v>
      </c>
      <c r="AQ104" s="49">
        <f t="shared" si="20"/>
        <v>500</v>
      </c>
      <c r="AR104" s="49">
        <f t="shared" si="20"/>
        <v>500</v>
      </c>
      <c r="AS104" s="49">
        <f t="shared" si="20"/>
        <v>500</v>
      </c>
      <c r="AT104" s="49">
        <f t="shared" si="20"/>
        <v>500</v>
      </c>
      <c r="AU104" s="49">
        <f t="shared" si="20"/>
        <v>500</v>
      </c>
      <c r="AV104" s="49">
        <f t="shared" si="20"/>
        <v>500</v>
      </c>
      <c r="AW104" s="49">
        <f t="shared" si="20"/>
        <v>500</v>
      </c>
      <c r="AX104" s="49">
        <f t="shared" si="20"/>
        <v>500</v>
      </c>
    </row>
    <row r="105" spans="2:50" x14ac:dyDescent="0.2">
      <c r="B105" t="s">
        <v>6</v>
      </c>
      <c r="C105" t="s">
        <v>10</v>
      </c>
      <c r="D105" s="55">
        <v>216.91666666666669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51">
        <f t="shared" si="17"/>
        <v>0</v>
      </c>
      <c r="AC105" t="s">
        <v>18</v>
      </c>
      <c r="AD105" s="49"/>
      <c r="AG105" s="49">
        <f t="shared" si="21"/>
        <v>2000</v>
      </c>
      <c r="AH105" s="49">
        <f t="shared" si="20"/>
        <v>2000</v>
      </c>
      <c r="AI105" s="49">
        <f t="shared" si="20"/>
        <v>2000</v>
      </c>
      <c r="AJ105" s="49">
        <f t="shared" si="20"/>
        <v>2000</v>
      </c>
      <c r="AK105" s="49">
        <f t="shared" si="20"/>
        <v>2000</v>
      </c>
      <c r="AL105" s="49">
        <f t="shared" si="20"/>
        <v>2000</v>
      </c>
      <c r="AM105" s="49">
        <f t="shared" si="20"/>
        <v>2000</v>
      </c>
      <c r="AN105" s="49">
        <f t="shared" si="20"/>
        <v>2000</v>
      </c>
      <c r="AO105" s="49">
        <f t="shared" si="20"/>
        <v>2000</v>
      </c>
      <c r="AP105" s="49">
        <f t="shared" si="20"/>
        <v>2000</v>
      </c>
      <c r="AQ105" s="49">
        <f t="shared" si="20"/>
        <v>2000</v>
      </c>
      <c r="AR105" s="49">
        <f t="shared" si="20"/>
        <v>2000</v>
      </c>
      <c r="AS105" s="49">
        <f t="shared" si="20"/>
        <v>2000</v>
      </c>
      <c r="AT105" s="49">
        <f t="shared" si="20"/>
        <v>2000</v>
      </c>
      <c r="AU105" s="49">
        <f t="shared" si="20"/>
        <v>2000</v>
      </c>
      <c r="AV105" s="49">
        <f t="shared" si="20"/>
        <v>2000</v>
      </c>
      <c r="AW105" s="49">
        <f t="shared" si="20"/>
        <v>2000</v>
      </c>
      <c r="AX105" s="49">
        <f t="shared" si="20"/>
        <v>2000</v>
      </c>
    </row>
    <row r="106" spans="2:50" x14ac:dyDescent="0.2">
      <c r="B106" t="s">
        <v>6</v>
      </c>
      <c r="C106" t="s">
        <v>23</v>
      </c>
      <c r="D106" s="55">
        <v>190.25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281.98687000000001</v>
      </c>
      <c r="W106" s="51">
        <f t="shared" si="17"/>
        <v>53648.002017500003</v>
      </c>
      <c r="AC106" t="s">
        <v>22</v>
      </c>
      <c r="AD106" s="49"/>
      <c r="AG106" s="49">
        <f t="shared" si="21"/>
        <v>2500</v>
      </c>
      <c r="AH106" s="49">
        <f t="shared" si="20"/>
        <v>2500</v>
      </c>
      <c r="AI106" s="49">
        <f t="shared" si="20"/>
        <v>2500</v>
      </c>
      <c r="AJ106" s="49">
        <f t="shared" si="20"/>
        <v>2500</v>
      </c>
      <c r="AK106" s="49">
        <f t="shared" si="20"/>
        <v>2500</v>
      </c>
      <c r="AL106" s="49">
        <f t="shared" si="20"/>
        <v>2500</v>
      </c>
      <c r="AM106" s="49">
        <f t="shared" si="20"/>
        <v>2500</v>
      </c>
      <c r="AN106" s="49">
        <f t="shared" si="20"/>
        <v>2500</v>
      </c>
      <c r="AO106" s="49">
        <f t="shared" si="20"/>
        <v>2500</v>
      </c>
      <c r="AP106" s="49">
        <f t="shared" si="20"/>
        <v>2500</v>
      </c>
      <c r="AQ106" s="49">
        <f t="shared" si="20"/>
        <v>2500</v>
      </c>
      <c r="AR106" s="49">
        <f t="shared" si="20"/>
        <v>2500</v>
      </c>
      <c r="AS106" s="49">
        <f t="shared" si="20"/>
        <v>2500</v>
      </c>
      <c r="AT106" s="49">
        <f t="shared" si="20"/>
        <v>2500</v>
      </c>
      <c r="AU106" s="49">
        <f t="shared" si="20"/>
        <v>2500</v>
      </c>
      <c r="AV106" s="49">
        <f t="shared" si="20"/>
        <v>2500</v>
      </c>
      <c r="AW106" s="49">
        <f t="shared" si="20"/>
        <v>2500</v>
      </c>
      <c r="AX106" s="49">
        <f t="shared" si="20"/>
        <v>2500</v>
      </c>
    </row>
    <row r="107" spans="2:50" x14ac:dyDescent="0.2">
      <c r="B107" t="s">
        <v>6</v>
      </c>
      <c r="C107" t="s">
        <v>14</v>
      </c>
      <c r="D107" s="55">
        <v>186.91666666666669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148.42299</v>
      </c>
      <c r="L107" s="64">
        <v>128.11931999999999</v>
      </c>
      <c r="M107" s="64">
        <v>58.238460000000003</v>
      </c>
      <c r="N107" s="64">
        <v>42.441839999999999</v>
      </c>
      <c r="O107" s="64">
        <v>42.441839999999999</v>
      </c>
      <c r="P107" s="64">
        <v>33.953471999999998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99.577365999999998</v>
      </c>
      <c r="W107" s="51">
        <f t="shared" si="17"/>
        <v>103401.41924866667</v>
      </c>
      <c r="AC107" t="s">
        <v>13</v>
      </c>
      <c r="AD107" s="49"/>
      <c r="AG107" s="49">
        <f t="shared" si="21"/>
        <v>1000</v>
      </c>
      <c r="AH107" s="49">
        <f t="shared" si="20"/>
        <v>1000</v>
      </c>
      <c r="AI107" s="49">
        <f t="shared" si="20"/>
        <v>1000</v>
      </c>
      <c r="AJ107" s="49">
        <f t="shared" si="20"/>
        <v>1000</v>
      </c>
      <c r="AK107" s="49">
        <f t="shared" si="20"/>
        <v>1000</v>
      </c>
      <c r="AL107" s="49">
        <f t="shared" si="20"/>
        <v>1000</v>
      </c>
      <c r="AM107" s="49">
        <f t="shared" si="20"/>
        <v>1000</v>
      </c>
      <c r="AN107" s="49">
        <f t="shared" si="20"/>
        <v>1000</v>
      </c>
      <c r="AO107" s="49">
        <f t="shared" si="20"/>
        <v>1000</v>
      </c>
      <c r="AP107" s="49">
        <f t="shared" si="20"/>
        <v>1000</v>
      </c>
      <c r="AQ107" s="49">
        <f t="shared" si="20"/>
        <v>1000</v>
      </c>
      <c r="AR107" s="49">
        <f t="shared" si="20"/>
        <v>1000</v>
      </c>
      <c r="AS107" s="49">
        <f t="shared" si="20"/>
        <v>1000</v>
      </c>
      <c r="AT107" s="49">
        <f t="shared" si="20"/>
        <v>1000</v>
      </c>
      <c r="AU107" s="49">
        <f t="shared" si="20"/>
        <v>1000</v>
      </c>
      <c r="AV107" s="49">
        <f t="shared" si="20"/>
        <v>1000</v>
      </c>
      <c r="AW107" s="49">
        <f t="shared" si="20"/>
        <v>1000</v>
      </c>
      <c r="AX107" s="49">
        <f t="shared" si="20"/>
        <v>1000</v>
      </c>
    </row>
    <row r="108" spans="2:50" x14ac:dyDescent="0.2">
      <c r="B108" t="s">
        <v>6</v>
      </c>
      <c r="C108" t="s">
        <v>11</v>
      </c>
      <c r="D108" s="55">
        <v>233.58333333333331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51">
        <f t="shared" si="17"/>
        <v>0</v>
      </c>
      <c r="AC108" t="s">
        <v>20</v>
      </c>
      <c r="AD108" s="49"/>
      <c r="AG108" s="49">
        <f t="shared" si="21"/>
        <v>7000</v>
      </c>
      <c r="AH108" s="49">
        <f t="shared" si="20"/>
        <v>7000</v>
      </c>
      <c r="AI108" s="49">
        <f t="shared" si="20"/>
        <v>7000</v>
      </c>
      <c r="AJ108" s="49">
        <f t="shared" si="20"/>
        <v>7000</v>
      </c>
      <c r="AK108" s="49">
        <f t="shared" si="20"/>
        <v>7000</v>
      </c>
      <c r="AL108" s="49">
        <f t="shared" si="20"/>
        <v>7000</v>
      </c>
      <c r="AM108" s="49">
        <f t="shared" si="20"/>
        <v>7000</v>
      </c>
      <c r="AN108" s="49">
        <f t="shared" si="20"/>
        <v>7000</v>
      </c>
      <c r="AO108" s="49">
        <f t="shared" si="20"/>
        <v>7000</v>
      </c>
      <c r="AP108" s="49">
        <f t="shared" si="20"/>
        <v>7000</v>
      </c>
      <c r="AQ108" s="49">
        <f t="shared" si="20"/>
        <v>7000</v>
      </c>
      <c r="AR108" s="49">
        <f t="shared" si="20"/>
        <v>7000</v>
      </c>
      <c r="AS108" s="49">
        <f t="shared" si="20"/>
        <v>7000</v>
      </c>
      <c r="AT108" s="49">
        <f t="shared" si="20"/>
        <v>7000</v>
      </c>
      <c r="AU108" s="49">
        <f t="shared" si="20"/>
        <v>7000</v>
      </c>
      <c r="AV108" s="49">
        <f t="shared" si="20"/>
        <v>7000</v>
      </c>
      <c r="AW108" s="49">
        <f t="shared" si="20"/>
        <v>7000</v>
      </c>
      <c r="AX108" s="49">
        <f t="shared" si="20"/>
        <v>7000</v>
      </c>
    </row>
    <row r="109" spans="2:50" x14ac:dyDescent="0.2">
      <c r="B109" t="s">
        <v>6</v>
      </c>
      <c r="C109" t="s">
        <v>15</v>
      </c>
      <c r="D109" s="55">
        <v>216.91666666666669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51">
        <f t="shared" si="17"/>
        <v>0</v>
      </c>
    </row>
    <row r="110" spans="2:50" x14ac:dyDescent="0.2">
      <c r="B110" t="s">
        <v>6</v>
      </c>
      <c r="C110" t="s">
        <v>17</v>
      </c>
      <c r="D110" s="55">
        <v>216.91666666666669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51">
        <f t="shared" si="17"/>
        <v>0</v>
      </c>
    </row>
    <row r="111" spans="2:50" x14ac:dyDescent="0.2">
      <c r="B111" t="s">
        <v>6</v>
      </c>
      <c r="C111" t="s">
        <v>18</v>
      </c>
      <c r="D111" s="55">
        <v>221.91666666666669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51">
        <f t="shared" si="17"/>
        <v>0</v>
      </c>
    </row>
    <row r="112" spans="2:50" x14ac:dyDescent="0.2">
      <c r="B112" t="s">
        <v>6</v>
      </c>
      <c r="C112" t="s">
        <v>22</v>
      </c>
      <c r="D112" s="55">
        <v>178.58333333333331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51">
        <f t="shared" si="17"/>
        <v>0</v>
      </c>
    </row>
    <row r="113" spans="2:23" x14ac:dyDescent="0.2">
      <c r="B113" t="s">
        <v>6</v>
      </c>
      <c r="C113" t="s">
        <v>13</v>
      </c>
      <c r="D113" s="55">
        <v>191.91666666666669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51">
        <f t="shared" si="17"/>
        <v>0</v>
      </c>
    </row>
    <row r="114" spans="2:23" x14ac:dyDescent="0.2">
      <c r="B114" t="s">
        <v>6</v>
      </c>
      <c r="C114" t="s">
        <v>20</v>
      </c>
      <c r="D114" s="55">
        <v>186.91666666666669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51">
        <f t="shared" si="17"/>
        <v>0</v>
      </c>
    </row>
    <row r="115" spans="2:23" x14ac:dyDescent="0.2">
      <c r="B115" t="s">
        <v>7</v>
      </c>
      <c r="C115" t="s">
        <v>21</v>
      </c>
      <c r="D115" s="55">
        <v>55.166666666666664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70.166250000000005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51">
        <f t="shared" si="17"/>
        <v>3870.8381250000002</v>
      </c>
    </row>
    <row r="116" spans="2:23" x14ac:dyDescent="0.2">
      <c r="B116" t="s">
        <v>7</v>
      </c>
      <c r="C116" t="s">
        <v>10</v>
      </c>
      <c r="D116" s="55">
        <v>58.499999999999993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51">
        <f t="shared" si="17"/>
        <v>0</v>
      </c>
    </row>
    <row r="117" spans="2:23" x14ac:dyDescent="0.2">
      <c r="B117" t="s">
        <v>7</v>
      </c>
      <c r="C117" t="s">
        <v>11</v>
      </c>
      <c r="D117" s="55">
        <v>50.166666666666664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100</v>
      </c>
      <c r="M117" s="64">
        <v>0</v>
      </c>
      <c r="N117" s="64">
        <v>0</v>
      </c>
      <c r="O117" s="64">
        <v>0</v>
      </c>
      <c r="P117" s="64">
        <v>0</v>
      </c>
      <c r="Q117" s="64">
        <v>29.833749999999998</v>
      </c>
      <c r="R117" s="64">
        <v>0</v>
      </c>
      <c r="S117" s="64">
        <v>0</v>
      </c>
      <c r="T117" s="64">
        <v>0</v>
      </c>
      <c r="U117" s="64">
        <v>0</v>
      </c>
      <c r="V117" s="64">
        <v>100</v>
      </c>
      <c r="W117" s="51">
        <f t="shared" si="17"/>
        <v>11529.993124999999</v>
      </c>
    </row>
    <row r="118" spans="2:23" x14ac:dyDescent="0.2">
      <c r="B118" t="s">
        <v>7</v>
      </c>
      <c r="C118" t="s">
        <v>15</v>
      </c>
      <c r="D118" s="55">
        <v>66.833333333333343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51">
        <f t="shared" si="17"/>
        <v>0</v>
      </c>
    </row>
    <row r="119" spans="2:23" x14ac:dyDescent="0.2">
      <c r="B119" t="s">
        <v>7</v>
      </c>
      <c r="C119" t="s">
        <v>12</v>
      </c>
      <c r="D119" s="55">
        <v>50.166666666666664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51">
        <f t="shared" si="17"/>
        <v>0</v>
      </c>
    </row>
    <row r="120" spans="2:23" x14ac:dyDescent="0.2">
      <c r="B120" t="s">
        <v>7</v>
      </c>
      <c r="C120" t="s">
        <v>13</v>
      </c>
      <c r="D120" s="55">
        <v>63.499999999999993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51">
        <f t="shared" si="17"/>
        <v>0</v>
      </c>
    </row>
    <row r="121" spans="2:23" x14ac:dyDescent="0.2">
      <c r="B121" t="s">
        <v>7</v>
      </c>
      <c r="C121" t="s">
        <v>20</v>
      </c>
      <c r="D121" s="55">
        <v>60.166666666666664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51">
        <f t="shared" si="17"/>
        <v>0</v>
      </c>
    </row>
    <row r="122" spans="2:23" x14ac:dyDescent="0.2">
      <c r="B122" t="s">
        <v>8</v>
      </c>
      <c r="C122" t="s">
        <v>23</v>
      </c>
      <c r="D122" s="55">
        <v>83.583333333333343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506.06139000000002</v>
      </c>
      <c r="W122" s="51">
        <f t="shared" si="17"/>
        <v>42298.297847500005</v>
      </c>
    </row>
    <row r="123" spans="2:23" x14ac:dyDescent="0.2">
      <c r="B123" t="s">
        <v>8</v>
      </c>
      <c r="C123" t="s">
        <v>14</v>
      </c>
      <c r="D123" s="55">
        <v>100.25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51">
        <f t="shared" si="17"/>
        <v>0</v>
      </c>
    </row>
    <row r="124" spans="2:23" x14ac:dyDescent="0.2">
      <c r="B124" t="s">
        <v>8</v>
      </c>
      <c r="C124" t="s">
        <v>11</v>
      </c>
      <c r="D124" s="55">
        <v>133.58333333333334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51">
        <f t="shared" si="17"/>
        <v>0</v>
      </c>
    </row>
    <row r="125" spans="2:23" x14ac:dyDescent="0.2">
      <c r="B125" t="s">
        <v>8</v>
      </c>
      <c r="C125" t="s">
        <v>15</v>
      </c>
      <c r="D125" s="55">
        <v>101.91666666666666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493.93860999999998</v>
      </c>
      <c r="W125" s="51">
        <f t="shared" si="17"/>
        <v>50340.576669166658</v>
      </c>
    </row>
    <row r="126" spans="2:23" x14ac:dyDescent="0.2">
      <c r="B126" t="s">
        <v>8</v>
      </c>
      <c r="C126" t="s">
        <v>19</v>
      </c>
      <c r="D126" s="55">
        <v>133.58333333333334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51">
        <f t="shared" si="17"/>
        <v>0</v>
      </c>
    </row>
    <row r="127" spans="2:23" x14ac:dyDescent="0.2">
      <c r="B127" t="s">
        <v>8</v>
      </c>
      <c r="C127" t="s">
        <v>18</v>
      </c>
      <c r="D127" s="55">
        <v>115.25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51">
        <f t="shared" si="17"/>
        <v>0</v>
      </c>
    </row>
    <row r="128" spans="2:23" x14ac:dyDescent="0.2">
      <c r="B128" t="s">
        <v>8</v>
      </c>
      <c r="C128" t="s">
        <v>22</v>
      </c>
      <c r="D128" s="55">
        <v>68.583333333333329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854.07282999999995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51">
        <f t="shared" si="17"/>
        <v>58575.161590833326</v>
      </c>
    </row>
    <row r="129" spans="1:23" x14ac:dyDescent="0.2">
      <c r="B129" t="s">
        <v>8</v>
      </c>
      <c r="C129" t="s">
        <v>13</v>
      </c>
      <c r="D129" s="55">
        <v>86.916666666666657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145.92716999999999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51">
        <f t="shared" si="17"/>
        <v>12683.503192499998</v>
      </c>
    </row>
    <row r="130" spans="1:23" x14ac:dyDescent="0.2">
      <c r="B130" t="s">
        <v>8</v>
      </c>
      <c r="C130" t="s">
        <v>20</v>
      </c>
      <c r="D130" s="55">
        <v>78.583333333333329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51">
        <f t="shared" si="17"/>
        <v>0</v>
      </c>
    </row>
    <row r="134" spans="1:23" x14ac:dyDescent="0.2">
      <c r="A134" s="70" t="s">
        <v>103</v>
      </c>
      <c r="B134" s="3"/>
      <c r="C134" s="3"/>
      <c r="D134" s="3"/>
      <c r="E134" s="3"/>
      <c r="F134" s="3"/>
    </row>
    <row r="135" spans="1:23" x14ac:dyDescent="0.2">
      <c r="A135" t="s">
        <v>24</v>
      </c>
      <c r="B135" t="s">
        <v>25</v>
      </c>
      <c r="C135" t="s">
        <v>26</v>
      </c>
      <c r="D135" s="30" t="s">
        <v>76</v>
      </c>
      <c r="E135" s="68" t="s">
        <v>83</v>
      </c>
      <c r="F135" s="68" t="s">
        <v>84</v>
      </c>
      <c r="G135" s="68" t="s">
        <v>85</v>
      </c>
      <c r="H135" s="68" t="s">
        <v>86</v>
      </c>
      <c r="I135" s="68" t="s">
        <v>87</v>
      </c>
      <c r="J135" s="68" t="s">
        <v>88</v>
      </c>
      <c r="K135" s="68" t="s">
        <v>89</v>
      </c>
      <c r="L135" s="68" t="s">
        <v>90</v>
      </c>
      <c r="M135" s="68" t="s">
        <v>91</v>
      </c>
      <c r="N135" s="68" t="s">
        <v>92</v>
      </c>
      <c r="O135" s="68" t="s">
        <v>94</v>
      </c>
      <c r="P135" s="68" t="s">
        <v>95</v>
      </c>
      <c r="Q135" s="68" t="s">
        <v>93</v>
      </c>
      <c r="R135" s="68" t="s">
        <v>96</v>
      </c>
      <c r="S135" s="68" t="s">
        <v>97</v>
      </c>
      <c r="T135" s="68" t="s">
        <v>98</v>
      </c>
      <c r="U135" s="68" t="s">
        <v>99</v>
      </c>
      <c r="V135" s="68" t="s">
        <v>100</v>
      </c>
      <c r="W135" s="50" t="s">
        <v>69</v>
      </c>
    </row>
    <row r="136" spans="1:23" x14ac:dyDescent="0.2">
      <c r="A136" t="s">
        <v>27</v>
      </c>
      <c r="B136" t="s">
        <v>20</v>
      </c>
      <c r="C136" t="s">
        <v>21</v>
      </c>
      <c r="D136" s="54">
        <v>8.3333333333333339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31">
        <f>D136*SUM(E136:V136)</f>
        <v>0</v>
      </c>
    </row>
    <row r="137" spans="1:23" x14ac:dyDescent="0.2">
      <c r="A137" t="s">
        <v>27</v>
      </c>
      <c r="B137" t="s">
        <v>21</v>
      </c>
      <c r="C137" t="s">
        <v>21</v>
      </c>
      <c r="D137" s="56">
        <v>0</v>
      </c>
      <c r="E137" s="64">
        <v>46.777500000000003</v>
      </c>
      <c r="F137" s="64">
        <v>69.241331000000002</v>
      </c>
      <c r="G137" s="64">
        <v>100.65667999999999</v>
      </c>
      <c r="H137" s="64">
        <v>161.76509999999999</v>
      </c>
      <c r="I137" s="64">
        <v>140.97037</v>
      </c>
      <c r="J137" s="64">
        <v>137.43017</v>
      </c>
      <c r="K137" s="64">
        <v>212.85889</v>
      </c>
      <c r="L137" s="64">
        <v>213.24161000000001</v>
      </c>
      <c r="M137" s="64">
        <v>90.004163000000005</v>
      </c>
      <c r="N137" s="64">
        <v>48.287137999999999</v>
      </c>
      <c r="O137" s="64">
        <v>48.287137999999999</v>
      </c>
      <c r="P137" s="64">
        <v>38.629710000000003</v>
      </c>
      <c r="Q137" s="64">
        <v>70.166250000000005</v>
      </c>
      <c r="R137" s="64">
        <v>103.86199999999999</v>
      </c>
      <c r="S137" s="64">
        <v>150.98500999999999</v>
      </c>
      <c r="T137" s="64">
        <v>242.64765</v>
      </c>
      <c r="U137" s="64">
        <v>211.45555999999999</v>
      </c>
      <c r="V137" s="64">
        <v>206.14525</v>
      </c>
      <c r="W137" s="31">
        <f t="shared" ref="W137:W189" si="22">D137*SUM(E137:V137)</f>
        <v>0</v>
      </c>
    </row>
    <row r="138" spans="1:23" x14ac:dyDescent="0.2">
      <c r="A138" t="s">
        <v>27</v>
      </c>
      <c r="B138" t="s">
        <v>10</v>
      </c>
      <c r="C138" t="s">
        <v>10</v>
      </c>
      <c r="D138" s="56">
        <v>0</v>
      </c>
      <c r="E138" s="64">
        <v>3.78</v>
      </c>
      <c r="F138" s="64">
        <v>3.78</v>
      </c>
      <c r="G138" s="64">
        <v>5.67</v>
      </c>
      <c r="H138" s="64">
        <v>2.835</v>
      </c>
      <c r="I138" s="64">
        <v>4.7249999999999996</v>
      </c>
      <c r="J138" s="64">
        <v>5.67</v>
      </c>
      <c r="K138" s="64">
        <v>9.4499999999999993</v>
      </c>
      <c r="L138" s="64">
        <v>14.175000000000001</v>
      </c>
      <c r="M138" s="64">
        <v>14.175000000000001</v>
      </c>
      <c r="N138" s="64">
        <v>11.34</v>
      </c>
      <c r="O138" s="64">
        <v>7.56</v>
      </c>
      <c r="P138" s="64">
        <v>7.56</v>
      </c>
      <c r="Q138" s="64">
        <v>6.6150000000000002</v>
      </c>
      <c r="R138" s="64">
        <v>5.67</v>
      </c>
      <c r="S138" s="64">
        <v>3.78</v>
      </c>
      <c r="T138" s="64">
        <v>2.835</v>
      </c>
      <c r="U138" s="64">
        <v>1.89</v>
      </c>
      <c r="V138" s="64">
        <v>1.89</v>
      </c>
      <c r="W138" s="31">
        <f t="shared" si="22"/>
        <v>0</v>
      </c>
    </row>
    <row r="139" spans="1:23" x14ac:dyDescent="0.2">
      <c r="A139" t="s">
        <v>27</v>
      </c>
      <c r="B139" t="s">
        <v>23</v>
      </c>
      <c r="C139" t="s">
        <v>23</v>
      </c>
      <c r="D139" s="56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31">
        <f t="shared" si="22"/>
        <v>0</v>
      </c>
    </row>
    <row r="140" spans="1:23" x14ac:dyDescent="0.2">
      <c r="A140" t="s">
        <v>27</v>
      </c>
      <c r="B140" t="s">
        <v>14</v>
      </c>
      <c r="C140" t="s">
        <v>14</v>
      </c>
      <c r="D140" s="56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31">
        <f t="shared" si="22"/>
        <v>0</v>
      </c>
    </row>
    <row r="141" spans="1:23" x14ac:dyDescent="0.2">
      <c r="A141" t="s">
        <v>27</v>
      </c>
      <c r="B141" t="s">
        <v>20</v>
      </c>
      <c r="C141" t="s">
        <v>11</v>
      </c>
      <c r="D141" s="54">
        <v>38.333333333333336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31">
        <f t="shared" si="22"/>
        <v>0</v>
      </c>
    </row>
    <row r="142" spans="1:23" x14ac:dyDescent="0.2">
      <c r="A142" t="s">
        <v>27</v>
      </c>
      <c r="B142" t="s">
        <v>11</v>
      </c>
      <c r="C142" t="s">
        <v>11</v>
      </c>
      <c r="D142" s="56">
        <v>0</v>
      </c>
      <c r="E142" s="64">
        <v>45.36</v>
      </c>
      <c r="F142" s="64">
        <v>77.422077999999999</v>
      </c>
      <c r="G142" s="64">
        <v>95.378259</v>
      </c>
      <c r="H142" s="64">
        <v>147.85942</v>
      </c>
      <c r="I142" s="64">
        <v>185.82893000000001</v>
      </c>
      <c r="J142" s="64">
        <v>186.69006999999999</v>
      </c>
      <c r="K142" s="64">
        <v>152.65942999999999</v>
      </c>
      <c r="L142" s="64">
        <v>148.73650000000001</v>
      </c>
      <c r="M142" s="64">
        <v>90.323099999999997</v>
      </c>
      <c r="N142" s="64">
        <v>50.982159000000003</v>
      </c>
      <c r="O142" s="64">
        <v>50.982159000000003</v>
      </c>
      <c r="P142" s="64">
        <v>40.785727999999999</v>
      </c>
      <c r="Q142" s="64">
        <v>68.040000000000006</v>
      </c>
      <c r="R142" s="64">
        <v>116.13312000000001</v>
      </c>
      <c r="S142" s="64">
        <v>143.06738999999999</v>
      </c>
      <c r="T142" s="64">
        <v>221.78914</v>
      </c>
      <c r="U142" s="64">
        <v>278.74340000000001</v>
      </c>
      <c r="V142" s="64">
        <v>280.0351</v>
      </c>
      <c r="W142" s="31">
        <f t="shared" si="22"/>
        <v>0</v>
      </c>
    </row>
    <row r="143" spans="1:23" x14ac:dyDescent="0.2">
      <c r="A143" t="s">
        <v>27</v>
      </c>
      <c r="B143" t="s">
        <v>23</v>
      </c>
      <c r="C143" t="s">
        <v>15</v>
      </c>
      <c r="D143" s="54">
        <v>33.333333333333336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31">
        <f t="shared" si="22"/>
        <v>0</v>
      </c>
    </row>
    <row r="144" spans="1:23" x14ac:dyDescent="0.2">
      <c r="A144" t="s">
        <v>27</v>
      </c>
      <c r="B144" t="s">
        <v>22</v>
      </c>
      <c r="C144" t="s">
        <v>15</v>
      </c>
      <c r="D144" s="54">
        <v>38.333333333333336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31">
        <f t="shared" si="22"/>
        <v>0</v>
      </c>
    </row>
    <row r="145" spans="1:23" x14ac:dyDescent="0.2">
      <c r="A145" t="s">
        <v>27</v>
      </c>
      <c r="B145" t="s">
        <v>20</v>
      </c>
      <c r="C145" t="s">
        <v>15</v>
      </c>
      <c r="D145" s="54">
        <v>31.666666666666664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31">
        <f t="shared" si="22"/>
        <v>0</v>
      </c>
    </row>
    <row r="146" spans="1:23" x14ac:dyDescent="0.2">
      <c r="A146" t="s">
        <v>27</v>
      </c>
      <c r="B146" t="s">
        <v>15</v>
      </c>
      <c r="C146" t="s">
        <v>15</v>
      </c>
      <c r="D146" s="56">
        <v>0</v>
      </c>
      <c r="E146" s="64">
        <v>50.557499999999997</v>
      </c>
      <c r="F146" s="64">
        <v>128.48220000000001</v>
      </c>
      <c r="G146" s="64">
        <v>177.1875</v>
      </c>
      <c r="H146" s="64">
        <v>253.8837</v>
      </c>
      <c r="I146" s="64">
        <v>362.78550000000001</v>
      </c>
      <c r="J146" s="64">
        <v>398.73329999999999</v>
      </c>
      <c r="K146" s="64">
        <v>433.39589999999998</v>
      </c>
      <c r="L146" s="64">
        <v>329.10570000000001</v>
      </c>
      <c r="M146" s="64">
        <v>152.0694</v>
      </c>
      <c r="N146" s="64">
        <v>77.565600000000003</v>
      </c>
      <c r="O146" s="64">
        <v>77.565600000000003</v>
      </c>
      <c r="P146" s="64">
        <v>62.052480000000003</v>
      </c>
      <c r="Q146" s="64">
        <v>75.836250000000007</v>
      </c>
      <c r="R146" s="64">
        <v>192.72329999999999</v>
      </c>
      <c r="S146" s="64">
        <v>265.78125</v>
      </c>
      <c r="T146" s="64">
        <v>380.82555000000002</v>
      </c>
      <c r="U146" s="64">
        <v>544.17825000000005</v>
      </c>
      <c r="V146" s="64">
        <v>598.09995000000004</v>
      </c>
      <c r="W146" s="31">
        <f t="shared" si="22"/>
        <v>0</v>
      </c>
    </row>
    <row r="147" spans="1:23" x14ac:dyDescent="0.2">
      <c r="A147" t="s">
        <v>27</v>
      </c>
      <c r="B147" t="s">
        <v>12</v>
      </c>
      <c r="C147" t="s">
        <v>12</v>
      </c>
      <c r="D147" s="56">
        <v>0</v>
      </c>
      <c r="E147" s="64">
        <v>3.3075000000000001</v>
      </c>
      <c r="F147" s="64">
        <v>8.1081000000000003</v>
      </c>
      <c r="G147" s="64">
        <v>18.106200000000001</v>
      </c>
      <c r="H147" s="64">
        <v>17.964449999999999</v>
      </c>
      <c r="I147" s="64">
        <v>22.387049999999999</v>
      </c>
      <c r="J147" s="64">
        <v>26.838000000000001</v>
      </c>
      <c r="K147" s="64">
        <v>31.66695</v>
      </c>
      <c r="L147" s="64">
        <v>41.287050000000001</v>
      </c>
      <c r="M147" s="64">
        <v>17.794350000000001</v>
      </c>
      <c r="N147" s="64">
        <v>11.916449999999999</v>
      </c>
      <c r="O147" s="64">
        <v>11.916449999999999</v>
      </c>
      <c r="P147" s="64">
        <v>9.5331600000000005</v>
      </c>
      <c r="Q147" s="64">
        <v>4.9612499999999997</v>
      </c>
      <c r="R147" s="64">
        <v>12.16215</v>
      </c>
      <c r="S147" s="64">
        <v>27.159300000000002</v>
      </c>
      <c r="T147" s="64">
        <v>26.946674999999999</v>
      </c>
      <c r="U147" s="64">
        <v>33.580575000000003</v>
      </c>
      <c r="V147" s="64">
        <v>40.256999999999998</v>
      </c>
      <c r="W147" s="31">
        <f t="shared" si="22"/>
        <v>0</v>
      </c>
    </row>
    <row r="148" spans="1:23" x14ac:dyDescent="0.2">
      <c r="A148" t="s">
        <v>27</v>
      </c>
      <c r="B148" t="s">
        <v>19</v>
      </c>
      <c r="C148" t="s">
        <v>19</v>
      </c>
      <c r="D148" s="56">
        <v>0</v>
      </c>
      <c r="E148" s="64">
        <v>4.8194999999999997</v>
      </c>
      <c r="F148" s="64">
        <v>5.3751600000000002</v>
      </c>
      <c r="G148" s="64">
        <v>4.2354900000000004</v>
      </c>
      <c r="H148" s="64">
        <v>5.4687150000000004</v>
      </c>
      <c r="I148" s="64">
        <v>7.7650649999999999</v>
      </c>
      <c r="J148" s="64">
        <v>9.3725100000000001</v>
      </c>
      <c r="K148" s="64">
        <v>8.1137700000000006</v>
      </c>
      <c r="L148" s="64">
        <v>14.47551</v>
      </c>
      <c r="M148" s="64">
        <v>13.608000000000001</v>
      </c>
      <c r="N148" s="64">
        <v>9.2789549999999998</v>
      </c>
      <c r="O148" s="64">
        <v>9.2789549999999998</v>
      </c>
      <c r="P148" s="64">
        <v>7.4231639999999999</v>
      </c>
      <c r="Q148" s="64">
        <v>7.2292500000000004</v>
      </c>
      <c r="R148" s="64">
        <v>8.0627399999999998</v>
      </c>
      <c r="S148" s="64">
        <v>6.3532349999999997</v>
      </c>
      <c r="T148" s="64">
        <v>8.2030724999999993</v>
      </c>
      <c r="U148" s="64">
        <v>11.647596999999999</v>
      </c>
      <c r="V148" s="64">
        <v>14.058764999999999</v>
      </c>
      <c r="W148" s="31">
        <f t="shared" si="22"/>
        <v>0</v>
      </c>
    </row>
    <row r="149" spans="1:23" x14ac:dyDescent="0.2">
      <c r="A149" t="s">
        <v>27</v>
      </c>
      <c r="B149" t="s">
        <v>22</v>
      </c>
      <c r="C149" t="s">
        <v>16</v>
      </c>
      <c r="D149" s="53">
        <v>35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31">
        <f t="shared" si="22"/>
        <v>0</v>
      </c>
    </row>
    <row r="150" spans="1:23" x14ac:dyDescent="0.2">
      <c r="A150" t="s">
        <v>27</v>
      </c>
      <c r="B150" t="s">
        <v>20</v>
      </c>
      <c r="C150" t="s">
        <v>16</v>
      </c>
      <c r="D150" s="53">
        <v>33.333333333333336</v>
      </c>
      <c r="E150" s="64">
        <v>16.632000000000001</v>
      </c>
      <c r="F150" s="64">
        <v>109.0341</v>
      </c>
      <c r="G150" s="64">
        <v>208.18539000000001</v>
      </c>
      <c r="H150" s="64">
        <v>318.66534000000001</v>
      </c>
      <c r="I150" s="64">
        <v>375.37668000000002</v>
      </c>
      <c r="J150" s="64">
        <v>310.70465999999999</v>
      </c>
      <c r="K150" s="64">
        <v>294.05187000000001</v>
      </c>
      <c r="L150" s="64">
        <v>246.33882</v>
      </c>
      <c r="M150" s="64">
        <v>112.36806</v>
      </c>
      <c r="N150" s="64">
        <v>64.706040000000002</v>
      </c>
      <c r="O150" s="64">
        <v>64.706040000000002</v>
      </c>
      <c r="P150" s="64">
        <v>51.764831999999998</v>
      </c>
      <c r="Q150" s="64">
        <v>24.948</v>
      </c>
      <c r="R150" s="64">
        <v>163.55115000000001</v>
      </c>
      <c r="S150" s="64">
        <v>312.27807999999999</v>
      </c>
      <c r="T150" s="64">
        <v>477.99801000000002</v>
      </c>
      <c r="U150" s="64">
        <v>563.06502</v>
      </c>
      <c r="V150" s="64">
        <v>466.05698999999998</v>
      </c>
      <c r="W150" s="31">
        <f t="shared" si="22"/>
        <v>139347.70273333334</v>
      </c>
    </row>
    <row r="151" spans="1:23" x14ac:dyDescent="0.2">
      <c r="A151" t="s">
        <v>27</v>
      </c>
      <c r="B151" t="s">
        <v>16</v>
      </c>
      <c r="C151" t="s">
        <v>16</v>
      </c>
      <c r="D151" s="57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31">
        <f t="shared" si="22"/>
        <v>0</v>
      </c>
    </row>
    <row r="152" spans="1:23" x14ac:dyDescent="0.2">
      <c r="A152" t="s">
        <v>27</v>
      </c>
      <c r="B152" t="s">
        <v>23</v>
      </c>
      <c r="C152" t="s">
        <v>17</v>
      </c>
      <c r="D152" s="53">
        <v>33.333333333333336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31">
        <f t="shared" si="22"/>
        <v>0</v>
      </c>
    </row>
    <row r="153" spans="1:23" x14ac:dyDescent="0.2">
      <c r="A153" t="s">
        <v>27</v>
      </c>
      <c r="B153" t="s">
        <v>20</v>
      </c>
      <c r="C153" t="s">
        <v>17</v>
      </c>
      <c r="D153" s="53">
        <v>31.666666666666664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31">
        <f t="shared" si="22"/>
        <v>0</v>
      </c>
    </row>
    <row r="154" spans="1:23" x14ac:dyDescent="0.2">
      <c r="A154" t="s">
        <v>27</v>
      </c>
      <c r="B154" t="s">
        <v>17</v>
      </c>
      <c r="C154" t="s">
        <v>17</v>
      </c>
      <c r="D154" s="57">
        <v>0</v>
      </c>
      <c r="E154" s="64">
        <v>12.474</v>
      </c>
      <c r="F154" s="64">
        <v>40.652481999999999</v>
      </c>
      <c r="G154" s="64">
        <v>62.333145000000002</v>
      </c>
      <c r="H154" s="64">
        <v>78.735038000000003</v>
      </c>
      <c r="I154" s="64">
        <v>151.88371000000001</v>
      </c>
      <c r="J154" s="64">
        <v>168.91072</v>
      </c>
      <c r="K154" s="64">
        <v>201.13900000000001</v>
      </c>
      <c r="L154" s="64">
        <v>121.18349000000001</v>
      </c>
      <c r="M154" s="64">
        <v>60.20973</v>
      </c>
      <c r="N154" s="64">
        <v>41.853104999999999</v>
      </c>
      <c r="O154" s="64">
        <v>41.853104999999999</v>
      </c>
      <c r="P154" s="64">
        <v>33.482483999999999</v>
      </c>
      <c r="Q154" s="64">
        <v>18.710999999999999</v>
      </c>
      <c r="R154" s="64">
        <v>60.978724</v>
      </c>
      <c r="S154" s="64">
        <v>93.499718000000001</v>
      </c>
      <c r="T154" s="64">
        <v>118.10256</v>
      </c>
      <c r="U154" s="64">
        <v>227.82556</v>
      </c>
      <c r="V154" s="64">
        <v>253.36608000000001</v>
      </c>
      <c r="W154" s="31">
        <f t="shared" si="22"/>
        <v>0</v>
      </c>
    </row>
    <row r="155" spans="1:23" x14ac:dyDescent="0.2">
      <c r="A155" t="s">
        <v>27</v>
      </c>
      <c r="B155" t="s">
        <v>22</v>
      </c>
      <c r="C155" t="s">
        <v>18</v>
      </c>
      <c r="D155" s="53">
        <v>30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31">
        <f t="shared" si="22"/>
        <v>0</v>
      </c>
    </row>
    <row r="156" spans="1:23" x14ac:dyDescent="0.2">
      <c r="A156" t="s">
        <v>27</v>
      </c>
      <c r="B156" t="s">
        <v>20</v>
      </c>
      <c r="C156" t="s">
        <v>18</v>
      </c>
      <c r="D156" s="53">
        <v>35</v>
      </c>
      <c r="E156" s="64">
        <v>48.195</v>
      </c>
      <c r="F156" s="64">
        <v>117.8793</v>
      </c>
      <c r="G156" s="64">
        <v>206.74804</v>
      </c>
      <c r="H156" s="64">
        <v>219.94702000000001</v>
      </c>
      <c r="I156" s="64">
        <v>0</v>
      </c>
      <c r="J156" s="64">
        <v>367.03327999999999</v>
      </c>
      <c r="K156" s="64">
        <v>0</v>
      </c>
      <c r="L156" s="64">
        <v>312.48221000000001</v>
      </c>
      <c r="M156" s="64">
        <v>155.02914000000001</v>
      </c>
      <c r="N156" s="64">
        <v>255.27758</v>
      </c>
      <c r="O156" s="64">
        <v>141.75</v>
      </c>
      <c r="P156" s="64">
        <v>113.4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31">
        <f t="shared" si="22"/>
        <v>67820.954949999999</v>
      </c>
    </row>
    <row r="157" spans="1:23" x14ac:dyDescent="0.2">
      <c r="A157" t="s">
        <v>27</v>
      </c>
      <c r="B157" t="s">
        <v>18</v>
      </c>
      <c r="C157" t="s">
        <v>18</v>
      </c>
      <c r="D157" s="58">
        <v>0</v>
      </c>
      <c r="E157" s="64">
        <v>0</v>
      </c>
      <c r="F157" s="64">
        <v>0</v>
      </c>
      <c r="G157" s="64">
        <v>0</v>
      </c>
      <c r="H157" s="64">
        <v>155.32759999999999</v>
      </c>
      <c r="I157" s="64">
        <v>436.25547</v>
      </c>
      <c r="J157" s="64">
        <v>0</v>
      </c>
      <c r="K157" s="64">
        <v>332.99626000000001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72.292500000000004</v>
      </c>
      <c r="R157" s="64">
        <v>176.81895</v>
      </c>
      <c r="S157" s="64">
        <v>310.12207000000001</v>
      </c>
      <c r="T157" s="64">
        <v>562.91192999999998</v>
      </c>
      <c r="U157" s="64">
        <v>654.38319999999999</v>
      </c>
      <c r="V157" s="64">
        <v>550.54990999999995</v>
      </c>
      <c r="W157" s="31">
        <f t="shared" si="22"/>
        <v>0</v>
      </c>
    </row>
    <row r="158" spans="1:23" x14ac:dyDescent="0.2">
      <c r="A158" t="s">
        <v>27</v>
      </c>
      <c r="B158" t="s">
        <v>22</v>
      </c>
      <c r="C158" t="s">
        <v>22</v>
      </c>
      <c r="D158" s="58">
        <v>0</v>
      </c>
      <c r="E158" s="64">
        <v>14.175000000000001</v>
      </c>
      <c r="F158" s="64">
        <v>32.939864999999998</v>
      </c>
      <c r="G158" s="64">
        <v>0</v>
      </c>
      <c r="H158" s="64">
        <v>104.50944</v>
      </c>
      <c r="I158" s="64">
        <v>89.812799999999996</v>
      </c>
      <c r="J158" s="64">
        <v>93.257324999999994</v>
      </c>
      <c r="K158" s="64">
        <v>105.75968</v>
      </c>
      <c r="L158" s="64">
        <v>63.991619999999998</v>
      </c>
      <c r="M158" s="64">
        <v>34.674885000000003</v>
      </c>
      <c r="N158" s="64">
        <v>27.250019999999999</v>
      </c>
      <c r="O158" s="64">
        <v>27.250019999999999</v>
      </c>
      <c r="P158" s="64">
        <v>21.800015999999999</v>
      </c>
      <c r="Q158" s="64">
        <v>21.262499999999999</v>
      </c>
      <c r="R158" s="64">
        <v>0</v>
      </c>
      <c r="S158" s="64">
        <v>0</v>
      </c>
      <c r="T158" s="64">
        <v>0</v>
      </c>
      <c r="U158" s="64">
        <v>134.7192</v>
      </c>
      <c r="V158" s="64">
        <v>139.88598999999999</v>
      </c>
      <c r="W158" s="31">
        <f t="shared" si="22"/>
        <v>0</v>
      </c>
    </row>
    <row r="159" spans="1:23" x14ac:dyDescent="0.2">
      <c r="A159" t="s">
        <v>27</v>
      </c>
      <c r="B159" t="s">
        <v>23</v>
      </c>
      <c r="C159" t="s">
        <v>13</v>
      </c>
      <c r="D159" s="53">
        <v>33.333333333333336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31">
        <f t="shared" si="22"/>
        <v>0</v>
      </c>
    </row>
    <row r="160" spans="1:23" x14ac:dyDescent="0.2">
      <c r="A160" t="s">
        <v>27</v>
      </c>
      <c r="B160" t="s">
        <v>20</v>
      </c>
      <c r="C160" t="s">
        <v>13</v>
      </c>
      <c r="D160" s="53">
        <v>31.666666666666664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31">
        <f t="shared" si="22"/>
        <v>0</v>
      </c>
    </row>
    <row r="161" spans="1:23" x14ac:dyDescent="0.2">
      <c r="A161" t="s">
        <v>27</v>
      </c>
      <c r="B161" t="s">
        <v>13</v>
      </c>
      <c r="C161" t="s">
        <v>13</v>
      </c>
      <c r="D161" s="58">
        <v>0</v>
      </c>
      <c r="E161" s="64">
        <v>5.67</v>
      </c>
      <c r="F161" s="64">
        <v>52.152659999999997</v>
      </c>
      <c r="G161" s="64">
        <v>76.862520000000004</v>
      </c>
      <c r="H161" s="64">
        <v>97.127099999999999</v>
      </c>
      <c r="I161" s="64">
        <v>154.68894</v>
      </c>
      <c r="J161" s="64">
        <v>180.68021999999999</v>
      </c>
      <c r="K161" s="64">
        <v>203.21279999999999</v>
      </c>
      <c r="L161" s="64">
        <v>150.49314000000001</v>
      </c>
      <c r="M161" s="64">
        <v>63.82152</v>
      </c>
      <c r="N161" s="64">
        <v>40.687919999999998</v>
      </c>
      <c r="O161" s="64">
        <v>40.687919999999998</v>
      </c>
      <c r="P161" s="64">
        <v>32.550336000000001</v>
      </c>
      <c r="Q161" s="64">
        <v>8.5050000000000008</v>
      </c>
      <c r="R161" s="64">
        <v>78.228989999999996</v>
      </c>
      <c r="S161" s="64">
        <v>115.29378</v>
      </c>
      <c r="T161" s="64">
        <v>145.69065000000001</v>
      </c>
      <c r="U161" s="64">
        <v>232.03341</v>
      </c>
      <c r="V161" s="64">
        <v>271.02033</v>
      </c>
      <c r="W161" s="31">
        <f t="shared" si="22"/>
        <v>0</v>
      </c>
    </row>
    <row r="162" spans="1:23" x14ac:dyDescent="0.2">
      <c r="A162" t="s">
        <v>27</v>
      </c>
      <c r="B162" t="s">
        <v>20</v>
      </c>
      <c r="C162" t="s">
        <v>20</v>
      </c>
      <c r="D162" s="57">
        <v>0</v>
      </c>
      <c r="E162" s="64">
        <v>10.8675</v>
      </c>
      <c r="F162" s="64">
        <v>21.4893</v>
      </c>
      <c r="G162" s="64">
        <v>25.103925</v>
      </c>
      <c r="H162" s="64">
        <v>39.888449999999999</v>
      </c>
      <c r="I162" s="64">
        <v>63.872549999999997</v>
      </c>
      <c r="J162" s="64">
        <v>77.211224999999999</v>
      </c>
      <c r="K162" s="64">
        <v>81.690524999999994</v>
      </c>
      <c r="L162" s="64">
        <v>60.371324999999999</v>
      </c>
      <c r="M162" s="64">
        <v>37.833075000000001</v>
      </c>
      <c r="N162" s="64">
        <v>24.905474999999999</v>
      </c>
      <c r="O162" s="64">
        <v>24.905474999999999</v>
      </c>
      <c r="P162" s="64">
        <v>19.924379999999999</v>
      </c>
      <c r="Q162" s="64">
        <v>16.30125</v>
      </c>
      <c r="R162" s="64">
        <v>32.23395</v>
      </c>
      <c r="S162" s="64">
        <v>37.655887</v>
      </c>
      <c r="T162" s="64">
        <v>59.832675000000002</v>
      </c>
      <c r="U162" s="64">
        <v>95.808824999999999</v>
      </c>
      <c r="V162" s="64">
        <v>115.81684</v>
      </c>
      <c r="W162" s="31">
        <f t="shared" si="22"/>
        <v>0</v>
      </c>
    </row>
    <row r="163" spans="1:23" x14ac:dyDescent="0.2">
      <c r="A163" t="s">
        <v>28</v>
      </c>
      <c r="B163" t="s">
        <v>20</v>
      </c>
      <c r="C163" t="s">
        <v>21</v>
      </c>
      <c r="D163" s="54">
        <v>8.3333333333333339</v>
      </c>
      <c r="E163" s="64">
        <v>140.33250000000001</v>
      </c>
      <c r="F163" s="64">
        <v>207.72398999999999</v>
      </c>
      <c r="G163" s="64">
        <v>301.97003000000001</v>
      </c>
      <c r="H163" s="64">
        <v>485.2953</v>
      </c>
      <c r="I163" s="64">
        <v>89.669045999999994</v>
      </c>
      <c r="J163" s="64">
        <v>0</v>
      </c>
      <c r="K163" s="64">
        <v>0</v>
      </c>
      <c r="L163" s="64">
        <v>0</v>
      </c>
      <c r="M163" s="64">
        <v>101.9319</v>
      </c>
      <c r="N163" s="64">
        <v>144.86141000000001</v>
      </c>
      <c r="O163" s="64">
        <v>144.86141000000001</v>
      </c>
      <c r="P163" s="64">
        <v>115.88912999999999</v>
      </c>
      <c r="Q163" s="64">
        <v>210.49875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31">
        <f t="shared" si="22"/>
        <v>16191.945550000002</v>
      </c>
    </row>
    <row r="164" spans="1:23" x14ac:dyDescent="0.2">
      <c r="A164" t="s">
        <v>28</v>
      </c>
      <c r="B164" t="s">
        <v>21</v>
      </c>
      <c r="C164" t="s">
        <v>21</v>
      </c>
      <c r="D164" s="56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333.24207999999999</v>
      </c>
      <c r="J164" s="64">
        <v>412.29050999999998</v>
      </c>
      <c r="K164" s="64">
        <v>638.57665999999995</v>
      </c>
      <c r="L164" s="64">
        <v>639.72483999999997</v>
      </c>
      <c r="M164" s="64">
        <v>168.08058</v>
      </c>
      <c r="N164" s="64">
        <v>0</v>
      </c>
      <c r="O164" s="64">
        <v>0</v>
      </c>
      <c r="P164" s="64">
        <v>0</v>
      </c>
      <c r="Q164" s="64">
        <v>0</v>
      </c>
      <c r="R164" s="64">
        <v>311.58598999999998</v>
      </c>
      <c r="S164" s="64">
        <v>452.95504</v>
      </c>
      <c r="T164" s="64">
        <v>727.94295</v>
      </c>
      <c r="U164" s="64">
        <v>634.36668999999995</v>
      </c>
      <c r="V164" s="64">
        <v>618.43575999999996</v>
      </c>
      <c r="W164" s="31">
        <f t="shared" si="22"/>
        <v>0</v>
      </c>
    </row>
    <row r="165" spans="1:23" x14ac:dyDescent="0.2">
      <c r="A165" t="s">
        <v>28</v>
      </c>
      <c r="B165" t="s">
        <v>10</v>
      </c>
      <c r="C165" t="s">
        <v>10</v>
      </c>
      <c r="D165" s="56">
        <v>0</v>
      </c>
      <c r="E165" s="64">
        <v>34.020000000000003</v>
      </c>
      <c r="F165" s="64">
        <v>0</v>
      </c>
      <c r="G165" s="64">
        <v>0</v>
      </c>
      <c r="H165" s="64">
        <v>25.515000000000001</v>
      </c>
      <c r="I165" s="64">
        <v>42.524999999999999</v>
      </c>
      <c r="J165" s="64">
        <v>51.03</v>
      </c>
      <c r="K165" s="64">
        <v>85.05</v>
      </c>
      <c r="L165" s="64">
        <v>127.575</v>
      </c>
      <c r="M165" s="64">
        <v>127.575</v>
      </c>
      <c r="N165" s="64">
        <v>102.06</v>
      </c>
      <c r="O165" s="64">
        <v>68.040000000000006</v>
      </c>
      <c r="P165" s="64">
        <v>68.040000000000006</v>
      </c>
      <c r="Q165" s="64">
        <v>59.534999999999997</v>
      </c>
      <c r="R165" s="64">
        <v>0</v>
      </c>
      <c r="S165" s="64">
        <v>0</v>
      </c>
      <c r="T165" s="64">
        <v>25.515000000000001</v>
      </c>
      <c r="U165" s="64">
        <v>17.010000000000002</v>
      </c>
      <c r="V165" s="64">
        <v>17.010000000000002</v>
      </c>
      <c r="W165" s="31">
        <f t="shared" si="22"/>
        <v>0</v>
      </c>
    </row>
    <row r="166" spans="1:23" x14ac:dyDescent="0.2">
      <c r="A166" t="s">
        <v>28</v>
      </c>
      <c r="B166" t="s">
        <v>23</v>
      </c>
      <c r="C166" t="s">
        <v>23</v>
      </c>
      <c r="D166" s="56">
        <v>0</v>
      </c>
      <c r="E166" s="64">
        <v>69.079499999999996</v>
      </c>
      <c r="F166" s="64">
        <v>173.56626</v>
      </c>
      <c r="G166" s="64">
        <v>251.12808000000001</v>
      </c>
      <c r="H166" s="64">
        <v>357.99245999999999</v>
      </c>
      <c r="I166" s="64">
        <v>548.65188000000001</v>
      </c>
      <c r="J166" s="64">
        <v>738.09036000000003</v>
      </c>
      <c r="K166" s="64">
        <v>610.91981999999996</v>
      </c>
      <c r="L166" s="64">
        <v>456.05322000000001</v>
      </c>
      <c r="M166" s="64">
        <v>220.15476000000001</v>
      </c>
      <c r="N166" s="64">
        <v>126.65646</v>
      </c>
      <c r="O166" s="64">
        <v>126.65646</v>
      </c>
      <c r="P166" s="64">
        <v>101.32517</v>
      </c>
      <c r="Q166" s="64">
        <v>103.61924999999999</v>
      </c>
      <c r="R166" s="64">
        <v>260.34939000000003</v>
      </c>
      <c r="S166" s="64">
        <v>376.69211999999999</v>
      </c>
      <c r="T166" s="64">
        <v>536.98869000000002</v>
      </c>
      <c r="U166" s="64">
        <v>822.97781999999995</v>
      </c>
      <c r="V166" s="64">
        <v>1107.1355000000001</v>
      </c>
      <c r="W166" s="31">
        <f t="shared" si="22"/>
        <v>0</v>
      </c>
    </row>
    <row r="167" spans="1:23" x14ac:dyDescent="0.2">
      <c r="A167" t="s">
        <v>28</v>
      </c>
      <c r="B167" t="s">
        <v>14</v>
      </c>
      <c r="C167" t="s">
        <v>14</v>
      </c>
      <c r="D167" s="56">
        <v>0</v>
      </c>
      <c r="E167" s="64">
        <v>54.243000000000002</v>
      </c>
      <c r="F167" s="64">
        <v>78.533280000000005</v>
      </c>
      <c r="G167" s="64">
        <v>219.56507999999999</v>
      </c>
      <c r="H167" s="64">
        <v>414.57528000000002</v>
      </c>
      <c r="I167" s="64">
        <v>219.30047999999999</v>
      </c>
      <c r="J167" s="64">
        <v>162.51732000000001</v>
      </c>
      <c r="K167" s="64">
        <v>154.15595999999999</v>
      </c>
      <c r="L167" s="64">
        <v>128.11931999999999</v>
      </c>
      <c r="M167" s="64">
        <v>58.238460000000003</v>
      </c>
      <c r="N167" s="64">
        <v>42.441839999999999</v>
      </c>
      <c r="O167" s="64">
        <v>42.441839999999999</v>
      </c>
      <c r="P167" s="64">
        <v>33.953471999999998</v>
      </c>
      <c r="Q167" s="64">
        <v>0</v>
      </c>
      <c r="R167" s="64">
        <v>0</v>
      </c>
      <c r="S167" s="64">
        <v>0</v>
      </c>
      <c r="T167" s="64">
        <v>0</v>
      </c>
      <c r="U167" s="64">
        <v>328.95071999999999</v>
      </c>
      <c r="V167" s="64">
        <v>243.77598</v>
      </c>
      <c r="W167" s="31">
        <f t="shared" si="22"/>
        <v>0</v>
      </c>
    </row>
    <row r="168" spans="1:23" x14ac:dyDescent="0.2">
      <c r="A168" t="s">
        <v>28</v>
      </c>
      <c r="B168" t="s">
        <v>20</v>
      </c>
      <c r="C168" t="s">
        <v>11</v>
      </c>
      <c r="D168" s="54">
        <v>38.333333333333336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31">
        <f t="shared" si="22"/>
        <v>0</v>
      </c>
    </row>
    <row r="169" spans="1:23" x14ac:dyDescent="0.2">
      <c r="A169" t="s">
        <v>28</v>
      </c>
      <c r="B169" t="s">
        <v>11</v>
      </c>
      <c r="C169" t="s">
        <v>11</v>
      </c>
      <c r="D169" s="56">
        <v>0</v>
      </c>
      <c r="E169" s="64">
        <v>257.04000000000002</v>
      </c>
      <c r="F169" s="64">
        <v>438.72510999999997</v>
      </c>
      <c r="G169" s="64">
        <v>540.47680000000003</v>
      </c>
      <c r="H169" s="64">
        <v>837.87008000000003</v>
      </c>
      <c r="I169" s="64">
        <v>1053.0306</v>
      </c>
      <c r="J169" s="64">
        <v>1057.9104</v>
      </c>
      <c r="K169" s="64">
        <v>865.07012999999995</v>
      </c>
      <c r="L169" s="64">
        <v>842.84018000000003</v>
      </c>
      <c r="M169" s="64">
        <v>511.83089999999999</v>
      </c>
      <c r="N169" s="64">
        <v>288.89890000000003</v>
      </c>
      <c r="O169" s="64">
        <v>288.89890000000003</v>
      </c>
      <c r="P169" s="64">
        <v>231.11912000000001</v>
      </c>
      <c r="Q169" s="64">
        <v>385.56</v>
      </c>
      <c r="R169" s="64">
        <v>658.08766000000003</v>
      </c>
      <c r="S169" s="64">
        <v>810.71519999999998</v>
      </c>
      <c r="T169" s="64">
        <v>1256.8051</v>
      </c>
      <c r="U169" s="64">
        <v>1579.5459000000001</v>
      </c>
      <c r="V169" s="64">
        <v>1586.8656000000001</v>
      </c>
      <c r="W169" s="31">
        <f t="shared" si="22"/>
        <v>0</v>
      </c>
    </row>
    <row r="170" spans="1:23" x14ac:dyDescent="0.2">
      <c r="A170" t="s">
        <v>28</v>
      </c>
      <c r="B170" t="s">
        <v>23</v>
      </c>
      <c r="C170" t="s">
        <v>15</v>
      </c>
      <c r="D170" s="54">
        <v>33.333333333333336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31">
        <f t="shared" si="22"/>
        <v>0</v>
      </c>
    </row>
    <row r="171" spans="1:23" x14ac:dyDescent="0.2">
      <c r="A171" t="s">
        <v>28</v>
      </c>
      <c r="B171" t="s">
        <v>22</v>
      </c>
      <c r="C171" t="s">
        <v>15</v>
      </c>
      <c r="D171" s="54">
        <v>38.333333333333336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31">
        <f t="shared" si="22"/>
        <v>0</v>
      </c>
    </row>
    <row r="172" spans="1:23" x14ac:dyDescent="0.2">
      <c r="A172" t="s">
        <v>28</v>
      </c>
      <c r="B172" t="s">
        <v>20</v>
      </c>
      <c r="C172" t="s">
        <v>15</v>
      </c>
      <c r="D172" s="54">
        <v>31.666666666666664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31">
        <f t="shared" si="22"/>
        <v>0</v>
      </c>
    </row>
    <row r="173" spans="1:23" x14ac:dyDescent="0.2">
      <c r="A173" t="s">
        <v>28</v>
      </c>
      <c r="B173" t="s">
        <v>15</v>
      </c>
      <c r="C173" t="s">
        <v>15</v>
      </c>
      <c r="D173" s="56">
        <v>0</v>
      </c>
      <c r="E173" s="64">
        <v>202.23</v>
      </c>
      <c r="F173" s="64">
        <v>513.92880000000002</v>
      </c>
      <c r="G173" s="64">
        <v>708.75</v>
      </c>
      <c r="H173" s="64">
        <v>1015.5348</v>
      </c>
      <c r="I173" s="64">
        <v>814.87453000000005</v>
      </c>
      <c r="J173" s="64">
        <v>1594.9331999999999</v>
      </c>
      <c r="K173" s="64">
        <v>1733.5835999999999</v>
      </c>
      <c r="L173" s="64">
        <v>1316.4228000000001</v>
      </c>
      <c r="M173" s="64">
        <v>608.27760000000001</v>
      </c>
      <c r="N173" s="64">
        <v>310.26240000000001</v>
      </c>
      <c r="O173" s="64">
        <v>310.26240000000001</v>
      </c>
      <c r="P173" s="64">
        <v>248.20992000000001</v>
      </c>
      <c r="Q173" s="64">
        <v>303.34500000000003</v>
      </c>
      <c r="R173" s="64">
        <v>0</v>
      </c>
      <c r="S173" s="64">
        <v>0</v>
      </c>
      <c r="T173" s="64">
        <v>0</v>
      </c>
      <c r="U173" s="64">
        <v>2176.7130000000002</v>
      </c>
      <c r="V173" s="64">
        <v>2392.3998000000001</v>
      </c>
      <c r="W173" s="31">
        <f t="shared" si="22"/>
        <v>0</v>
      </c>
    </row>
    <row r="174" spans="1:23" x14ac:dyDescent="0.2">
      <c r="A174" t="s">
        <v>28</v>
      </c>
      <c r="B174" t="s">
        <v>12</v>
      </c>
      <c r="C174" t="s">
        <v>12</v>
      </c>
      <c r="D174" s="56">
        <v>0</v>
      </c>
      <c r="E174" s="64">
        <v>29.767499999999998</v>
      </c>
      <c r="F174" s="64">
        <v>72.972899999999996</v>
      </c>
      <c r="G174" s="64">
        <v>162.95580000000001</v>
      </c>
      <c r="H174" s="64">
        <v>161.68004999999999</v>
      </c>
      <c r="I174" s="64">
        <v>201.48345</v>
      </c>
      <c r="J174" s="64">
        <v>241.542</v>
      </c>
      <c r="K174" s="64">
        <v>285.00254999999999</v>
      </c>
      <c r="L174" s="64">
        <v>371.58345000000003</v>
      </c>
      <c r="M174" s="64">
        <v>160.14914999999999</v>
      </c>
      <c r="N174" s="64">
        <v>107.24805000000001</v>
      </c>
      <c r="O174" s="64">
        <v>107.24805000000001</v>
      </c>
      <c r="P174" s="64">
        <v>85.798439999999999</v>
      </c>
      <c r="Q174" s="64">
        <v>44.651249999999997</v>
      </c>
      <c r="R174" s="64">
        <v>109.45935</v>
      </c>
      <c r="S174" s="64">
        <v>244.43369999999999</v>
      </c>
      <c r="T174" s="64">
        <v>242.52007</v>
      </c>
      <c r="U174" s="64">
        <v>302.22516999999999</v>
      </c>
      <c r="V174" s="64">
        <v>362.31299999999999</v>
      </c>
      <c r="W174" s="31">
        <f t="shared" si="22"/>
        <v>0</v>
      </c>
    </row>
    <row r="175" spans="1:23" x14ac:dyDescent="0.2">
      <c r="A175" t="s">
        <v>28</v>
      </c>
      <c r="B175" t="s">
        <v>19</v>
      </c>
      <c r="C175" t="s">
        <v>19</v>
      </c>
      <c r="D175" s="56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31">
        <f t="shared" si="22"/>
        <v>0</v>
      </c>
    </row>
    <row r="176" spans="1:23" x14ac:dyDescent="0.2">
      <c r="A176" t="s">
        <v>28</v>
      </c>
      <c r="B176" t="s">
        <v>22</v>
      </c>
      <c r="C176" t="s">
        <v>16</v>
      </c>
      <c r="D176" s="53">
        <v>35</v>
      </c>
      <c r="E176" s="64">
        <v>0</v>
      </c>
      <c r="F176" s="64">
        <v>37.664400000000001</v>
      </c>
      <c r="G176" s="64">
        <v>517.74156000000005</v>
      </c>
      <c r="H176" s="64">
        <v>959.66135999999995</v>
      </c>
      <c r="I176" s="64">
        <v>1186.5066999999999</v>
      </c>
      <c r="J176" s="64">
        <v>927.81863999999996</v>
      </c>
      <c r="K176" s="64">
        <v>861.20748000000003</v>
      </c>
      <c r="L176" s="64">
        <v>470.35527999999999</v>
      </c>
      <c r="M176" s="64">
        <v>134.47224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199.11233999999999</v>
      </c>
      <c r="T176" s="64">
        <v>1236.0476000000001</v>
      </c>
      <c r="U176" s="64">
        <v>702.26008000000002</v>
      </c>
      <c r="V176" s="64">
        <v>614.22796000000005</v>
      </c>
      <c r="W176" s="31">
        <f t="shared" si="22"/>
        <v>274647.64740000002</v>
      </c>
    </row>
    <row r="177" spans="1:23" x14ac:dyDescent="0.2">
      <c r="A177" t="s">
        <v>28</v>
      </c>
      <c r="B177" t="s">
        <v>20</v>
      </c>
      <c r="C177" t="s">
        <v>16</v>
      </c>
      <c r="D177" s="53">
        <v>33.333333333333336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31">
        <f t="shared" si="22"/>
        <v>0</v>
      </c>
    </row>
    <row r="178" spans="1:23" x14ac:dyDescent="0.2">
      <c r="A178" t="s">
        <v>28</v>
      </c>
      <c r="B178" t="s">
        <v>16</v>
      </c>
      <c r="C178" t="s">
        <v>16</v>
      </c>
      <c r="D178" s="57">
        <v>0</v>
      </c>
      <c r="E178" s="64">
        <v>66.528000000000006</v>
      </c>
      <c r="F178" s="64">
        <v>398.47199999999998</v>
      </c>
      <c r="G178" s="64">
        <v>315</v>
      </c>
      <c r="H178" s="64">
        <v>315</v>
      </c>
      <c r="I178" s="64">
        <v>315</v>
      </c>
      <c r="J178" s="64">
        <v>315</v>
      </c>
      <c r="K178" s="64">
        <v>315</v>
      </c>
      <c r="L178" s="64">
        <v>515</v>
      </c>
      <c r="M178" s="64">
        <v>315</v>
      </c>
      <c r="N178" s="64">
        <v>258.82416000000001</v>
      </c>
      <c r="O178" s="64">
        <v>258.82416000000001</v>
      </c>
      <c r="P178" s="64">
        <v>207.05932999999999</v>
      </c>
      <c r="Q178" s="64">
        <v>99.792000000000002</v>
      </c>
      <c r="R178" s="64">
        <v>654.20460000000003</v>
      </c>
      <c r="S178" s="64">
        <v>1050</v>
      </c>
      <c r="T178" s="64">
        <v>550</v>
      </c>
      <c r="U178" s="64">
        <v>1550</v>
      </c>
      <c r="V178" s="64">
        <v>1250</v>
      </c>
      <c r="W178" s="31">
        <f t="shared" si="22"/>
        <v>0</v>
      </c>
    </row>
    <row r="179" spans="1:23" x14ac:dyDescent="0.2">
      <c r="A179" t="s">
        <v>28</v>
      </c>
      <c r="B179" t="s">
        <v>23</v>
      </c>
      <c r="C179" t="s">
        <v>17</v>
      </c>
      <c r="D179" s="53">
        <v>33.333333333333336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31">
        <f t="shared" si="22"/>
        <v>0</v>
      </c>
    </row>
    <row r="180" spans="1:23" x14ac:dyDescent="0.2">
      <c r="A180" t="s">
        <v>28</v>
      </c>
      <c r="B180" t="s">
        <v>20</v>
      </c>
      <c r="C180" t="s">
        <v>17</v>
      </c>
      <c r="D180" s="53">
        <v>31.666666666666664</v>
      </c>
      <c r="E180" s="64">
        <v>70.686000000000007</v>
      </c>
      <c r="F180" s="64">
        <v>230.36407</v>
      </c>
      <c r="G180" s="64">
        <v>353.22116</v>
      </c>
      <c r="H180" s="64">
        <v>446.16521</v>
      </c>
      <c r="I180" s="64">
        <v>860.67434000000003</v>
      </c>
      <c r="J180" s="64">
        <v>957.16072999999994</v>
      </c>
      <c r="K180" s="64">
        <v>1139.7877000000001</v>
      </c>
      <c r="L180" s="64">
        <v>686.70645999999999</v>
      </c>
      <c r="M180" s="64">
        <v>341.18847</v>
      </c>
      <c r="N180" s="64">
        <v>237.16759999999999</v>
      </c>
      <c r="O180" s="64">
        <v>237.16759999999999</v>
      </c>
      <c r="P180" s="64">
        <v>189.73408000000001</v>
      </c>
      <c r="Q180" s="64">
        <v>106.029</v>
      </c>
      <c r="R180" s="64">
        <v>345.54610000000002</v>
      </c>
      <c r="S180" s="64">
        <v>0</v>
      </c>
      <c r="T180" s="64">
        <v>0</v>
      </c>
      <c r="U180" s="64">
        <v>1291.0115000000001</v>
      </c>
      <c r="V180" s="64">
        <v>1435.7411</v>
      </c>
      <c r="W180" s="31">
        <f t="shared" si="22"/>
        <v>282731.11879999994</v>
      </c>
    </row>
    <row r="181" spans="1:23" x14ac:dyDescent="0.2">
      <c r="A181" t="s">
        <v>28</v>
      </c>
      <c r="B181" t="s">
        <v>17</v>
      </c>
      <c r="C181" t="s">
        <v>17</v>
      </c>
      <c r="D181" s="58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31">
        <f t="shared" si="22"/>
        <v>0</v>
      </c>
    </row>
    <row r="182" spans="1:23" x14ac:dyDescent="0.2">
      <c r="A182" t="s">
        <v>28</v>
      </c>
      <c r="B182" t="s">
        <v>22</v>
      </c>
      <c r="C182" t="s">
        <v>18</v>
      </c>
      <c r="D182" s="53">
        <v>30</v>
      </c>
      <c r="E182" s="64">
        <v>112.455</v>
      </c>
      <c r="F182" s="64">
        <v>267.34804000000003</v>
      </c>
      <c r="G182" s="64">
        <v>482.41210000000001</v>
      </c>
      <c r="H182" s="64">
        <v>875.64077999999995</v>
      </c>
      <c r="I182" s="64">
        <v>737.78303000000005</v>
      </c>
      <c r="J182" s="64">
        <v>521.55737999999997</v>
      </c>
      <c r="K182" s="64">
        <v>776.99127999999996</v>
      </c>
      <c r="L182" s="64">
        <v>729.12513999999999</v>
      </c>
      <c r="M182" s="64">
        <v>361.73466000000002</v>
      </c>
      <c r="N182" s="64">
        <v>595.64768000000004</v>
      </c>
      <c r="O182" s="64">
        <v>330.75</v>
      </c>
      <c r="P182" s="64">
        <v>264.60000000000002</v>
      </c>
      <c r="Q182" s="64">
        <v>168.6825</v>
      </c>
      <c r="R182" s="64">
        <v>0</v>
      </c>
      <c r="S182" s="64">
        <v>0</v>
      </c>
      <c r="T182" s="64">
        <v>0</v>
      </c>
      <c r="U182" s="64">
        <v>1019.3046000000001</v>
      </c>
      <c r="V182" s="64">
        <v>1160.9102</v>
      </c>
      <c r="W182" s="31">
        <f t="shared" si="22"/>
        <v>252148.27170000001</v>
      </c>
    </row>
    <row r="183" spans="1:23" x14ac:dyDescent="0.2">
      <c r="A183" t="s">
        <v>28</v>
      </c>
      <c r="B183" t="s">
        <v>20</v>
      </c>
      <c r="C183" t="s">
        <v>18</v>
      </c>
      <c r="D183" s="53">
        <v>35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31">
        <f t="shared" si="22"/>
        <v>0</v>
      </c>
    </row>
    <row r="184" spans="1:23" x14ac:dyDescent="0.2">
      <c r="A184" t="s">
        <v>28</v>
      </c>
      <c r="B184" t="s">
        <v>18</v>
      </c>
      <c r="C184" t="s">
        <v>18</v>
      </c>
      <c r="D184" s="58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280.14640000000003</v>
      </c>
      <c r="J184" s="64">
        <v>334.85359999999997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507.58949999999999</v>
      </c>
      <c r="V184" s="64">
        <v>123.70625</v>
      </c>
      <c r="W184" s="31">
        <f t="shared" si="22"/>
        <v>0</v>
      </c>
    </row>
    <row r="185" spans="1:23" x14ac:dyDescent="0.2">
      <c r="A185" t="s">
        <v>28</v>
      </c>
      <c r="B185" t="s">
        <v>22</v>
      </c>
      <c r="C185" t="s">
        <v>22</v>
      </c>
      <c r="D185" s="57">
        <v>0</v>
      </c>
      <c r="E185" s="64">
        <v>33.075000000000003</v>
      </c>
      <c r="F185" s="64">
        <v>76.859684999999999</v>
      </c>
      <c r="G185" s="64">
        <v>122.40396</v>
      </c>
      <c r="H185" s="64">
        <v>243.85535999999999</v>
      </c>
      <c r="I185" s="64">
        <v>209.56319999999999</v>
      </c>
      <c r="J185" s="64">
        <v>217.60042999999999</v>
      </c>
      <c r="K185" s="64">
        <v>246.77257</v>
      </c>
      <c r="L185" s="64">
        <v>149.31378000000001</v>
      </c>
      <c r="M185" s="64">
        <v>80.908064999999993</v>
      </c>
      <c r="N185" s="64">
        <v>63.583379999999998</v>
      </c>
      <c r="O185" s="64">
        <v>63.583379999999998</v>
      </c>
      <c r="P185" s="64">
        <v>50.866703999999999</v>
      </c>
      <c r="Q185" s="64">
        <v>49.612499999999997</v>
      </c>
      <c r="R185" s="64">
        <v>115.28953</v>
      </c>
      <c r="S185" s="64">
        <v>183.60594</v>
      </c>
      <c r="T185" s="64">
        <v>365.78304000000003</v>
      </c>
      <c r="U185" s="64">
        <v>314.34480000000002</v>
      </c>
      <c r="V185" s="64">
        <v>326.40064000000001</v>
      </c>
      <c r="W185" s="31">
        <f t="shared" si="22"/>
        <v>0</v>
      </c>
    </row>
    <row r="186" spans="1:23" x14ac:dyDescent="0.2">
      <c r="A186" t="s">
        <v>28</v>
      </c>
      <c r="B186" t="s">
        <v>23</v>
      </c>
      <c r="C186" t="s">
        <v>13</v>
      </c>
      <c r="D186" s="53">
        <v>33.333333333333336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31">
        <f t="shared" si="22"/>
        <v>0</v>
      </c>
    </row>
    <row r="187" spans="1:23" x14ac:dyDescent="0.2">
      <c r="A187" t="s">
        <v>28</v>
      </c>
      <c r="B187" t="s">
        <v>20</v>
      </c>
      <c r="C187" t="s">
        <v>13</v>
      </c>
      <c r="D187" s="53">
        <v>31.666666666666664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31">
        <f t="shared" si="22"/>
        <v>0</v>
      </c>
    </row>
    <row r="188" spans="1:23" x14ac:dyDescent="0.2">
      <c r="A188" t="s">
        <v>28</v>
      </c>
      <c r="B188" t="s">
        <v>13</v>
      </c>
      <c r="C188" t="s">
        <v>13</v>
      </c>
      <c r="D188" s="58">
        <v>0</v>
      </c>
      <c r="E188" s="64">
        <v>32.130000000000003</v>
      </c>
      <c r="F188" s="64">
        <v>295.53174000000001</v>
      </c>
      <c r="G188" s="64">
        <v>435.55428000000001</v>
      </c>
      <c r="H188" s="64">
        <v>550.38689999999997</v>
      </c>
      <c r="I188" s="64">
        <v>876.57065999999998</v>
      </c>
      <c r="J188" s="64">
        <v>1023.8546</v>
      </c>
      <c r="K188" s="64">
        <v>1151.5391999999999</v>
      </c>
      <c r="L188" s="64">
        <v>852.79445999999996</v>
      </c>
      <c r="M188" s="64">
        <v>361.65528</v>
      </c>
      <c r="N188" s="64">
        <v>230.56487999999999</v>
      </c>
      <c r="O188" s="64">
        <v>230.56487999999999</v>
      </c>
      <c r="P188" s="64">
        <v>184.45189999999999</v>
      </c>
      <c r="Q188" s="64">
        <v>48.195</v>
      </c>
      <c r="R188" s="64">
        <v>443.29761000000002</v>
      </c>
      <c r="S188" s="64">
        <v>653.33141999999998</v>
      </c>
      <c r="T188" s="64">
        <v>825.58034999999995</v>
      </c>
      <c r="U188" s="64">
        <v>1314.856</v>
      </c>
      <c r="V188" s="64">
        <v>1535.7819</v>
      </c>
      <c r="W188" s="31">
        <f t="shared" si="22"/>
        <v>0</v>
      </c>
    </row>
    <row r="189" spans="1:23" x14ac:dyDescent="0.2">
      <c r="A189" t="s">
        <v>28</v>
      </c>
      <c r="B189" t="s">
        <v>20</v>
      </c>
      <c r="C189" t="s">
        <v>20</v>
      </c>
      <c r="D189" s="58">
        <v>0</v>
      </c>
      <c r="E189" s="64">
        <v>43.47</v>
      </c>
      <c r="F189" s="64">
        <v>85.9572</v>
      </c>
      <c r="G189" s="64">
        <v>100.4157</v>
      </c>
      <c r="H189" s="64">
        <v>159.5538</v>
      </c>
      <c r="I189" s="64">
        <v>255.49019999999999</v>
      </c>
      <c r="J189" s="64">
        <v>308.8449</v>
      </c>
      <c r="K189" s="64">
        <v>326.76209999999998</v>
      </c>
      <c r="L189" s="64">
        <v>241.4853</v>
      </c>
      <c r="M189" s="64">
        <v>151.3323</v>
      </c>
      <c r="N189" s="64">
        <v>99.621899999999997</v>
      </c>
      <c r="O189" s="64">
        <v>99.621899999999997</v>
      </c>
      <c r="P189" s="64">
        <v>79.697519999999997</v>
      </c>
      <c r="Q189" s="64">
        <v>65.204999999999998</v>
      </c>
      <c r="R189" s="64">
        <v>128.9358</v>
      </c>
      <c r="S189" s="64">
        <v>150.62354999999999</v>
      </c>
      <c r="T189" s="64">
        <v>239.33070000000001</v>
      </c>
      <c r="U189" s="64">
        <v>383.2353</v>
      </c>
      <c r="V189" s="64">
        <v>463.26735000000002</v>
      </c>
      <c r="W189" s="31">
        <f t="shared" si="22"/>
        <v>0</v>
      </c>
    </row>
    <row r="192" spans="1:23" x14ac:dyDescent="0.2">
      <c r="A192" s="19" t="s">
        <v>34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2" x14ac:dyDescent="0.2">
      <c r="A193" s="15" t="s">
        <v>24</v>
      </c>
      <c r="B193" s="20" t="s">
        <v>0</v>
      </c>
      <c r="C193" s="17" t="s">
        <v>31</v>
      </c>
      <c r="D193" s="17" t="s">
        <v>32</v>
      </c>
      <c r="E193" s="68" t="s">
        <v>83</v>
      </c>
      <c r="F193" s="68" t="s">
        <v>84</v>
      </c>
      <c r="G193" s="68" t="s">
        <v>85</v>
      </c>
      <c r="H193" s="68" t="s">
        <v>86</v>
      </c>
      <c r="I193" s="68" t="s">
        <v>87</v>
      </c>
      <c r="J193" s="68" t="s">
        <v>88</v>
      </c>
      <c r="K193" s="68" t="s">
        <v>89</v>
      </c>
      <c r="L193" s="68" t="s">
        <v>90</v>
      </c>
      <c r="M193" s="68" t="s">
        <v>91</v>
      </c>
      <c r="N193" s="68" t="s">
        <v>92</v>
      </c>
      <c r="O193" s="68" t="s">
        <v>94</v>
      </c>
      <c r="P193" s="68" t="s">
        <v>95</v>
      </c>
      <c r="Q193" s="68" t="s">
        <v>93</v>
      </c>
      <c r="R193" s="68" t="s">
        <v>96</v>
      </c>
      <c r="S193" s="68" t="s">
        <v>97</v>
      </c>
      <c r="T193" s="68" t="s">
        <v>98</v>
      </c>
      <c r="U193" s="68" t="s">
        <v>99</v>
      </c>
      <c r="V193" s="68" t="s">
        <v>100</v>
      </c>
    </row>
    <row r="194" spans="1:22" x14ac:dyDescent="0.2">
      <c r="A194" s="6" t="s">
        <v>28</v>
      </c>
      <c r="B194" s="18" t="s">
        <v>1</v>
      </c>
      <c r="C194" s="59">
        <v>0.9</v>
      </c>
      <c r="D194" s="59">
        <v>1</v>
      </c>
      <c r="E194" s="60">
        <v>1000</v>
      </c>
      <c r="F194" s="60">
        <v>1000</v>
      </c>
      <c r="G194" s="60">
        <v>1000</v>
      </c>
      <c r="H194" s="60">
        <v>1000</v>
      </c>
      <c r="I194" s="60">
        <v>1000</v>
      </c>
      <c r="J194" s="60">
        <v>1500</v>
      </c>
      <c r="K194" s="60">
        <v>1500</v>
      </c>
      <c r="L194" s="60">
        <v>1500</v>
      </c>
      <c r="M194" s="60">
        <v>1500</v>
      </c>
      <c r="N194" s="60">
        <v>500</v>
      </c>
      <c r="O194" s="60">
        <v>500</v>
      </c>
      <c r="P194" s="60">
        <v>500</v>
      </c>
      <c r="Q194" s="60">
        <v>500</v>
      </c>
      <c r="R194" s="60">
        <v>1500</v>
      </c>
      <c r="S194" s="60">
        <v>1500</v>
      </c>
      <c r="T194" s="60">
        <v>1500</v>
      </c>
      <c r="U194" s="60">
        <v>1500</v>
      </c>
      <c r="V194" s="60">
        <v>2000</v>
      </c>
    </row>
    <row r="195" spans="1:22" x14ac:dyDescent="0.2">
      <c r="A195" s="6" t="s">
        <v>28</v>
      </c>
      <c r="B195" s="18" t="s">
        <v>2</v>
      </c>
      <c r="C195" s="59">
        <v>0.75</v>
      </c>
      <c r="D195" s="59">
        <v>1.05</v>
      </c>
      <c r="E195" s="60">
        <v>300</v>
      </c>
      <c r="F195" s="60">
        <v>300</v>
      </c>
      <c r="G195" s="60">
        <v>300</v>
      </c>
      <c r="H195" s="60">
        <v>300</v>
      </c>
      <c r="I195" s="60">
        <v>300</v>
      </c>
      <c r="J195" s="60">
        <v>300</v>
      </c>
      <c r="K195" s="60">
        <v>300</v>
      </c>
      <c r="L195" s="60">
        <v>300</v>
      </c>
      <c r="M195" s="60">
        <v>300</v>
      </c>
      <c r="N195" s="60">
        <v>300</v>
      </c>
      <c r="O195" s="60">
        <v>300</v>
      </c>
      <c r="P195" s="60">
        <v>300</v>
      </c>
      <c r="Q195" s="60">
        <v>300</v>
      </c>
      <c r="R195" s="60">
        <v>1000</v>
      </c>
      <c r="S195" s="60">
        <v>1000</v>
      </c>
      <c r="T195" s="60">
        <v>1000</v>
      </c>
      <c r="U195" s="60">
        <v>1000</v>
      </c>
      <c r="V195" s="60">
        <v>1000</v>
      </c>
    </row>
    <row r="196" spans="1:22" x14ac:dyDescent="0.2">
      <c r="A196" s="6" t="s">
        <v>27</v>
      </c>
      <c r="B196" s="18" t="s">
        <v>3</v>
      </c>
      <c r="C196" s="59">
        <v>0.75</v>
      </c>
      <c r="D196" s="59">
        <v>1.2</v>
      </c>
      <c r="E196" s="60">
        <v>300</v>
      </c>
      <c r="F196" s="60">
        <v>300</v>
      </c>
      <c r="G196" s="60">
        <v>300</v>
      </c>
      <c r="H196" s="60">
        <v>300</v>
      </c>
      <c r="I196" s="60">
        <v>300</v>
      </c>
      <c r="J196" s="60">
        <v>300</v>
      </c>
      <c r="K196" s="60">
        <v>300</v>
      </c>
      <c r="L196" s="60">
        <v>300</v>
      </c>
      <c r="M196" s="60">
        <v>300</v>
      </c>
      <c r="N196" s="60">
        <v>300</v>
      </c>
      <c r="O196" s="60">
        <v>300</v>
      </c>
      <c r="P196" s="60">
        <v>300</v>
      </c>
      <c r="Q196" s="60">
        <v>300</v>
      </c>
      <c r="R196" s="60">
        <v>300</v>
      </c>
      <c r="S196" s="60">
        <v>300</v>
      </c>
      <c r="T196" s="60">
        <v>300</v>
      </c>
      <c r="U196" s="60">
        <v>300</v>
      </c>
      <c r="V196" s="60">
        <v>300</v>
      </c>
    </row>
    <row r="197" spans="1:22" x14ac:dyDescent="0.2">
      <c r="A197" s="6" t="s">
        <v>27</v>
      </c>
      <c r="B197" s="18" t="s">
        <v>4</v>
      </c>
      <c r="C197" s="59">
        <v>0.9</v>
      </c>
      <c r="D197" s="59">
        <v>1.1000000000000001</v>
      </c>
      <c r="E197" s="60">
        <v>200</v>
      </c>
      <c r="F197" s="60">
        <v>200</v>
      </c>
      <c r="G197" s="60">
        <v>200</v>
      </c>
      <c r="H197" s="60">
        <v>200</v>
      </c>
      <c r="I197" s="60">
        <v>200</v>
      </c>
      <c r="J197" s="60">
        <v>200</v>
      </c>
      <c r="K197" s="60">
        <v>200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400</v>
      </c>
      <c r="R197" s="60">
        <v>400</v>
      </c>
      <c r="S197" s="60">
        <v>400</v>
      </c>
      <c r="T197" s="60">
        <v>400</v>
      </c>
      <c r="U197" s="60">
        <v>400</v>
      </c>
      <c r="V197" s="60">
        <v>400</v>
      </c>
    </row>
    <row r="198" spans="1:22" x14ac:dyDescent="0.2">
      <c r="A198" s="6" t="s">
        <v>27</v>
      </c>
      <c r="B198" s="18" t="s">
        <v>5</v>
      </c>
      <c r="C198" s="59">
        <v>0.3</v>
      </c>
      <c r="D198" s="59">
        <v>1.2</v>
      </c>
      <c r="E198" s="60">
        <v>300</v>
      </c>
      <c r="F198" s="60">
        <v>300</v>
      </c>
      <c r="G198" s="60">
        <v>300</v>
      </c>
      <c r="H198" s="60">
        <v>300</v>
      </c>
      <c r="I198" s="60">
        <v>300</v>
      </c>
      <c r="J198" s="60">
        <v>300</v>
      </c>
      <c r="K198" s="60">
        <v>300</v>
      </c>
      <c r="L198" s="60">
        <v>300</v>
      </c>
      <c r="M198" s="60">
        <v>300</v>
      </c>
      <c r="N198" s="60">
        <v>300</v>
      </c>
      <c r="O198" s="60">
        <v>300</v>
      </c>
      <c r="P198" s="60">
        <v>300</v>
      </c>
      <c r="Q198" s="60">
        <v>300</v>
      </c>
      <c r="R198" s="60">
        <v>300</v>
      </c>
      <c r="S198" s="60">
        <v>300</v>
      </c>
      <c r="T198" s="60">
        <v>300</v>
      </c>
      <c r="U198" s="60">
        <v>300</v>
      </c>
      <c r="V198" s="60">
        <v>300</v>
      </c>
    </row>
    <row r="199" spans="1:22" x14ac:dyDescent="0.2">
      <c r="A199" s="6" t="s">
        <v>28</v>
      </c>
      <c r="B199" s="18" t="s">
        <v>6</v>
      </c>
      <c r="C199" s="59">
        <v>0.9</v>
      </c>
      <c r="D199" s="59">
        <v>1.05</v>
      </c>
      <c r="E199" s="60">
        <v>500</v>
      </c>
      <c r="F199" s="60">
        <v>500</v>
      </c>
      <c r="G199" s="60">
        <v>500</v>
      </c>
      <c r="H199" s="60">
        <v>500</v>
      </c>
      <c r="I199" s="60">
        <v>500</v>
      </c>
      <c r="J199" s="60">
        <v>500</v>
      </c>
      <c r="K199" s="60">
        <v>500</v>
      </c>
      <c r="L199" s="60">
        <v>500</v>
      </c>
      <c r="M199" s="60">
        <v>0</v>
      </c>
      <c r="N199" s="60">
        <v>0</v>
      </c>
      <c r="O199" s="60">
        <v>0</v>
      </c>
      <c r="P199" s="60">
        <v>0</v>
      </c>
      <c r="Q199" s="60">
        <v>0</v>
      </c>
      <c r="R199" s="60">
        <v>1000</v>
      </c>
      <c r="S199" s="60">
        <v>1000</v>
      </c>
      <c r="T199" s="60">
        <v>1000</v>
      </c>
      <c r="U199" s="60">
        <v>1000</v>
      </c>
      <c r="V199" s="60">
        <v>1000</v>
      </c>
    </row>
    <row r="200" spans="1:22" x14ac:dyDescent="0.2">
      <c r="A200" s="6" t="s">
        <v>27</v>
      </c>
      <c r="B200" s="18" t="s">
        <v>7</v>
      </c>
      <c r="C200" s="59">
        <v>0.5</v>
      </c>
      <c r="D200" s="59">
        <v>1</v>
      </c>
      <c r="E200" s="60">
        <v>1200</v>
      </c>
      <c r="F200" s="60">
        <v>1200</v>
      </c>
      <c r="G200" s="60">
        <v>700</v>
      </c>
      <c r="H200" s="60">
        <v>700</v>
      </c>
      <c r="I200" s="60">
        <v>700</v>
      </c>
      <c r="J200" s="60">
        <v>700</v>
      </c>
      <c r="K200" s="60">
        <v>700</v>
      </c>
      <c r="L200" s="60">
        <v>700</v>
      </c>
      <c r="M200" s="60">
        <v>700</v>
      </c>
      <c r="N200" s="60">
        <v>700</v>
      </c>
      <c r="O200" s="60">
        <v>0</v>
      </c>
      <c r="P200" s="60">
        <v>0</v>
      </c>
      <c r="Q200" s="60">
        <v>0</v>
      </c>
      <c r="R200" s="60">
        <v>1500</v>
      </c>
      <c r="S200" s="60">
        <v>1500</v>
      </c>
      <c r="T200" s="60">
        <v>1500</v>
      </c>
      <c r="U200" s="60">
        <v>1500</v>
      </c>
      <c r="V200" s="60">
        <v>1500</v>
      </c>
    </row>
    <row r="201" spans="1:22" x14ac:dyDescent="0.2">
      <c r="A201" s="6" t="s">
        <v>28</v>
      </c>
      <c r="B201" s="18" t="s">
        <v>8</v>
      </c>
      <c r="C201" s="59">
        <v>0.8</v>
      </c>
      <c r="D201" s="59">
        <v>1</v>
      </c>
      <c r="E201" s="60">
        <v>4000</v>
      </c>
      <c r="F201" s="60">
        <v>4000</v>
      </c>
      <c r="G201" s="60">
        <v>4000</v>
      </c>
      <c r="H201" s="60">
        <v>4000</v>
      </c>
      <c r="I201" s="60">
        <v>4000</v>
      </c>
      <c r="J201" s="60">
        <v>4000</v>
      </c>
      <c r="K201" s="60">
        <v>4000</v>
      </c>
      <c r="L201" s="60">
        <v>4000</v>
      </c>
      <c r="M201" s="60">
        <v>2000</v>
      </c>
      <c r="N201" s="60">
        <v>2000</v>
      </c>
      <c r="O201" s="60">
        <v>2000</v>
      </c>
      <c r="P201" s="60">
        <v>2000</v>
      </c>
      <c r="Q201" s="60">
        <v>2000</v>
      </c>
      <c r="R201" s="60">
        <v>4000</v>
      </c>
      <c r="S201" s="60">
        <v>4000</v>
      </c>
      <c r="T201" s="60">
        <v>4000</v>
      </c>
      <c r="U201" s="60">
        <v>4000</v>
      </c>
      <c r="V201" s="60">
        <v>4000</v>
      </c>
    </row>
    <row r="202" spans="1:22" x14ac:dyDescent="0.2">
      <c r="A202" s="18"/>
      <c r="B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 spans="1:22" x14ac:dyDescent="0.2">
      <c r="A203" s="18" t="s">
        <v>35</v>
      </c>
      <c r="E203" s="21">
        <f>SUM(E194:E202)</f>
        <v>7800</v>
      </c>
      <c r="F203" s="21">
        <f t="shared" ref="F203:V203" si="23">SUM(F194:F202)</f>
        <v>7800</v>
      </c>
      <c r="G203" s="21">
        <f t="shared" si="23"/>
        <v>7300</v>
      </c>
      <c r="H203" s="21">
        <f t="shared" si="23"/>
        <v>7300</v>
      </c>
      <c r="I203" s="21">
        <f t="shared" si="23"/>
        <v>7300</v>
      </c>
      <c r="J203" s="21">
        <f t="shared" si="23"/>
        <v>7800</v>
      </c>
      <c r="K203" s="21">
        <f t="shared" si="23"/>
        <v>7800</v>
      </c>
      <c r="L203" s="21">
        <f t="shared" si="23"/>
        <v>7600</v>
      </c>
      <c r="M203" s="21">
        <f t="shared" si="23"/>
        <v>5100</v>
      </c>
      <c r="N203" s="21">
        <f t="shared" si="23"/>
        <v>4100</v>
      </c>
      <c r="O203" s="21">
        <f t="shared" si="23"/>
        <v>3400</v>
      </c>
      <c r="P203" s="21">
        <f t="shared" si="23"/>
        <v>3400</v>
      </c>
      <c r="Q203" s="21">
        <f t="shared" si="23"/>
        <v>3800</v>
      </c>
      <c r="R203" s="21">
        <f t="shared" si="23"/>
        <v>10000</v>
      </c>
      <c r="S203" s="21">
        <f t="shared" si="23"/>
        <v>10000</v>
      </c>
      <c r="T203" s="21">
        <f t="shared" si="23"/>
        <v>10000</v>
      </c>
      <c r="U203" s="21">
        <f t="shared" si="23"/>
        <v>10000</v>
      </c>
      <c r="V203" s="21">
        <f t="shared" si="23"/>
        <v>10500</v>
      </c>
    </row>
    <row r="204" spans="1:22" x14ac:dyDescent="0.2">
      <c r="A204" s="18" t="s">
        <v>27</v>
      </c>
      <c r="E204" s="21">
        <f>E196+E197+E198+E200</f>
        <v>2000</v>
      </c>
      <c r="F204" s="21">
        <f t="shared" ref="F204:V204" si="24">F196+F197+F198+F200</f>
        <v>2000</v>
      </c>
      <c r="G204" s="21">
        <f t="shared" si="24"/>
        <v>1500</v>
      </c>
      <c r="H204" s="21">
        <f t="shared" si="24"/>
        <v>1500</v>
      </c>
      <c r="I204" s="21">
        <f t="shared" si="24"/>
        <v>1500</v>
      </c>
      <c r="J204" s="21">
        <f t="shared" si="24"/>
        <v>1500</v>
      </c>
      <c r="K204" s="21">
        <f t="shared" si="24"/>
        <v>1500</v>
      </c>
      <c r="L204" s="21">
        <f t="shared" si="24"/>
        <v>1300</v>
      </c>
      <c r="M204" s="21">
        <f t="shared" si="24"/>
        <v>1300</v>
      </c>
      <c r="N204" s="21">
        <f t="shared" si="24"/>
        <v>1300</v>
      </c>
      <c r="O204" s="21">
        <f t="shared" si="24"/>
        <v>600</v>
      </c>
      <c r="P204" s="21">
        <f t="shared" si="24"/>
        <v>600</v>
      </c>
      <c r="Q204" s="21">
        <f t="shared" si="24"/>
        <v>1000</v>
      </c>
      <c r="R204" s="21">
        <f t="shared" si="24"/>
        <v>2500</v>
      </c>
      <c r="S204" s="21">
        <f t="shared" si="24"/>
        <v>2500</v>
      </c>
      <c r="T204" s="21">
        <f t="shared" si="24"/>
        <v>2500</v>
      </c>
      <c r="U204" s="21">
        <f t="shared" si="24"/>
        <v>2500</v>
      </c>
      <c r="V204" s="21">
        <f t="shared" si="24"/>
        <v>2500</v>
      </c>
    </row>
    <row r="206" spans="1:22" x14ac:dyDescent="0.2">
      <c r="A206" s="18" t="s">
        <v>61</v>
      </c>
    </row>
    <row r="207" spans="1:22" x14ac:dyDescent="0.2">
      <c r="B207" s="20" t="s">
        <v>0</v>
      </c>
      <c r="E207" s="68" t="s">
        <v>83</v>
      </c>
      <c r="F207" s="68" t="s">
        <v>84</v>
      </c>
      <c r="G207" s="68" t="s">
        <v>85</v>
      </c>
      <c r="H207" s="68" t="s">
        <v>86</v>
      </c>
      <c r="I207" s="68" t="s">
        <v>87</v>
      </c>
      <c r="J207" s="68" t="s">
        <v>88</v>
      </c>
      <c r="K207" s="68" t="s">
        <v>89</v>
      </c>
      <c r="L207" s="68" t="s">
        <v>90</v>
      </c>
      <c r="M207" s="68" t="s">
        <v>91</v>
      </c>
      <c r="N207" s="68" t="s">
        <v>92</v>
      </c>
      <c r="O207" s="68" t="s">
        <v>94</v>
      </c>
      <c r="P207" s="68" t="s">
        <v>95</v>
      </c>
      <c r="Q207" s="68" t="s">
        <v>93</v>
      </c>
      <c r="R207" s="68" t="s">
        <v>96</v>
      </c>
      <c r="S207" s="68" t="s">
        <v>97</v>
      </c>
      <c r="T207" s="68" t="s">
        <v>98</v>
      </c>
      <c r="U207" s="68" t="s">
        <v>99</v>
      </c>
      <c r="V207" s="68" t="s">
        <v>100</v>
      </c>
    </row>
    <row r="208" spans="1:22" x14ac:dyDescent="0.2">
      <c r="B208" s="18" t="s">
        <v>1</v>
      </c>
      <c r="E208" s="21">
        <f t="shared" ref="E208:V208" si="25">$C194*E194</f>
        <v>900</v>
      </c>
      <c r="F208" s="21">
        <f t="shared" si="25"/>
        <v>900</v>
      </c>
      <c r="G208" s="21">
        <f t="shared" si="25"/>
        <v>900</v>
      </c>
      <c r="H208" s="21">
        <f t="shared" si="25"/>
        <v>900</v>
      </c>
      <c r="I208" s="21">
        <f t="shared" si="25"/>
        <v>900</v>
      </c>
      <c r="J208" s="21">
        <f t="shared" si="25"/>
        <v>1350</v>
      </c>
      <c r="K208" s="21">
        <f t="shared" si="25"/>
        <v>1350</v>
      </c>
      <c r="L208" s="21">
        <f t="shared" si="25"/>
        <v>1350</v>
      </c>
      <c r="M208" s="21">
        <f t="shared" si="25"/>
        <v>1350</v>
      </c>
      <c r="N208" s="21">
        <f t="shared" si="25"/>
        <v>450</v>
      </c>
      <c r="O208" s="21">
        <f t="shared" si="25"/>
        <v>450</v>
      </c>
      <c r="P208" s="21">
        <f t="shared" si="25"/>
        <v>450</v>
      </c>
      <c r="Q208" s="21">
        <f t="shared" si="25"/>
        <v>450</v>
      </c>
      <c r="R208" s="21">
        <f t="shared" si="25"/>
        <v>1350</v>
      </c>
      <c r="S208" s="21">
        <f t="shared" si="25"/>
        <v>1350</v>
      </c>
      <c r="T208" s="21">
        <f t="shared" si="25"/>
        <v>1350</v>
      </c>
      <c r="U208" s="21">
        <f t="shared" si="25"/>
        <v>1350</v>
      </c>
      <c r="V208" s="21">
        <f t="shared" si="25"/>
        <v>1800</v>
      </c>
    </row>
    <row r="209" spans="1:25" x14ac:dyDescent="0.2">
      <c r="B209" s="18" t="s">
        <v>2</v>
      </c>
      <c r="E209" s="21">
        <f t="shared" ref="E209:V209" si="26">$C195*E195</f>
        <v>225</v>
      </c>
      <c r="F209" s="21">
        <f t="shared" si="26"/>
        <v>225</v>
      </c>
      <c r="G209" s="21">
        <f t="shared" si="26"/>
        <v>225</v>
      </c>
      <c r="H209" s="21">
        <f t="shared" si="26"/>
        <v>225</v>
      </c>
      <c r="I209" s="21">
        <f t="shared" si="26"/>
        <v>225</v>
      </c>
      <c r="J209" s="21">
        <f t="shared" si="26"/>
        <v>225</v>
      </c>
      <c r="K209" s="21">
        <f t="shared" si="26"/>
        <v>225</v>
      </c>
      <c r="L209" s="21">
        <f t="shared" si="26"/>
        <v>225</v>
      </c>
      <c r="M209" s="21">
        <f t="shared" si="26"/>
        <v>225</v>
      </c>
      <c r="N209" s="21">
        <f t="shared" si="26"/>
        <v>225</v>
      </c>
      <c r="O209" s="21">
        <f t="shared" si="26"/>
        <v>225</v>
      </c>
      <c r="P209" s="21">
        <f t="shared" si="26"/>
        <v>225</v>
      </c>
      <c r="Q209" s="21">
        <f t="shared" si="26"/>
        <v>225</v>
      </c>
      <c r="R209" s="21">
        <f t="shared" si="26"/>
        <v>750</v>
      </c>
      <c r="S209" s="21">
        <f t="shared" si="26"/>
        <v>750</v>
      </c>
      <c r="T209" s="21">
        <f t="shared" si="26"/>
        <v>750</v>
      </c>
      <c r="U209" s="21">
        <f t="shared" si="26"/>
        <v>750</v>
      </c>
      <c r="V209" s="21">
        <f t="shared" si="26"/>
        <v>750</v>
      </c>
    </row>
    <row r="210" spans="1:25" x14ac:dyDescent="0.2">
      <c r="B210" s="18" t="s">
        <v>3</v>
      </c>
      <c r="E210" s="21">
        <f t="shared" ref="E210:V210" si="27">$C196*E196</f>
        <v>225</v>
      </c>
      <c r="F210" s="21">
        <f t="shared" si="27"/>
        <v>225</v>
      </c>
      <c r="G210" s="21">
        <f t="shared" si="27"/>
        <v>225</v>
      </c>
      <c r="H210" s="21">
        <f t="shared" si="27"/>
        <v>225</v>
      </c>
      <c r="I210" s="21">
        <f t="shared" si="27"/>
        <v>225</v>
      </c>
      <c r="J210" s="21">
        <f t="shared" si="27"/>
        <v>225</v>
      </c>
      <c r="K210" s="21">
        <f t="shared" si="27"/>
        <v>225</v>
      </c>
      <c r="L210" s="21">
        <f t="shared" si="27"/>
        <v>225</v>
      </c>
      <c r="M210" s="21">
        <f t="shared" si="27"/>
        <v>225</v>
      </c>
      <c r="N210" s="21">
        <f t="shared" si="27"/>
        <v>225</v>
      </c>
      <c r="O210" s="21">
        <f t="shared" si="27"/>
        <v>225</v>
      </c>
      <c r="P210" s="21">
        <f t="shared" si="27"/>
        <v>225</v>
      </c>
      <c r="Q210" s="21">
        <f t="shared" si="27"/>
        <v>225</v>
      </c>
      <c r="R210" s="21">
        <f t="shared" si="27"/>
        <v>225</v>
      </c>
      <c r="S210" s="21">
        <f t="shared" si="27"/>
        <v>225</v>
      </c>
      <c r="T210" s="21">
        <f t="shared" si="27"/>
        <v>225</v>
      </c>
      <c r="U210" s="21">
        <f t="shared" si="27"/>
        <v>225</v>
      </c>
      <c r="V210" s="21">
        <f t="shared" si="27"/>
        <v>225</v>
      </c>
    </row>
    <row r="211" spans="1:25" x14ac:dyDescent="0.2">
      <c r="B211" s="18" t="s">
        <v>4</v>
      </c>
      <c r="E211" s="21">
        <f t="shared" ref="E211:V211" si="28">$C197*E197</f>
        <v>180</v>
      </c>
      <c r="F211" s="21">
        <f t="shared" si="28"/>
        <v>180</v>
      </c>
      <c r="G211" s="21">
        <f t="shared" si="28"/>
        <v>180</v>
      </c>
      <c r="H211" s="21">
        <f t="shared" si="28"/>
        <v>180</v>
      </c>
      <c r="I211" s="21">
        <f t="shared" si="28"/>
        <v>180</v>
      </c>
      <c r="J211" s="21">
        <f t="shared" si="28"/>
        <v>180</v>
      </c>
      <c r="K211" s="21">
        <f t="shared" si="28"/>
        <v>180</v>
      </c>
      <c r="L211" s="21">
        <f t="shared" si="28"/>
        <v>0</v>
      </c>
      <c r="M211" s="21">
        <f t="shared" si="28"/>
        <v>0</v>
      </c>
      <c r="N211" s="21">
        <f t="shared" si="28"/>
        <v>0</v>
      </c>
      <c r="O211" s="21">
        <f t="shared" si="28"/>
        <v>0</v>
      </c>
      <c r="P211" s="21">
        <f t="shared" si="28"/>
        <v>0</v>
      </c>
      <c r="Q211" s="21">
        <f t="shared" si="28"/>
        <v>360</v>
      </c>
      <c r="R211" s="21">
        <f t="shared" si="28"/>
        <v>360</v>
      </c>
      <c r="S211" s="21">
        <f t="shared" si="28"/>
        <v>360</v>
      </c>
      <c r="T211" s="21">
        <f t="shared" si="28"/>
        <v>360</v>
      </c>
      <c r="U211" s="21">
        <f t="shared" si="28"/>
        <v>360</v>
      </c>
      <c r="V211" s="21">
        <f t="shared" si="28"/>
        <v>360</v>
      </c>
    </row>
    <row r="212" spans="1:25" x14ac:dyDescent="0.2">
      <c r="B212" s="18" t="s">
        <v>5</v>
      </c>
      <c r="E212" s="21">
        <f t="shared" ref="E212:V212" si="29">$C198*E198</f>
        <v>90</v>
      </c>
      <c r="F212" s="21">
        <f t="shared" si="29"/>
        <v>90</v>
      </c>
      <c r="G212" s="21">
        <f t="shared" si="29"/>
        <v>90</v>
      </c>
      <c r="H212" s="21">
        <f t="shared" si="29"/>
        <v>90</v>
      </c>
      <c r="I212" s="21">
        <f t="shared" si="29"/>
        <v>90</v>
      </c>
      <c r="J212" s="21">
        <f t="shared" si="29"/>
        <v>90</v>
      </c>
      <c r="K212" s="21">
        <f t="shared" si="29"/>
        <v>90</v>
      </c>
      <c r="L212" s="21">
        <f t="shared" si="29"/>
        <v>90</v>
      </c>
      <c r="M212" s="21">
        <f t="shared" si="29"/>
        <v>90</v>
      </c>
      <c r="N212" s="21">
        <f t="shared" si="29"/>
        <v>90</v>
      </c>
      <c r="O212" s="21">
        <f t="shared" si="29"/>
        <v>90</v>
      </c>
      <c r="P212" s="21">
        <f t="shared" si="29"/>
        <v>90</v>
      </c>
      <c r="Q212" s="21">
        <f t="shared" si="29"/>
        <v>90</v>
      </c>
      <c r="R212" s="21">
        <f t="shared" si="29"/>
        <v>90</v>
      </c>
      <c r="S212" s="21">
        <f t="shared" si="29"/>
        <v>90</v>
      </c>
      <c r="T212" s="21">
        <f t="shared" si="29"/>
        <v>90</v>
      </c>
      <c r="U212" s="21">
        <f t="shared" si="29"/>
        <v>90</v>
      </c>
      <c r="V212" s="21">
        <f t="shared" si="29"/>
        <v>90</v>
      </c>
    </row>
    <row r="213" spans="1:25" x14ac:dyDescent="0.2">
      <c r="B213" s="18" t="s">
        <v>6</v>
      </c>
      <c r="E213" s="21">
        <f t="shared" ref="E213:V213" si="30">$C199*E199</f>
        <v>450</v>
      </c>
      <c r="F213" s="21">
        <f t="shared" si="30"/>
        <v>450</v>
      </c>
      <c r="G213" s="21">
        <f t="shared" si="30"/>
        <v>450</v>
      </c>
      <c r="H213" s="21">
        <f t="shared" si="30"/>
        <v>450</v>
      </c>
      <c r="I213" s="21">
        <f t="shared" si="30"/>
        <v>450</v>
      </c>
      <c r="J213" s="21">
        <f t="shared" si="30"/>
        <v>450</v>
      </c>
      <c r="K213" s="21">
        <f t="shared" si="30"/>
        <v>450</v>
      </c>
      <c r="L213" s="21">
        <f t="shared" si="30"/>
        <v>450</v>
      </c>
      <c r="M213" s="21">
        <f t="shared" si="30"/>
        <v>0</v>
      </c>
      <c r="N213" s="21">
        <f t="shared" si="30"/>
        <v>0</v>
      </c>
      <c r="O213" s="21">
        <f t="shared" si="30"/>
        <v>0</v>
      </c>
      <c r="P213" s="21">
        <f t="shared" si="30"/>
        <v>0</v>
      </c>
      <c r="Q213" s="21">
        <f t="shared" si="30"/>
        <v>0</v>
      </c>
      <c r="R213" s="21">
        <f t="shared" si="30"/>
        <v>900</v>
      </c>
      <c r="S213" s="21">
        <f t="shared" si="30"/>
        <v>900</v>
      </c>
      <c r="T213" s="21">
        <f t="shared" si="30"/>
        <v>900</v>
      </c>
      <c r="U213" s="21">
        <f t="shared" si="30"/>
        <v>900</v>
      </c>
      <c r="V213" s="21">
        <f t="shared" si="30"/>
        <v>900</v>
      </c>
    </row>
    <row r="214" spans="1:25" x14ac:dyDescent="0.2">
      <c r="B214" s="18" t="s">
        <v>7</v>
      </c>
      <c r="E214" s="21">
        <f t="shared" ref="E214:V214" si="31">$C200*E200</f>
        <v>600</v>
      </c>
      <c r="F214" s="21">
        <f t="shared" si="31"/>
        <v>600</v>
      </c>
      <c r="G214" s="21">
        <f t="shared" si="31"/>
        <v>350</v>
      </c>
      <c r="H214" s="21">
        <f t="shared" si="31"/>
        <v>350</v>
      </c>
      <c r="I214" s="21">
        <f t="shared" si="31"/>
        <v>350</v>
      </c>
      <c r="J214" s="21">
        <f t="shared" si="31"/>
        <v>350</v>
      </c>
      <c r="K214" s="21">
        <f t="shared" si="31"/>
        <v>350</v>
      </c>
      <c r="L214" s="21">
        <f t="shared" si="31"/>
        <v>350</v>
      </c>
      <c r="M214" s="21">
        <f t="shared" si="31"/>
        <v>350</v>
      </c>
      <c r="N214" s="21">
        <f t="shared" si="31"/>
        <v>350</v>
      </c>
      <c r="O214" s="21">
        <f t="shared" si="31"/>
        <v>0</v>
      </c>
      <c r="P214" s="21">
        <f t="shared" si="31"/>
        <v>0</v>
      </c>
      <c r="Q214" s="21">
        <f t="shared" si="31"/>
        <v>0</v>
      </c>
      <c r="R214" s="21">
        <f t="shared" si="31"/>
        <v>750</v>
      </c>
      <c r="S214" s="21">
        <f t="shared" si="31"/>
        <v>750</v>
      </c>
      <c r="T214" s="21">
        <f t="shared" si="31"/>
        <v>750</v>
      </c>
      <c r="U214" s="21">
        <f t="shared" si="31"/>
        <v>750</v>
      </c>
      <c r="V214" s="21">
        <f t="shared" si="31"/>
        <v>750</v>
      </c>
    </row>
    <row r="215" spans="1:25" x14ac:dyDescent="0.2">
      <c r="B215" s="18" t="s">
        <v>8</v>
      </c>
      <c r="E215" s="21">
        <f t="shared" ref="E215:V215" si="32">$C201*E201</f>
        <v>3200</v>
      </c>
      <c r="F215" s="21">
        <f t="shared" si="32"/>
        <v>3200</v>
      </c>
      <c r="G215" s="21">
        <f t="shared" si="32"/>
        <v>3200</v>
      </c>
      <c r="H215" s="21">
        <f t="shared" si="32"/>
        <v>3200</v>
      </c>
      <c r="I215" s="21">
        <f t="shared" si="32"/>
        <v>3200</v>
      </c>
      <c r="J215" s="21">
        <f t="shared" si="32"/>
        <v>3200</v>
      </c>
      <c r="K215" s="21">
        <f t="shared" si="32"/>
        <v>3200</v>
      </c>
      <c r="L215" s="21">
        <f t="shared" si="32"/>
        <v>3200</v>
      </c>
      <c r="M215" s="21">
        <f t="shared" si="32"/>
        <v>1600</v>
      </c>
      <c r="N215" s="21">
        <f t="shared" si="32"/>
        <v>1600</v>
      </c>
      <c r="O215" s="21">
        <f t="shared" si="32"/>
        <v>1600</v>
      </c>
      <c r="P215" s="21">
        <f t="shared" si="32"/>
        <v>1600</v>
      </c>
      <c r="Q215" s="21">
        <f t="shared" si="32"/>
        <v>1600</v>
      </c>
      <c r="R215" s="21">
        <f t="shared" si="32"/>
        <v>3200</v>
      </c>
      <c r="S215" s="21">
        <f t="shared" si="32"/>
        <v>3200</v>
      </c>
      <c r="T215" s="21">
        <f t="shared" si="32"/>
        <v>3200</v>
      </c>
      <c r="U215" s="21">
        <f t="shared" si="32"/>
        <v>3200</v>
      </c>
      <c r="V215" s="21">
        <f t="shared" si="32"/>
        <v>3200</v>
      </c>
    </row>
    <row r="217" spans="1:25" x14ac:dyDescent="0.2">
      <c r="A217" s="18" t="s">
        <v>62</v>
      </c>
    </row>
    <row r="218" spans="1:25" x14ac:dyDescent="0.2">
      <c r="B218" s="20" t="s">
        <v>0</v>
      </c>
      <c r="E218" s="68" t="s">
        <v>83</v>
      </c>
      <c r="F218" s="68" t="s">
        <v>84</v>
      </c>
      <c r="G218" s="68" t="s">
        <v>85</v>
      </c>
      <c r="H218" s="68" t="s">
        <v>86</v>
      </c>
      <c r="I218" s="68" t="s">
        <v>87</v>
      </c>
      <c r="J218" s="68" t="s">
        <v>88</v>
      </c>
      <c r="K218" s="68" t="s">
        <v>89</v>
      </c>
      <c r="L218" s="68" t="s">
        <v>90</v>
      </c>
      <c r="M218" s="68" t="s">
        <v>91</v>
      </c>
      <c r="N218" s="68" t="s">
        <v>92</v>
      </c>
      <c r="O218" s="68" t="s">
        <v>94</v>
      </c>
      <c r="P218" s="68" t="s">
        <v>95</v>
      </c>
      <c r="Q218" s="68" t="s">
        <v>93</v>
      </c>
      <c r="R218" s="68" t="s">
        <v>96</v>
      </c>
      <c r="S218" s="68" t="s">
        <v>97</v>
      </c>
      <c r="T218" s="68" t="s">
        <v>98</v>
      </c>
      <c r="U218" s="68" t="s">
        <v>99</v>
      </c>
      <c r="V218" s="68" t="s">
        <v>100</v>
      </c>
    </row>
    <row r="219" spans="1:25" x14ac:dyDescent="0.2">
      <c r="B219" s="18" t="s">
        <v>1</v>
      </c>
      <c r="E219" s="21">
        <f t="shared" ref="E219:V219" si="33">$D194*E194</f>
        <v>1000</v>
      </c>
      <c r="F219" s="21">
        <f t="shared" si="33"/>
        <v>1000</v>
      </c>
      <c r="G219" s="21">
        <f t="shared" si="33"/>
        <v>1000</v>
      </c>
      <c r="H219" s="21">
        <f t="shared" si="33"/>
        <v>1000</v>
      </c>
      <c r="I219" s="21">
        <f t="shared" si="33"/>
        <v>1000</v>
      </c>
      <c r="J219" s="21">
        <f t="shared" si="33"/>
        <v>1500</v>
      </c>
      <c r="K219" s="21">
        <f t="shared" si="33"/>
        <v>1500</v>
      </c>
      <c r="L219" s="21">
        <f t="shared" si="33"/>
        <v>1500</v>
      </c>
      <c r="M219" s="21">
        <f t="shared" si="33"/>
        <v>1500</v>
      </c>
      <c r="N219" s="21">
        <f t="shared" si="33"/>
        <v>500</v>
      </c>
      <c r="O219" s="21">
        <f t="shared" si="33"/>
        <v>500</v>
      </c>
      <c r="P219" s="21">
        <f t="shared" si="33"/>
        <v>500</v>
      </c>
      <c r="Q219" s="21">
        <f t="shared" si="33"/>
        <v>500</v>
      </c>
      <c r="R219" s="21">
        <f t="shared" si="33"/>
        <v>1500</v>
      </c>
      <c r="S219" s="21">
        <f t="shared" si="33"/>
        <v>1500</v>
      </c>
      <c r="T219" s="21">
        <f t="shared" si="33"/>
        <v>1500</v>
      </c>
      <c r="U219" s="21">
        <f t="shared" si="33"/>
        <v>1500</v>
      </c>
      <c r="V219" s="21">
        <f t="shared" si="33"/>
        <v>2000</v>
      </c>
    </row>
    <row r="220" spans="1:25" x14ac:dyDescent="0.2">
      <c r="B220" s="18" t="s">
        <v>2</v>
      </c>
      <c r="E220" s="21">
        <f t="shared" ref="E220:V220" si="34">$D195*E195</f>
        <v>315</v>
      </c>
      <c r="F220" s="21">
        <f t="shared" si="34"/>
        <v>315</v>
      </c>
      <c r="G220" s="21">
        <f t="shared" si="34"/>
        <v>315</v>
      </c>
      <c r="H220" s="21">
        <f t="shared" si="34"/>
        <v>315</v>
      </c>
      <c r="I220" s="21">
        <f t="shared" si="34"/>
        <v>315</v>
      </c>
      <c r="J220" s="21">
        <f t="shared" si="34"/>
        <v>315</v>
      </c>
      <c r="K220" s="21">
        <f t="shared" si="34"/>
        <v>315</v>
      </c>
      <c r="L220" s="21">
        <f t="shared" si="34"/>
        <v>315</v>
      </c>
      <c r="M220" s="21">
        <f t="shared" si="34"/>
        <v>315</v>
      </c>
      <c r="N220" s="21">
        <f t="shared" si="34"/>
        <v>315</v>
      </c>
      <c r="O220" s="21">
        <f t="shared" si="34"/>
        <v>315</v>
      </c>
      <c r="P220" s="21">
        <f t="shared" si="34"/>
        <v>315</v>
      </c>
      <c r="Q220" s="21">
        <f t="shared" si="34"/>
        <v>315</v>
      </c>
      <c r="R220" s="21">
        <f t="shared" si="34"/>
        <v>1050</v>
      </c>
      <c r="S220" s="21">
        <f t="shared" si="34"/>
        <v>1050</v>
      </c>
      <c r="T220" s="21">
        <f t="shared" si="34"/>
        <v>1050</v>
      </c>
      <c r="U220" s="21">
        <f t="shared" si="34"/>
        <v>1050</v>
      </c>
      <c r="V220" s="21">
        <f t="shared" si="34"/>
        <v>1050</v>
      </c>
    </row>
    <row r="221" spans="1:25" x14ac:dyDescent="0.2">
      <c r="B221" s="18" t="s">
        <v>3</v>
      </c>
      <c r="E221" s="21">
        <f t="shared" ref="E221:V221" si="35">$D196*E196</f>
        <v>360</v>
      </c>
      <c r="F221" s="21">
        <f t="shared" si="35"/>
        <v>360</v>
      </c>
      <c r="G221" s="21">
        <f t="shared" si="35"/>
        <v>360</v>
      </c>
      <c r="H221" s="21">
        <f t="shared" si="35"/>
        <v>360</v>
      </c>
      <c r="I221" s="21">
        <f t="shared" si="35"/>
        <v>360</v>
      </c>
      <c r="J221" s="21">
        <f t="shared" si="35"/>
        <v>360</v>
      </c>
      <c r="K221" s="21">
        <f t="shared" si="35"/>
        <v>360</v>
      </c>
      <c r="L221" s="21">
        <f t="shared" si="35"/>
        <v>360</v>
      </c>
      <c r="M221" s="21">
        <f t="shared" si="35"/>
        <v>360</v>
      </c>
      <c r="N221" s="21">
        <f t="shared" si="35"/>
        <v>360</v>
      </c>
      <c r="O221" s="21">
        <f t="shared" si="35"/>
        <v>360</v>
      </c>
      <c r="P221" s="21">
        <f t="shared" si="35"/>
        <v>360</v>
      </c>
      <c r="Q221" s="21">
        <f t="shared" si="35"/>
        <v>360</v>
      </c>
      <c r="R221" s="21">
        <f t="shared" si="35"/>
        <v>360</v>
      </c>
      <c r="S221" s="21">
        <f t="shared" si="35"/>
        <v>360</v>
      </c>
      <c r="T221" s="21">
        <f t="shared" si="35"/>
        <v>360</v>
      </c>
      <c r="U221" s="21">
        <f t="shared" si="35"/>
        <v>360</v>
      </c>
      <c r="V221" s="21">
        <f t="shared" si="35"/>
        <v>360</v>
      </c>
    </row>
    <row r="222" spans="1:25" x14ac:dyDescent="0.2">
      <c r="B222" s="18" t="s">
        <v>4</v>
      </c>
      <c r="E222" s="21">
        <f t="shared" ref="E222:V222" si="36">$D197*E197</f>
        <v>220.00000000000003</v>
      </c>
      <c r="F222" s="21">
        <f t="shared" si="36"/>
        <v>220.00000000000003</v>
      </c>
      <c r="G222" s="21">
        <f t="shared" si="36"/>
        <v>220.00000000000003</v>
      </c>
      <c r="H222" s="21">
        <f t="shared" si="36"/>
        <v>220.00000000000003</v>
      </c>
      <c r="I222" s="21">
        <f t="shared" si="36"/>
        <v>220.00000000000003</v>
      </c>
      <c r="J222" s="21">
        <f t="shared" si="36"/>
        <v>220.00000000000003</v>
      </c>
      <c r="K222" s="21">
        <f t="shared" si="36"/>
        <v>220.00000000000003</v>
      </c>
      <c r="L222" s="21">
        <f t="shared" si="36"/>
        <v>0</v>
      </c>
      <c r="M222" s="21">
        <f t="shared" si="36"/>
        <v>0</v>
      </c>
      <c r="N222" s="21">
        <f t="shared" si="36"/>
        <v>0</v>
      </c>
      <c r="O222" s="21">
        <f t="shared" si="36"/>
        <v>0</v>
      </c>
      <c r="P222" s="21">
        <f t="shared" si="36"/>
        <v>0</v>
      </c>
      <c r="Q222" s="21">
        <f t="shared" si="36"/>
        <v>440.00000000000006</v>
      </c>
      <c r="R222" s="21">
        <f t="shared" si="36"/>
        <v>440.00000000000006</v>
      </c>
      <c r="S222" s="21">
        <f t="shared" si="36"/>
        <v>440.00000000000006</v>
      </c>
      <c r="T222" s="21">
        <f t="shared" si="36"/>
        <v>440.00000000000006</v>
      </c>
      <c r="U222" s="21">
        <f t="shared" si="36"/>
        <v>440.00000000000006</v>
      </c>
      <c r="V222" s="21">
        <f t="shared" si="36"/>
        <v>440.00000000000006</v>
      </c>
    </row>
    <row r="223" spans="1:25" x14ac:dyDescent="0.2">
      <c r="B223" s="18" t="s">
        <v>5</v>
      </c>
      <c r="E223" s="21">
        <f t="shared" ref="E223:V223" si="37">$D198*E198</f>
        <v>360</v>
      </c>
      <c r="F223" s="21">
        <f t="shared" si="37"/>
        <v>360</v>
      </c>
      <c r="G223" s="21">
        <f t="shared" si="37"/>
        <v>360</v>
      </c>
      <c r="H223" s="21">
        <f t="shared" si="37"/>
        <v>360</v>
      </c>
      <c r="I223" s="21">
        <f t="shared" si="37"/>
        <v>360</v>
      </c>
      <c r="J223" s="21">
        <f t="shared" si="37"/>
        <v>360</v>
      </c>
      <c r="K223" s="21">
        <f t="shared" si="37"/>
        <v>360</v>
      </c>
      <c r="L223" s="21">
        <f t="shared" si="37"/>
        <v>360</v>
      </c>
      <c r="M223" s="21">
        <f t="shared" si="37"/>
        <v>360</v>
      </c>
      <c r="N223" s="21">
        <f t="shared" si="37"/>
        <v>360</v>
      </c>
      <c r="O223" s="21">
        <f t="shared" si="37"/>
        <v>360</v>
      </c>
      <c r="P223" s="21">
        <f t="shared" si="37"/>
        <v>360</v>
      </c>
      <c r="Q223" s="21">
        <f t="shared" si="37"/>
        <v>360</v>
      </c>
      <c r="R223" s="21">
        <f t="shared" si="37"/>
        <v>360</v>
      </c>
      <c r="S223" s="21">
        <f t="shared" si="37"/>
        <v>360</v>
      </c>
      <c r="T223" s="21">
        <f t="shared" si="37"/>
        <v>360</v>
      </c>
      <c r="U223" s="21">
        <f t="shared" si="37"/>
        <v>360</v>
      </c>
      <c r="V223" s="21">
        <f t="shared" si="37"/>
        <v>360</v>
      </c>
    </row>
    <row r="224" spans="1:25" x14ac:dyDescent="0.2">
      <c r="B224" s="18" t="s">
        <v>6</v>
      </c>
      <c r="E224" s="21">
        <f t="shared" ref="E224:V224" si="38">$D199*E199</f>
        <v>525</v>
      </c>
      <c r="F224" s="21">
        <f t="shared" si="38"/>
        <v>525</v>
      </c>
      <c r="G224" s="21">
        <f t="shared" si="38"/>
        <v>525</v>
      </c>
      <c r="H224" s="21">
        <f t="shared" si="38"/>
        <v>525</v>
      </c>
      <c r="I224" s="21">
        <f t="shared" si="38"/>
        <v>525</v>
      </c>
      <c r="J224" s="21">
        <f t="shared" si="38"/>
        <v>525</v>
      </c>
      <c r="K224" s="21">
        <f t="shared" si="38"/>
        <v>525</v>
      </c>
      <c r="L224" s="21">
        <f t="shared" si="38"/>
        <v>525</v>
      </c>
      <c r="M224" s="21">
        <f t="shared" si="38"/>
        <v>0</v>
      </c>
      <c r="N224" s="21">
        <f t="shared" si="38"/>
        <v>0</v>
      </c>
      <c r="O224" s="21">
        <f t="shared" si="38"/>
        <v>0</v>
      </c>
      <c r="P224" s="21">
        <f t="shared" si="38"/>
        <v>0</v>
      </c>
      <c r="Q224" s="21">
        <f t="shared" si="38"/>
        <v>0</v>
      </c>
      <c r="R224" s="21">
        <f t="shared" si="38"/>
        <v>1050</v>
      </c>
      <c r="S224" s="21">
        <f t="shared" si="38"/>
        <v>1050</v>
      </c>
      <c r="T224" s="21">
        <f t="shared" si="38"/>
        <v>1050</v>
      </c>
      <c r="U224" s="21">
        <f t="shared" si="38"/>
        <v>1050</v>
      </c>
      <c r="V224" s="21">
        <f t="shared" si="38"/>
        <v>1050</v>
      </c>
      <c r="W224" s="3"/>
      <c r="X224" s="3"/>
      <c r="Y224" s="3"/>
    </row>
    <row r="225" spans="1:25" x14ac:dyDescent="0.2">
      <c r="B225" s="18" t="s">
        <v>7</v>
      </c>
      <c r="E225" s="21">
        <f t="shared" ref="E225:V225" si="39">$D200*E200</f>
        <v>1200</v>
      </c>
      <c r="F225" s="21">
        <f t="shared" si="39"/>
        <v>1200</v>
      </c>
      <c r="G225" s="21">
        <f t="shared" si="39"/>
        <v>700</v>
      </c>
      <c r="H225" s="21">
        <f t="shared" si="39"/>
        <v>700</v>
      </c>
      <c r="I225" s="21">
        <f t="shared" si="39"/>
        <v>700</v>
      </c>
      <c r="J225" s="21">
        <f t="shared" si="39"/>
        <v>700</v>
      </c>
      <c r="K225" s="21">
        <f t="shared" si="39"/>
        <v>700</v>
      </c>
      <c r="L225" s="21">
        <f t="shared" si="39"/>
        <v>700</v>
      </c>
      <c r="M225" s="21">
        <f t="shared" si="39"/>
        <v>700</v>
      </c>
      <c r="N225" s="21">
        <f t="shared" si="39"/>
        <v>700</v>
      </c>
      <c r="O225" s="21">
        <f t="shared" si="39"/>
        <v>0</v>
      </c>
      <c r="P225" s="21">
        <f t="shared" si="39"/>
        <v>0</v>
      </c>
      <c r="Q225" s="21">
        <f t="shared" si="39"/>
        <v>0</v>
      </c>
      <c r="R225" s="21">
        <f t="shared" si="39"/>
        <v>1500</v>
      </c>
      <c r="S225" s="21">
        <f t="shared" si="39"/>
        <v>1500</v>
      </c>
      <c r="T225" s="21">
        <f t="shared" si="39"/>
        <v>1500</v>
      </c>
      <c r="U225" s="21">
        <f t="shared" si="39"/>
        <v>1500</v>
      </c>
      <c r="V225" s="21">
        <f t="shared" si="39"/>
        <v>1500</v>
      </c>
      <c r="W225" s="3"/>
      <c r="X225" s="3"/>
      <c r="Y225" s="3"/>
    </row>
    <row r="226" spans="1:25" x14ac:dyDescent="0.2">
      <c r="B226" s="18" t="s">
        <v>8</v>
      </c>
      <c r="E226" s="21">
        <f t="shared" ref="E226:V226" si="40">$D201*E201</f>
        <v>4000</v>
      </c>
      <c r="F226" s="21">
        <f t="shared" si="40"/>
        <v>4000</v>
      </c>
      <c r="G226" s="21">
        <f t="shared" si="40"/>
        <v>4000</v>
      </c>
      <c r="H226" s="21">
        <f t="shared" si="40"/>
        <v>4000</v>
      </c>
      <c r="I226" s="21">
        <f t="shared" si="40"/>
        <v>4000</v>
      </c>
      <c r="J226" s="21">
        <f t="shared" si="40"/>
        <v>4000</v>
      </c>
      <c r="K226" s="21">
        <f t="shared" si="40"/>
        <v>4000</v>
      </c>
      <c r="L226" s="21">
        <f t="shared" si="40"/>
        <v>4000</v>
      </c>
      <c r="M226" s="21">
        <f t="shared" si="40"/>
        <v>2000</v>
      </c>
      <c r="N226" s="21">
        <f t="shared" si="40"/>
        <v>2000</v>
      </c>
      <c r="O226" s="21">
        <f t="shared" si="40"/>
        <v>2000</v>
      </c>
      <c r="P226" s="21">
        <f t="shared" si="40"/>
        <v>2000</v>
      </c>
      <c r="Q226" s="21">
        <f t="shared" si="40"/>
        <v>2000</v>
      </c>
      <c r="R226" s="21">
        <f t="shared" si="40"/>
        <v>4000</v>
      </c>
      <c r="S226" s="21">
        <f t="shared" si="40"/>
        <v>4000</v>
      </c>
      <c r="T226" s="21">
        <f t="shared" si="40"/>
        <v>4000</v>
      </c>
      <c r="U226" s="21">
        <f t="shared" si="40"/>
        <v>4000</v>
      </c>
      <c r="V226" s="21">
        <f t="shared" si="40"/>
        <v>4000</v>
      </c>
      <c r="W226" s="3"/>
      <c r="X226" s="3"/>
      <c r="Y226" s="3"/>
    </row>
    <row r="227" spans="1:25" x14ac:dyDescent="0.2">
      <c r="A227" s="18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V227" s="3"/>
      <c r="W227" s="3"/>
      <c r="X227" s="3"/>
      <c r="Y227" s="3"/>
    </row>
    <row r="228" spans="1:25" x14ac:dyDescent="0.2">
      <c r="A228" s="19" t="s">
        <v>33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V228" s="3"/>
      <c r="W228" s="3"/>
      <c r="X228" s="3"/>
      <c r="Y228" s="3"/>
    </row>
    <row r="229" spans="1:25" x14ac:dyDescent="0.2">
      <c r="B229" s="20" t="s">
        <v>0</v>
      </c>
      <c r="E229" s="68" t="s">
        <v>83</v>
      </c>
      <c r="F229" s="68" t="s">
        <v>84</v>
      </c>
      <c r="G229" s="68" t="s">
        <v>85</v>
      </c>
      <c r="H229" s="68" t="s">
        <v>86</v>
      </c>
      <c r="I229" s="68" t="s">
        <v>87</v>
      </c>
      <c r="J229" s="68" t="s">
        <v>88</v>
      </c>
      <c r="K229" s="68" t="s">
        <v>89</v>
      </c>
      <c r="L229" s="68" t="s">
        <v>90</v>
      </c>
      <c r="M229" s="68" t="s">
        <v>91</v>
      </c>
      <c r="N229" s="68" t="s">
        <v>92</v>
      </c>
      <c r="O229" s="68" t="s">
        <v>94</v>
      </c>
      <c r="P229" s="68" t="s">
        <v>95</v>
      </c>
      <c r="Q229" s="68" t="s">
        <v>93</v>
      </c>
      <c r="R229" s="68" t="s">
        <v>96</v>
      </c>
      <c r="S229" s="68" t="s">
        <v>97</v>
      </c>
      <c r="T229" s="68" t="s">
        <v>98</v>
      </c>
      <c r="U229" s="68" t="s">
        <v>99</v>
      </c>
      <c r="V229" s="68" t="s">
        <v>100</v>
      </c>
      <c r="W229" s="3"/>
      <c r="X229" s="3"/>
      <c r="Y229" s="42"/>
    </row>
    <row r="230" spans="1:25" x14ac:dyDescent="0.2">
      <c r="B230" s="18" t="s">
        <v>1</v>
      </c>
      <c r="E230" s="61">
        <v>180</v>
      </c>
      <c r="F230" s="61">
        <v>180</v>
      </c>
      <c r="G230" s="61">
        <v>180</v>
      </c>
      <c r="H230" s="61">
        <v>180</v>
      </c>
      <c r="I230" s="61">
        <v>180</v>
      </c>
      <c r="J230" s="61">
        <v>180</v>
      </c>
      <c r="K230" s="61">
        <v>180</v>
      </c>
      <c r="L230" s="61">
        <v>180</v>
      </c>
      <c r="M230" s="61">
        <v>180</v>
      </c>
      <c r="N230" s="61">
        <v>180</v>
      </c>
      <c r="O230" s="61">
        <v>180</v>
      </c>
      <c r="P230" s="61">
        <v>180</v>
      </c>
      <c r="Q230" s="61">
        <v>180</v>
      </c>
      <c r="R230" s="61">
        <v>180</v>
      </c>
      <c r="S230" s="61">
        <v>180</v>
      </c>
      <c r="T230" s="61">
        <v>180</v>
      </c>
      <c r="U230" s="61">
        <v>180</v>
      </c>
      <c r="V230" s="61">
        <v>180</v>
      </c>
      <c r="W230" s="3"/>
      <c r="X230" s="3"/>
      <c r="Y230" s="3"/>
    </row>
    <row r="231" spans="1:25" x14ac:dyDescent="0.2">
      <c r="B231" s="18" t="s">
        <v>2</v>
      </c>
      <c r="E231" s="61">
        <v>180</v>
      </c>
      <c r="F231" s="61">
        <v>180</v>
      </c>
      <c r="G231" s="61">
        <v>185</v>
      </c>
      <c r="H231" s="61">
        <v>185</v>
      </c>
      <c r="I231" s="61">
        <v>185</v>
      </c>
      <c r="J231" s="61">
        <v>185</v>
      </c>
      <c r="K231" s="61">
        <v>185</v>
      </c>
      <c r="L231" s="61">
        <v>185</v>
      </c>
      <c r="M231" s="61">
        <v>185</v>
      </c>
      <c r="N231" s="61">
        <v>185</v>
      </c>
      <c r="O231" s="61">
        <v>185</v>
      </c>
      <c r="P231" s="61">
        <v>185</v>
      </c>
      <c r="Q231" s="61">
        <v>180</v>
      </c>
      <c r="R231" s="61">
        <v>180</v>
      </c>
      <c r="S231" s="61">
        <v>180</v>
      </c>
      <c r="T231" s="61">
        <v>180</v>
      </c>
      <c r="U231" s="61">
        <v>180</v>
      </c>
      <c r="V231" s="61">
        <v>180</v>
      </c>
      <c r="W231" s="3"/>
      <c r="X231" s="3"/>
      <c r="Y231" s="3"/>
    </row>
    <row r="232" spans="1:25" x14ac:dyDescent="0.2">
      <c r="B232" s="18" t="s">
        <v>3</v>
      </c>
      <c r="E232" s="61">
        <v>110</v>
      </c>
      <c r="F232" s="61">
        <v>110</v>
      </c>
      <c r="G232" s="61">
        <v>120</v>
      </c>
      <c r="H232" s="61">
        <v>120</v>
      </c>
      <c r="I232" s="61">
        <v>120</v>
      </c>
      <c r="J232" s="61">
        <v>120</v>
      </c>
      <c r="K232" s="61">
        <v>120</v>
      </c>
      <c r="L232" s="61">
        <v>120</v>
      </c>
      <c r="M232" s="61">
        <v>120</v>
      </c>
      <c r="N232" s="61">
        <v>120</v>
      </c>
      <c r="O232" s="61">
        <v>120</v>
      </c>
      <c r="P232" s="61">
        <v>120</v>
      </c>
      <c r="Q232" s="61">
        <v>110</v>
      </c>
      <c r="R232" s="61">
        <v>110</v>
      </c>
      <c r="S232" s="61">
        <v>120</v>
      </c>
      <c r="T232" s="61">
        <v>120</v>
      </c>
      <c r="U232" s="61">
        <v>120</v>
      </c>
      <c r="V232" s="61">
        <v>120</v>
      </c>
      <c r="W232" s="3"/>
      <c r="X232" s="3"/>
      <c r="Y232" s="3"/>
    </row>
    <row r="233" spans="1:25" x14ac:dyDescent="0.2">
      <c r="B233" s="18" t="s">
        <v>4</v>
      </c>
      <c r="E233" s="61">
        <v>216</v>
      </c>
      <c r="F233" s="61">
        <v>216</v>
      </c>
      <c r="G233" s="61">
        <v>216</v>
      </c>
      <c r="H233" s="61">
        <v>216</v>
      </c>
      <c r="I233" s="61">
        <v>216</v>
      </c>
      <c r="J233" s="61">
        <v>216</v>
      </c>
      <c r="K233" s="61">
        <v>225</v>
      </c>
      <c r="L233" s="61">
        <v>225</v>
      </c>
      <c r="M233" s="61">
        <v>225</v>
      </c>
      <c r="N233" s="61">
        <v>225</v>
      </c>
      <c r="O233" s="61">
        <v>225</v>
      </c>
      <c r="P233" s="61">
        <v>225</v>
      </c>
      <c r="Q233" s="61">
        <v>216</v>
      </c>
      <c r="R233" s="61">
        <v>216</v>
      </c>
      <c r="S233" s="61">
        <v>216</v>
      </c>
      <c r="T233" s="61">
        <v>216</v>
      </c>
      <c r="U233" s="61">
        <v>216</v>
      </c>
      <c r="V233" s="61">
        <v>216</v>
      </c>
    </row>
    <row r="234" spans="1:25" x14ac:dyDescent="0.2">
      <c r="B234" s="18" t="s">
        <v>5</v>
      </c>
      <c r="E234" s="61">
        <v>165</v>
      </c>
      <c r="F234" s="61">
        <v>165</v>
      </c>
      <c r="G234" s="61">
        <v>165</v>
      </c>
      <c r="H234" s="61">
        <v>165</v>
      </c>
      <c r="I234" s="61">
        <v>165</v>
      </c>
      <c r="J234" s="61">
        <v>165</v>
      </c>
      <c r="K234" s="61">
        <v>165</v>
      </c>
      <c r="L234" s="61">
        <v>165</v>
      </c>
      <c r="M234" s="61">
        <v>165</v>
      </c>
      <c r="N234" s="61">
        <v>165</v>
      </c>
      <c r="O234" s="61">
        <v>165</v>
      </c>
      <c r="P234" s="61">
        <v>165</v>
      </c>
      <c r="Q234" s="61">
        <v>165</v>
      </c>
      <c r="R234" s="61">
        <v>165</v>
      </c>
      <c r="S234" s="61">
        <v>165</v>
      </c>
      <c r="T234" s="61">
        <v>165</v>
      </c>
      <c r="U234" s="61">
        <v>165</v>
      </c>
      <c r="V234" s="61">
        <v>165</v>
      </c>
    </row>
    <row r="235" spans="1:25" x14ac:dyDescent="0.2">
      <c r="B235" s="18" t="s">
        <v>6</v>
      </c>
      <c r="E235" s="61">
        <v>128</v>
      </c>
      <c r="F235" s="61">
        <v>128</v>
      </c>
      <c r="G235" s="61">
        <v>128</v>
      </c>
      <c r="H235" s="61">
        <v>128</v>
      </c>
      <c r="I235" s="61">
        <v>128</v>
      </c>
      <c r="J235" s="61">
        <v>128</v>
      </c>
      <c r="K235" s="61">
        <v>128</v>
      </c>
      <c r="L235" s="61">
        <v>136</v>
      </c>
      <c r="M235" s="61">
        <v>136</v>
      </c>
      <c r="N235" s="61">
        <v>136</v>
      </c>
      <c r="O235" s="61">
        <v>136</v>
      </c>
      <c r="P235" s="61">
        <v>136</v>
      </c>
      <c r="Q235" s="61">
        <v>136</v>
      </c>
      <c r="R235" s="61">
        <v>128</v>
      </c>
      <c r="S235" s="61">
        <v>128</v>
      </c>
      <c r="T235" s="61">
        <v>128</v>
      </c>
      <c r="U235" s="61">
        <v>128</v>
      </c>
      <c r="V235" s="61">
        <v>128</v>
      </c>
    </row>
    <row r="236" spans="1:25" x14ac:dyDescent="0.2">
      <c r="B236" s="18" t="s">
        <v>7</v>
      </c>
      <c r="E236" s="61">
        <v>211</v>
      </c>
      <c r="F236" s="61">
        <v>211</v>
      </c>
      <c r="G236" s="61">
        <v>211</v>
      </c>
      <c r="H236" s="61">
        <v>211</v>
      </c>
      <c r="I236" s="61">
        <v>211</v>
      </c>
      <c r="J236" s="61">
        <v>211</v>
      </c>
      <c r="K236" s="61">
        <v>211</v>
      </c>
      <c r="L236" s="61">
        <v>211</v>
      </c>
      <c r="M236" s="61">
        <v>211</v>
      </c>
      <c r="N236" s="61">
        <v>211</v>
      </c>
      <c r="O236" s="61">
        <v>211</v>
      </c>
      <c r="P236" s="61">
        <v>211</v>
      </c>
      <c r="Q236" s="61">
        <v>211</v>
      </c>
      <c r="R236" s="61">
        <v>211</v>
      </c>
      <c r="S236" s="61">
        <v>211</v>
      </c>
      <c r="T236" s="61">
        <v>211</v>
      </c>
      <c r="U236" s="61">
        <v>211</v>
      </c>
      <c r="V236" s="61">
        <v>211</v>
      </c>
    </row>
    <row r="237" spans="1:25" x14ac:dyDescent="0.2">
      <c r="B237" s="18" t="s">
        <v>8</v>
      </c>
      <c r="E237" s="61">
        <v>160</v>
      </c>
      <c r="F237" s="61">
        <v>160</v>
      </c>
      <c r="G237" s="61">
        <v>160</v>
      </c>
      <c r="H237" s="61">
        <v>160</v>
      </c>
      <c r="I237" s="61">
        <v>160</v>
      </c>
      <c r="J237" s="61">
        <v>160</v>
      </c>
      <c r="K237" s="61">
        <v>160</v>
      </c>
      <c r="L237" s="61">
        <v>170</v>
      </c>
      <c r="M237" s="61">
        <v>170</v>
      </c>
      <c r="N237" s="61">
        <v>170</v>
      </c>
      <c r="O237" s="61">
        <v>170</v>
      </c>
      <c r="P237" s="61">
        <v>170</v>
      </c>
      <c r="Q237" s="61">
        <v>170</v>
      </c>
      <c r="R237" s="61">
        <v>170</v>
      </c>
      <c r="S237" s="61">
        <v>170</v>
      </c>
      <c r="T237" s="61">
        <v>170</v>
      </c>
      <c r="U237" s="61">
        <v>170</v>
      </c>
      <c r="V237" s="61">
        <v>170</v>
      </c>
    </row>
    <row r="239" spans="1:25" x14ac:dyDescent="0.2">
      <c r="A239" s="71" t="s">
        <v>112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25" x14ac:dyDescent="0.2">
      <c r="B240" s="20" t="s">
        <v>0</v>
      </c>
      <c r="E240" s="68" t="s">
        <v>83</v>
      </c>
      <c r="F240" s="68" t="s">
        <v>84</v>
      </c>
      <c r="G240" s="68" t="s">
        <v>85</v>
      </c>
      <c r="H240" s="68" t="s">
        <v>86</v>
      </c>
      <c r="I240" s="68" t="s">
        <v>87</v>
      </c>
      <c r="J240" s="68" t="s">
        <v>88</v>
      </c>
      <c r="K240" s="68" t="s">
        <v>89</v>
      </c>
      <c r="L240" s="68" t="s">
        <v>90</v>
      </c>
      <c r="M240" s="68" t="s">
        <v>91</v>
      </c>
      <c r="N240" s="68" t="s">
        <v>92</v>
      </c>
      <c r="O240" s="68" t="s">
        <v>94</v>
      </c>
      <c r="P240" s="68" t="s">
        <v>95</v>
      </c>
      <c r="Q240" s="68" t="s">
        <v>93</v>
      </c>
      <c r="R240" s="68" t="s">
        <v>96</v>
      </c>
      <c r="S240" s="68" t="s">
        <v>97</v>
      </c>
      <c r="T240" s="68" t="s">
        <v>98</v>
      </c>
      <c r="U240" s="68" t="s">
        <v>99</v>
      </c>
      <c r="V240" s="68" t="s">
        <v>100</v>
      </c>
    </row>
    <row r="241" spans="1:22" x14ac:dyDescent="0.2">
      <c r="B241" s="18" t="s">
        <v>1</v>
      </c>
      <c r="E241" s="33">
        <f t="shared" ref="E241:V241" si="41">E13+SUM(E26:E29)</f>
        <v>1000</v>
      </c>
      <c r="F241" s="33">
        <f t="shared" si="41"/>
        <v>1000</v>
      </c>
      <c r="G241" s="33">
        <f t="shared" si="41"/>
        <v>1000</v>
      </c>
      <c r="H241" s="33">
        <f t="shared" si="41"/>
        <v>1000</v>
      </c>
      <c r="I241" s="33">
        <f t="shared" si="41"/>
        <v>1000</v>
      </c>
      <c r="J241" s="33">
        <f t="shared" si="41"/>
        <v>1500</v>
      </c>
      <c r="K241" s="33">
        <f t="shared" si="41"/>
        <v>1500</v>
      </c>
      <c r="L241" s="33">
        <f t="shared" si="41"/>
        <v>1500</v>
      </c>
      <c r="M241" s="33">
        <f t="shared" si="41"/>
        <v>1500</v>
      </c>
      <c r="N241" s="33">
        <f t="shared" si="41"/>
        <v>500</v>
      </c>
      <c r="O241" s="33">
        <f t="shared" si="41"/>
        <v>500</v>
      </c>
      <c r="P241" s="33">
        <f t="shared" si="41"/>
        <v>500.00000199999999</v>
      </c>
      <c r="Q241" s="33">
        <f t="shared" si="41"/>
        <v>500</v>
      </c>
      <c r="R241" s="33">
        <f t="shared" si="41"/>
        <v>1499.9999500000001</v>
      </c>
      <c r="S241" s="33">
        <f t="shared" si="41"/>
        <v>1500</v>
      </c>
      <c r="T241" s="33">
        <f t="shared" si="41"/>
        <v>1499.99999</v>
      </c>
      <c r="U241" s="33">
        <f t="shared" si="41"/>
        <v>1500</v>
      </c>
      <c r="V241" s="33">
        <f t="shared" si="41"/>
        <v>2000</v>
      </c>
    </row>
    <row r="242" spans="1:22" x14ac:dyDescent="0.2">
      <c r="B242" s="18" t="s">
        <v>2</v>
      </c>
      <c r="E242" s="33">
        <f t="shared" ref="E242:V242" si="42">E14+SUM(E30:E34)</f>
        <v>315</v>
      </c>
      <c r="F242" s="33">
        <f t="shared" si="42"/>
        <v>315</v>
      </c>
      <c r="G242" s="33">
        <f t="shared" si="42"/>
        <v>315</v>
      </c>
      <c r="H242" s="33">
        <f t="shared" si="42"/>
        <v>315</v>
      </c>
      <c r="I242" s="33">
        <f t="shared" si="42"/>
        <v>315</v>
      </c>
      <c r="J242" s="33">
        <f t="shared" si="42"/>
        <v>315</v>
      </c>
      <c r="K242" s="33">
        <f t="shared" si="42"/>
        <v>315</v>
      </c>
      <c r="L242" s="33">
        <f t="shared" si="42"/>
        <v>315</v>
      </c>
      <c r="M242" s="33">
        <f t="shared" si="42"/>
        <v>315</v>
      </c>
      <c r="N242" s="33">
        <f t="shared" si="42"/>
        <v>315</v>
      </c>
      <c r="O242" s="33">
        <f t="shared" si="42"/>
        <v>315</v>
      </c>
      <c r="P242" s="33">
        <f t="shared" si="42"/>
        <v>315.00000199999999</v>
      </c>
      <c r="Q242" s="33">
        <f t="shared" si="42"/>
        <v>315</v>
      </c>
      <c r="R242" s="33">
        <f t="shared" si="42"/>
        <v>1050</v>
      </c>
      <c r="S242" s="33">
        <f t="shared" si="42"/>
        <v>1050</v>
      </c>
      <c r="T242" s="33">
        <f t="shared" si="42"/>
        <v>1050</v>
      </c>
      <c r="U242" s="33">
        <f t="shared" si="42"/>
        <v>1050</v>
      </c>
      <c r="V242" s="33">
        <f t="shared" si="42"/>
        <v>1050</v>
      </c>
    </row>
    <row r="243" spans="1:22" x14ac:dyDescent="0.2">
      <c r="B243" s="18" t="s">
        <v>3</v>
      </c>
      <c r="E243" s="33">
        <f t="shared" ref="E243:V243" si="43">E15+SUM(E35:E42)</f>
        <v>225</v>
      </c>
      <c r="F243" s="33">
        <f t="shared" si="43"/>
        <v>225.00000199999999</v>
      </c>
      <c r="G243" s="33">
        <f t="shared" si="43"/>
        <v>224.99999500000001</v>
      </c>
      <c r="H243" s="33">
        <f t="shared" si="43"/>
        <v>224.99999800000001</v>
      </c>
      <c r="I243" s="33">
        <f t="shared" si="43"/>
        <v>225</v>
      </c>
      <c r="J243" s="33">
        <f t="shared" si="43"/>
        <v>225</v>
      </c>
      <c r="K243" s="33">
        <f t="shared" si="43"/>
        <v>224.99999699999998</v>
      </c>
      <c r="L243" s="33">
        <f t="shared" si="43"/>
        <v>225</v>
      </c>
      <c r="M243" s="33">
        <f t="shared" si="43"/>
        <v>225</v>
      </c>
      <c r="N243" s="33">
        <f t="shared" si="43"/>
        <v>225.00000119999999</v>
      </c>
      <c r="O243" s="33">
        <f t="shared" si="43"/>
        <v>224.99999999999997</v>
      </c>
      <c r="P243" s="33">
        <f t="shared" si="43"/>
        <v>224.99999600000001</v>
      </c>
      <c r="Q243" s="33">
        <f t="shared" si="43"/>
        <v>225</v>
      </c>
      <c r="R243" s="33">
        <f t="shared" si="43"/>
        <v>225</v>
      </c>
      <c r="S243" s="33">
        <f t="shared" si="43"/>
        <v>225.00000499999999</v>
      </c>
      <c r="T243" s="33">
        <f t="shared" si="43"/>
        <v>225</v>
      </c>
      <c r="U243" s="33">
        <f t="shared" si="43"/>
        <v>224.99999500000001</v>
      </c>
      <c r="V243" s="33">
        <f t="shared" si="43"/>
        <v>225</v>
      </c>
    </row>
    <row r="244" spans="1:22" x14ac:dyDescent="0.2">
      <c r="B244" s="18" t="s">
        <v>4</v>
      </c>
      <c r="E244" s="33">
        <f t="shared" ref="E244:V244" si="44">E16+SUM(E43:E46)</f>
        <v>220</v>
      </c>
      <c r="F244" s="33">
        <f t="shared" si="44"/>
        <v>220.00000499999999</v>
      </c>
      <c r="G244" s="33">
        <f t="shared" si="44"/>
        <v>220</v>
      </c>
      <c r="H244" s="33">
        <f t="shared" si="44"/>
        <v>220</v>
      </c>
      <c r="I244" s="33">
        <f t="shared" si="44"/>
        <v>220</v>
      </c>
      <c r="J244" s="33">
        <f t="shared" si="44"/>
        <v>220.00000499999999</v>
      </c>
      <c r="K244" s="33">
        <f t="shared" si="44"/>
        <v>220.00000399999999</v>
      </c>
      <c r="L244" s="33">
        <f t="shared" si="44"/>
        <v>0</v>
      </c>
      <c r="M244" s="33">
        <f t="shared" si="44"/>
        <v>0</v>
      </c>
      <c r="N244" s="33">
        <f t="shared" si="44"/>
        <v>0</v>
      </c>
      <c r="O244" s="33">
        <f t="shared" si="44"/>
        <v>0</v>
      </c>
      <c r="P244" s="33">
        <f t="shared" si="44"/>
        <v>0</v>
      </c>
      <c r="Q244" s="33">
        <f t="shared" si="44"/>
        <v>422.94624999999996</v>
      </c>
      <c r="R244" s="33">
        <f t="shared" si="44"/>
        <v>440</v>
      </c>
      <c r="S244" s="33">
        <f t="shared" si="44"/>
        <v>440</v>
      </c>
      <c r="T244" s="33">
        <f t="shared" si="44"/>
        <v>440</v>
      </c>
      <c r="U244" s="33">
        <f t="shared" si="44"/>
        <v>440</v>
      </c>
      <c r="V244" s="33">
        <f t="shared" si="44"/>
        <v>439.99999700000001</v>
      </c>
    </row>
    <row r="245" spans="1:22" x14ac:dyDescent="0.2">
      <c r="B245" s="18" t="s">
        <v>5</v>
      </c>
      <c r="E245" s="33">
        <f t="shared" ref="E245:V245" si="45">E17+SUM(E47:E48)</f>
        <v>90</v>
      </c>
      <c r="F245" s="33">
        <f t="shared" si="45"/>
        <v>90</v>
      </c>
      <c r="G245" s="33">
        <f t="shared" si="45"/>
        <v>90</v>
      </c>
      <c r="H245" s="33">
        <f t="shared" si="45"/>
        <v>90</v>
      </c>
      <c r="I245" s="33">
        <f t="shared" si="45"/>
        <v>90</v>
      </c>
      <c r="J245" s="33">
        <f t="shared" si="45"/>
        <v>90</v>
      </c>
      <c r="K245" s="33">
        <f t="shared" si="45"/>
        <v>90</v>
      </c>
      <c r="L245" s="33">
        <f t="shared" si="45"/>
        <v>90</v>
      </c>
      <c r="M245" s="33">
        <f t="shared" si="45"/>
        <v>116.99878</v>
      </c>
      <c r="N245" s="33">
        <f t="shared" si="45"/>
        <v>344.88909000000001</v>
      </c>
      <c r="O245" s="33">
        <f t="shared" si="45"/>
        <v>231.36152000000001</v>
      </c>
      <c r="P245" s="33">
        <f t="shared" si="45"/>
        <v>341.58587</v>
      </c>
      <c r="Q245" s="33">
        <f t="shared" si="45"/>
        <v>360</v>
      </c>
      <c r="R245" s="33">
        <f t="shared" si="45"/>
        <v>360</v>
      </c>
      <c r="S245" s="33">
        <f t="shared" si="45"/>
        <v>360</v>
      </c>
      <c r="T245" s="33">
        <f t="shared" si="45"/>
        <v>360</v>
      </c>
      <c r="U245" s="33">
        <f t="shared" si="45"/>
        <v>360</v>
      </c>
      <c r="V245" s="33">
        <f t="shared" si="45"/>
        <v>360</v>
      </c>
    </row>
    <row r="246" spans="1:22" x14ac:dyDescent="0.2">
      <c r="B246" s="18" t="s">
        <v>6</v>
      </c>
      <c r="E246" s="33">
        <f t="shared" ref="E246:V246" si="46">E18+SUM(E49:E59)</f>
        <v>450</v>
      </c>
      <c r="F246" s="33">
        <f t="shared" si="46"/>
        <v>450</v>
      </c>
      <c r="G246" s="33">
        <f t="shared" si="46"/>
        <v>450</v>
      </c>
      <c r="H246" s="33">
        <f t="shared" si="46"/>
        <v>450</v>
      </c>
      <c r="I246" s="33">
        <f t="shared" si="46"/>
        <v>450</v>
      </c>
      <c r="J246" s="33">
        <f t="shared" si="46"/>
        <v>450.00000399999999</v>
      </c>
      <c r="K246" s="33">
        <f t="shared" si="46"/>
        <v>450</v>
      </c>
      <c r="L246" s="33">
        <f t="shared" si="46"/>
        <v>450</v>
      </c>
      <c r="M246" s="33">
        <f t="shared" si="46"/>
        <v>0</v>
      </c>
      <c r="N246" s="33">
        <f t="shared" si="46"/>
        <v>0</v>
      </c>
      <c r="O246" s="33">
        <f t="shared" si="46"/>
        <v>0</v>
      </c>
      <c r="P246" s="33">
        <f t="shared" si="46"/>
        <v>0</v>
      </c>
      <c r="Q246" s="33">
        <f t="shared" si="46"/>
        <v>0</v>
      </c>
      <c r="R246" s="33">
        <f t="shared" si="46"/>
        <v>900</v>
      </c>
      <c r="S246" s="33">
        <f t="shared" si="46"/>
        <v>900.00000199999999</v>
      </c>
      <c r="T246" s="33">
        <f t="shared" si="46"/>
        <v>900</v>
      </c>
      <c r="U246" s="33">
        <f t="shared" si="46"/>
        <v>900</v>
      </c>
      <c r="V246" s="33">
        <f t="shared" si="46"/>
        <v>900</v>
      </c>
    </row>
    <row r="247" spans="1:22" x14ac:dyDescent="0.2">
      <c r="B247" s="18" t="s">
        <v>7</v>
      </c>
      <c r="E247" s="33">
        <f t="shared" ref="E247:V247" si="47">E19+SUM(E60:E66)</f>
        <v>600.00000299999999</v>
      </c>
      <c r="F247" s="33">
        <f t="shared" si="47"/>
        <v>600</v>
      </c>
      <c r="G247" s="33">
        <f t="shared" si="47"/>
        <v>350</v>
      </c>
      <c r="H247" s="33">
        <f t="shared" si="47"/>
        <v>350</v>
      </c>
      <c r="I247" s="33">
        <f t="shared" si="47"/>
        <v>349.99999600000001</v>
      </c>
      <c r="J247" s="33">
        <f t="shared" si="47"/>
        <v>350</v>
      </c>
      <c r="K247" s="33">
        <f t="shared" si="47"/>
        <v>350.00000299999999</v>
      </c>
      <c r="L247" s="33">
        <f t="shared" si="47"/>
        <v>350.00000299999999</v>
      </c>
      <c r="M247" s="33">
        <f t="shared" si="47"/>
        <v>350.00000009999997</v>
      </c>
      <c r="N247" s="33">
        <f t="shared" si="47"/>
        <v>350.00000900000003</v>
      </c>
      <c r="O247" s="33">
        <f t="shared" si="47"/>
        <v>0</v>
      </c>
      <c r="P247" s="33">
        <f t="shared" si="47"/>
        <v>0</v>
      </c>
      <c r="Q247" s="33">
        <f t="shared" si="47"/>
        <v>0</v>
      </c>
      <c r="R247" s="33">
        <f t="shared" si="47"/>
        <v>750.00000699999998</v>
      </c>
      <c r="S247" s="33">
        <f t="shared" si="47"/>
        <v>750.00000299999999</v>
      </c>
      <c r="T247" s="33">
        <f t="shared" si="47"/>
        <v>750</v>
      </c>
      <c r="U247" s="33">
        <f t="shared" si="47"/>
        <v>749.999999</v>
      </c>
      <c r="V247" s="33">
        <f t="shared" si="47"/>
        <v>749.99999800000001</v>
      </c>
    </row>
    <row r="248" spans="1:22" x14ac:dyDescent="0.2">
      <c r="B248" s="18" t="s">
        <v>8</v>
      </c>
      <c r="E248" s="33">
        <f t="shared" ref="E248:V248" si="48">E20+SUM(E67:E75)</f>
        <v>4000</v>
      </c>
      <c r="F248" s="33">
        <f t="shared" si="48"/>
        <v>4000.0000400000004</v>
      </c>
      <c r="G248" s="33">
        <f t="shared" si="48"/>
        <v>3999.9998900000001</v>
      </c>
      <c r="H248" s="33">
        <f t="shared" si="48"/>
        <v>3999.9999959999996</v>
      </c>
      <c r="I248" s="33">
        <f t="shared" si="48"/>
        <v>3999.9999499999999</v>
      </c>
      <c r="J248" s="33">
        <f t="shared" si="48"/>
        <v>3999.9999600000001</v>
      </c>
      <c r="K248" s="33">
        <f t="shared" si="48"/>
        <v>3999.9999900000003</v>
      </c>
      <c r="L248" s="33">
        <f t="shared" si="48"/>
        <v>4000.0000000000005</v>
      </c>
      <c r="M248" s="33">
        <f t="shared" si="48"/>
        <v>2000</v>
      </c>
      <c r="N248" s="33">
        <f t="shared" si="48"/>
        <v>1600.0000069999999</v>
      </c>
      <c r="O248" s="33">
        <f t="shared" si="48"/>
        <v>1600</v>
      </c>
      <c r="P248" s="33">
        <f t="shared" si="48"/>
        <v>1600.0000000000002</v>
      </c>
      <c r="Q248" s="33">
        <f t="shared" si="48"/>
        <v>1600</v>
      </c>
      <c r="R248" s="33">
        <f t="shared" si="48"/>
        <v>3406.9189200000001</v>
      </c>
      <c r="S248" s="33">
        <f t="shared" si="48"/>
        <v>4000.0000300000002</v>
      </c>
      <c r="T248" s="33">
        <f t="shared" si="48"/>
        <v>4000.0000399999999</v>
      </c>
      <c r="U248" s="33">
        <f t="shared" si="48"/>
        <v>4000.0000199999995</v>
      </c>
      <c r="V248" s="33">
        <f t="shared" si="48"/>
        <v>4000</v>
      </c>
    </row>
    <row r="252" spans="1:22" ht="16" x14ac:dyDescent="0.2">
      <c r="A252" s="22" t="s">
        <v>55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x14ac:dyDescent="0.2">
      <c r="A254" s="15" t="s">
        <v>24</v>
      </c>
      <c r="B254" s="15" t="s">
        <v>52</v>
      </c>
      <c r="C254" s="15" t="s">
        <v>53</v>
      </c>
      <c r="E254" s="68" t="s">
        <v>83</v>
      </c>
      <c r="F254" s="68" t="s">
        <v>84</v>
      </c>
      <c r="G254" s="68" t="s">
        <v>85</v>
      </c>
      <c r="H254" s="68" t="s">
        <v>86</v>
      </c>
      <c r="I254" s="68" t="s">
        <v>87</v>
      </c>
      <c r="J254" s="68" t="s">
        <v>88</v>
      </c>
      <c r="K254" s="68" t="s">
        <v>89</v>
      </c>
      <c r="L254" s="68" t="s">
        <v>90</v>
      </c>
      <c r="M254" s="68" t="s">
        <v>91</v>
      </c>
      <c r="N254" s="68" t="s">
        <v>92</v>
      </c>
      <c r="O254" s="68" t="s">
        <v>94</v>
      </c>
      <c r="P254" s="68" t="s">
        <v>95</v>
      </c>
      <c r="Q254" s="68" t="s">
        <v>93</v>
      </c>
      <c r="R254" s="68" t="s">
        <v>96</v>
      </c>
      <c r="S254" s="68" t="s">
        <v>97</v>
      </c>
      <c r="T254" s="68" t="s">
        <v>98</v>
      </c>
      <c r="U254" s="68" t="s">
        <v>99</v>
      </c>
      <c r="V254" s="68" t="s">
        <v>100</v>
      </c>
    </row>
    <row r="255" spans="1:22" x14ac:dyDescent="0.2">
      <c r="A255" s="6" t="s">
        <v>27</v>
      </c>
      <c r="B255" s="6" t="s">
        <v>21</v>
      </c>
      <c r="C255" s="18" t="s">
        <v>37</v>
      </c>
      <c r="E255" s="61">
        <v>270.83333333333331</v>
      </c>
      <c r="F255" s="61">
        <v>260</v>
      </c>
      <c r="G255" s="61">
        <v>260</v>
      </c>
      <c r="H255" s="61">
        <v>270.83333333333331</v>
      </c>
      <c r="I255" s="61">
        <v>270.83333333333331</v>
      </c>
      <c r="J255" s="61">
        <v>270.83333333333331</v>
      </c>
      <c r="K255" s="61">
        <v>276.25</v>
      </c>
      <c r="L255" s="61">
        <v>276.25</v>
      </c>
      <c r="M255" s="61">
        <v>276.25</v>
      </c>
      <c r="N255" s="61">
        <v>276.25</v>
      </c>
      <c r="O255" s="61">
        <v>276.25</v>
      </c>
      <c r="P255" s="61">
        <v>276.25</v>
      </c>
      <c r="Q255" s="61">
        <v>265.41666666666669</v>
      </c>
      <c r="R255" s="61">
        <v>254.58333333333331</v>
      </c>
      <c r="S255" s="61">
        <v>254.58333333333331</v>
      </c>
      <c r="T255" s="61">
        <v>254.58333333333331</v>
      </c>
      <c r="U255" s="61">
        <v>276.25</v>
      </c>
      <c r="V255" s="61">
        <v>276.25</v>
      </c>
    </row>
    <row r="256" spans="1:22" x14ac:dyDescent="0.2">
      <c r="A256" s="6" t="s">
        <v>27</v>
      </c>
      <c r="B256" s="6" t="s">
        <v>10</v>
      </c>
      <c r="C256" s="6" t="s">
        <v>38</v>
      </c>
      <c r="E256" s="62">
        <v>260</v>
      </c>
      <c r="F256" s="62">
        <v>254.58333333333331</v>
      </c>
      <c r="G256" s="62">
        <v>254.58333333333331</v>
      </c>
      <c r="H256" s="62">
        <v>260</v>
      </c>
      <c r="I256" s="62">
        <v>265.41666666666669</v>
      </c>
      <c r="J256" s="62">
        <v>265.41666666666669</v>
      </c>
      <c r="K256" s="62">
        <v>265.41666666666669</v>
      </c>
      <c r="L256" s="62">
        <v>265.41666666666669</v>
      </c>
      <c r="M256" s="62">
        <v>265.41666666666669</v>
      </c>
      <c r="N256" s="62">
        <v>265.41666666666669</v>
      </c>
      <c r="O256" s="62">
        <v>265.41666666666669</v>
      </c>
      <c r="P256" s="62">
        <v>260</v>
      </c>
      <c r="Q256" s="62">
        <v>260</v>
      </c>
      <c r="R256" s="62">
        <v>249.16666666666669</v>
      </c>
      <c r="S256" s="62">
        <v>249.16666666666669</v>
      </c>
      <c r="T256" s="62">
        <v>260</v>
      </c>
      <c r="U256" s="62">
        <v>265.41666666666669</v>
      </c>
      <c r="V256" s="62">
        <v>265.41666666666669</v>
      </c>
    </row>
    <row r="257" spans="1:22" x14ac:dyDescent="0.2">
      <c r="A257" s="6" t="s">
        <v>27</v>
      </c>
      <c r="B257" s="6" t="s">
        <v>23</v>
      </c>
      <c r="C257" s="18" t="s">
        <v>39</v>
      </c>
      <c r="E257" s="61">
        <v>270.83333333333331</v>
      </c>
      <c r="F257" s="61">
        <v>265.41666666666669</v>
      </c>
      <c r="G257" s="61">
        <v>265.41666666666669</v>
      </c>
      <c r="H257" s="61">
        <v>270.83333333333331</v>
      </c>
      <c r="I257" s="61">
        <v>270.83333333333331</v>
      </c>
      <c r="J257" s="61">
        <v>276.25</v>
      </c>
      <c r="K257" s="61">
        <v>276.25</v>
      </c>
      <c r="L257" s="61">
        <v>276.25</v>
      </c>
      <c r="M257" s="61">
        <v>276.25</v>
      </c>
      <c r="N257" s="61">
        <v>276.25</v>
      </c>
      <c r="O257" s="61">
        <v>276.25</v>
      </c>
      <c r="P257" s="61">
        <v>276.25</v>
      </c>
      <c r="Q257" s="61">
        <v>270.83333333333331</v>
      </c>
      <c r="R257" s="61">
        <v>260</v>
      </c>
      <c r="S257" s="61">
        <v>260</v>
      </c>
      <c r="T257" s="61">
        <v>260</v>
      </c>
      <c r="U257" s="61">
        <v>276.25</v>
      </c>
      <c r="V257" s="61">
        <v>276.25</v>
      </c>
    </row>
    <row r="258" spans="1:22" x14ac:dyDescent="0.2">
      <c r="A258" s="6" t="s">
        <v>27</v>
      </c>
      <c r="B258" s="6" t="s">
        <v>14</v>
      </c>
      <c r="C258" s="18" t="s">
        <v>40</v>
      </c>
      <c r="E258" s="61">
        <v>260</v>
      </c>
      <c r="F258" s="61">
        <v>260</v>
      </c>
      <c r="G258" s="61">
        <v>260</v>
      </c>
      <c r="H258" s="61">
        <v>265.41666666666669</v>
      </c>
      <c r="I258" s="61">
        <v>265.41666666666669</v>
      </c>
      <c r="J258" s="61">
        <v>265.41666666666669</v>
      </c>
      <c r="K258" s="61">
        <v>276.25</v>
      </c>
      <c r="L258" s="61">
        <v>276.25</v>
      </c>
      <c r="M258" s="61">
        <v>276.25</v>
      </c>
      <c r="N258" s="61">
        <v>276.25</v>
      </c>
      <c r="O258" s="61">
        <v>276.25</v>
      </c>
      <c r="P258" s="61">
        <v>276.25</v>
      </c>
      <c r="Q258" s="61">
        <v>260</v>
      </c>
      <c r="R258" s="61">
        <v>249.16666666666669</v>
      </c>
      <c r="S258" s="61">
        <v>249.16666666666669</v>
      </c>
      <c r="T258" s="61">
        <v>249.16666666666669</v>
      </c>
      <c r="U258" s="61">
        <v>270.83333333333331</v>
      </c>
      <c r="V258" s="61">
        <v>270.83333333333331</v>
      </c>
    </row>
    <row r="259" spans="1:22" x14ac:dyDescent="0.2">
      <c r="A259" s="6" t="s">
        <v>27</v>
      </c>
      <c r="B259" s="6" t="s">
        <v>11</v>
      </c>
      <c r="C259" s="18" t="s">
        <v>41</v>
      </c>
      <c r="E259" s="61">
        <v>265.41666666666669</v>
      </c>
      <c r="F259" s="61">
        <v>265.41666666666669</v>
      </c>
      <c r="G259" s="61">
        <v>254.58333333333331</v>
      </c>
      <c r="H259" s="61">
        <v>281.66666666666669</v>
      </c>
      <c r="I259" s="61">
        <v>281.66666666666669</v>
      </c>
      <c r="J259" s="61">
        <v>292.5</v>
      </c>
      <c r="K259" s="61">
        <v>292.5</v>
      </c>
      <c r="L259" s="61">
        <v>292.5</v>
      </c>
      <c r="M259" s="61">
        <v>292.5</v>
      </c>
      <c r="N259" s="61">
        <v>292.5</v>
      </c>
      <c r="O259" s="61">
        <v>292.5</v>
      </c>
      <c r="P259" s="61">
        <v>292.5</v>
      </c>
      <c r="Q259" s="61">
        <v>292.5</v>
      </c>
      <c r="R259" s="61">
        <v>287.08333333333331</v>
      </c>
      <c r="S259" s="61">
        <v>276.25</v>
      </c>
      <c r="T259" s="61">
        <v>276.25</v>
      </c>
      <c r="U259" s="61">
        <v>292.5</v>
      </c>
      <c r="V259" s="61">
        <v>292.5</v>
      </c>
    </row>
    <row r="260" spans="1:22" x14ac:dyDescent="0.2">
      <c r="A260" s="6" t="s">
        <v>27</v>
      </c>
      <c r="B260" s="27" t="s">
        <v>15</v>
      </c>
      <c r="C260" s="28" t="s">
        <v>42</v>
      </c>
      <c r="E260" s="61">
        <v>270.83333333333331</v>
      </c>
      <c r="F260" s="61">
        <v>265.41666666666669</v>
      </c>
      <c r="G260" s="61">
        <v>265.41666666666669</v>
      </c>
      <c r="H260" s="61">
        <v>270.83333333333331</v>
      </c>
      <c r="I260" s="61">
        <v>270.83333333333331</v>
      </c>
      <c r="J260" s="61">
        <v>281.66666666666669</v>
      </c>
      <c r="K260" s="61">
        <v>281.66666666666669</v>
      </c>
      <c r="L260" s="61">
        <v>281.66666666666669</v>
      </c>
      <c r="M260" s="61">
        <v>281.66666666666669</v>
      </c>
      <c r="N260" s="61">
        <v>281.66666666666669</v>
      </c>
      <c r="O260" s="61">
        <v>281.66666666666669</v>
      </c>
      <c r="P260" s="61">
        <v>281.66666666666669</v>
      </c>
      <c r="Q260" s="61">
        <v>281.66666666666669</v>
      </c>
      <c r="R260" s="61">
        <v>265.41666666666669</v>
      </c>
      <c r="S260" s="61">
        <v>265.41666666666669</v>
      </c>
      <c r="T260" s="61">
        <v>265.41666666666669</v>
      </c>
      <c r="U260" s="61">
        <v>281.66666666666669</v>
      </c>
      <c r="V260" s="61">
        <v>281.66666666666669</v>
      </c>
    </row>
    <row r="261" spans="1:22" x14ac:dyDescent="0.2">
      <c r="A261" s="6" t="s">
        <v>27</v>
      </c>
      <c r="B261" s="6" t="s">
        <v>12</v>
      </c>
      <c r="C261" s="18" t="s">
        <v>43</v>
      </c>
      <c r="E261" s="61">
        <v>270.83333333333331</v>
      </c>
      <c r="F261" s="61">
        <v>265.41666666666669</v>
      </c>
      <c r="G261" s="61">
        <v>265.41666666666669</v>
      </c>
      <c r="H261" s="61">
        <v>270.83333333333331</v>
      </c>
      <c r="I261" s="61">
        <v>276.25</v>
      </c>
      <c r="J261" s="61">
        <v>276.25</v>
      </c>
      <c r="K261" s="61">
        <v>276.25</v>
      </c>
      <c r="L261" s="61">
        <v>276.25</v>
      </c>
      <c r="M261" s="61">
        <v>276.25</v>
      </c>
      <c r="N261" s="61">
        <v>276.25</v>
      </c>
      <c r="O261" s="61">
        <v>276.25</v>
      </c>
      <c r="P261" s="61">
        <v>270.83333333333331</v>
      </c>
      <c r="Q261" s="61">
        <v>270.83333333333331</v>
      </c>
      <c r="R261" s="61">
        <v>260</v>
      </c>
      <c r="S261" s="61">
        <v>260</v>
      </c>
      <c r="T261" s="61">
        <v>270.83333333333331</v>
      </c>
      <c r="U261" s="61">
        <v>276.25</v>
      </c>
      <c r="V261" s="61">
        <v>276.25</v>
      </c>
    </row>
    <row r="262" spans="1:22" x14ac:dyDescent="0.2">
      <c r="A262" s="6" t="s">
        <v>27</v>
      </c>
      <c r="B262" s="6" t="s">
        <v>19</v>
      </c>
      <c r="C262" s="18" t="s">
        <v>44</v>
      </c>
      <c r="E262" s="61">
        <v>238.33333333333331</v>
      </c>
      <c r="F262" s="61">
        <v>238.33333333333331</v>
      </c>
      <c r="G262" s="61">
        <v>238.33333333333331</v>
      </c>
      <c r="H262" s="61">
        <v>238.33333333333331</v>
      </c>
      <c r="I262" s="61">
        <v>249.16666666666669</v>
      </c>
      <c r="J262" s="61">
        <v>249.16666666666669</v>
      </c>
      <c r="K262" s="61">
        <v>249.16666666666669</v>
      </c>
      <c r="L262" s="61">
        <v>260</v>
      </c>
      <c r="M262" s="61">
        <v>260</v>
      </c>
      <c r="N262" s="61">
        <v>260</v>
      </c>
      <c r="O262" s="61">
        <v>260</v>
      </c>
      <c r="P262" s="61">
        <v>260</v>
      </c>
      <c r="Q262" s="61">
        <v>260</v>
      </c>
      <c r="R262" s="61">
        <v>227.5</v>
      </c>
      <c r="S262" s="61">
        <v>227.5</v>
      </c>
      <c r="T262" s="61">
        <v>227.5</v>
      </c>
      <c r="U262" s="61">
        <v>249.16666666666669</v>
      </c>
      <c r="V262" s="61">
        <v>249.16666666666669</v>
      </c>
    </row>
    <row r="263" spans="1:22" x14ac:dyDescent="0.2">
      <c r="A263" s="6" t="s">
        <v>27</v>
      </c>
      <c r="B263" s="27" t="s">
        <v>16</v>
      </c>
      <c r="C263" s="28" t="s">
        <v>45</v>
      </c>
      <c r="E263" s="61">
        <v>281.66666666666669</v>
      </c>
      <c r="F263" s="61">
        <v>276.25</v>
      </c>
      <c r="G263" s="61">
        <v>276.25</v>
      </c>
      <c r="H263" s="61">
        <v>281.66666666666669</v>
      </c>
      <c r="I263" s="61">
        <v>281.66666666666669</v>
      </c>
      <c r="J263" s="61">
        <v>292.5</v>
      </c>
      <c r="K263" s="61">
        <v>292.5</v>
      </c>
      <c r="L263" s="61">
        <v>292.5</v>
      </c>
      <c r="M263" s="61">
        <v>292.5</v>
      </c>
      <c r="N263" s="61">
        <v>292.5</v>
      </c>
      <c r="O263" s="61">
        <v>292.5</v>
      </c>
      <c r="P263" s="61">
        <v>292.5</v>
      </c>
      <c r="Q263" s="61">
        <v>292.5</v>
      </c>
      <c r="R263" s="61">
        <v>276.25</v>
      </c>
      <c r="S263" s="61">
        <v>276.25</v>
      </c>
      <c r="T263" s="61">
        <v>276.25</v>
      </c>
      <c r="U263" s="61">
        <v>292.5</v>
      </c>
      <c r="V263" s="61">
        <v>292.5</v>
      </c>
    </row>
    <row r="264" spans="1:22" x14ac:dyDescent="0.2">
      <c r="A264" s="6" t="s">
        <v>27</v>
      </c>
      <c r="B264" s="27" t="s">
        <v>17</v>
      </c>
      <c r="C264" s="28" t="s">
        <v>46</v>
      </c>
      <c r="E264" s="61">
        <v>281.66666666666669</v>
      </c>
      <c r="F264" s="61">
        <v>276.25</v>
      </c>
      <c r="G264" s="61">
        <v>276.25</v>
      </c>
      <c r="H264" s="61">
        <v>281.66666666666669</v>
      </c>
      <c r="I264" s="61">
        <v>281.66666666666669</v>
      </c>
      <c r="J264" s="61">
        <v>292.5</v>
      </c>
      <c r="K264" s="61">
        <v>292.5</v>
      </c>
      <c r="L264" s="61">
        <v>292.5</v>
      </c>
      <c r="M264" s="61">
        <v>292.5</v>
      </c>
      <c r="N264" s="61">
        <v>292.5</v>
      </c>
      <c r="O264" s="61">
        <v>292.5</v>
      </c>
      <c r="P264" s="61">
        <v>292.5</v>
      </c>
      <c r="Q264" s="61">
        <v>292.5</v>
      </c>
      <c r="R264" s="61">
        <v>287.08333333333331</v>
      </c>
      <c r="S264" s="61">
        <v>276.25</v>
      </c>
      <c r="T264" s="61">
        <v>276.25</v>
      </c>
      <c r="U264" s="61">
        <v>292.5</v>
      </c>
      <c r="V264" s="61">
        <v>292.5</v>
      </c>
    </row>
    <row r="265" spans="1:22" x14ac:dyDescent="0.2">
      <c r="A265" s="6" t="s">
        <v>27</v>
      </c>
      <c r="B265" s="27" t="s">
        <v>18</v>
      </c>
      <c r="C265" s="28" t="s">
        <v>47</v>
      </c>
      <c r="E265" s="61">
        <v>270.83333333333331</v>
      </c>
      <c r="F265" s="61">
        <v>260</v>
      </c>
      <c r="G265" s="61">
        <v>265.41666666666669</v>
      </c>
      <c r="H265" s="61">
        <v>270.83333333333331</v>
      </c>
      <c r="I265" s="61">
        <v>270.83333333333331</v>
      </c>
      <c r="J265" s="61">
        <v>281.66666666666669</v>
      </c>
      <c r="K265" s="61">
        <v>281.66666666666669</v>
      </c>
      <c r="L265" s="61">
        <v>281.66666666666669</v>
      </c>
      <c r="M265" s="61">
        <v>281.66666666666669</v>
      </c>
      <c r="N265" s="61">
        <v>281.66666666666669</v>
      </c>
      <c r="O265" s="61">
        <v>281.66666666666669</v>
      </c>
      <c r="P265" s="61">
        <v>281.66666666666669</v>
      </c>
      <c r="Q265" s="61">
        <v>281.66666666666669</v>
      </c>
      <c r="R265" s="61">
        <v>265.41666666666669</v>
      </c>
      <c r="S265" s="61">
        <v>265.41666666666669</v>
      </c>
      <c r="T265" s="61">
        <v>265.41666666666669</v>
      </c>
      <c r="U265" s="61">
        <v>281.66666666666669</v>
      </c>
      <c r="V265" s="61">
        <v>281.66666666666669</v>
      </c>
    </row>
    <row r="266" spans="1:22" x14ac:dyDescent="0.2">
      <c r="A266" s="6" t="s">
        <v>27</v>
      </c>
      <c r="B266" s="6" t="s">
        <v>22</v>
      </c>
      <c r="C266" s="6" t="s">
        <v>48</v>
      </c>
      <c r="E266" s="61">
        <v>260</v>
      </c>
      <c r="F266" s="61">
        <v>260</v>
      </c>
      <c r="G266" s="61">
        <v>260</v>
      </c>
      <c r="H266" s="61">
        <v>265.41666666666669</v>
      </c>
      <c r="I266" s="61">
        <v>265.41666666666669</v>
      </c>
      <c r="J266" s="61">
        <v>265.41666666666669</v>
      </c>
      <c r="K266" s="61">
        <v>276.25</v>
      </c>
      <c r="L266" s="61">
        <v>276.25</v>
      </c>
      <c r="M266" s="61">
        <v>276.25</v>
      </c>
      <c r="N266" s="61">
        <v>276.25</v>
      </c>
      <c r="O266" s="61">
        <v>276.25</v>
      </c>
      <c r="P266" s="61">
        <v>276.25</v>
      </c>
      <c r="Q266" s="61">
        <v>260</v>
      </c>
      <c r="R266" s="61">
        <v>249.16666666666669</v>
      </c>
      <c r="S266" s="61">
        <v>249.16666666666669</v>
      </c>
      <c r="T266" s="61">
        <v>249.16666666666669</v>
      </c>
      <c r="U266" s="61">
        <v>270.83333333333331</v>
      </c>
      <c r="V266" s="61">
        <v>270.83333333333331</v>
      </c>
    </row>
    <row r="267" spans="1:22" x14ac:dyDescent="0.2">
      <c r="A267" s="6" t="s">
        <v>27</v>
      </c>
      <c r="B267" s="6" t="s">
        <v>13</v>
      </c>
      <c r="C267" s="18" t="s">
        <v>49</v>
      </c>
      <c r="E267" s="61">
        <v>276.25</v>
      </c>
      <c r="F267" s="61">
        <v>281.66666666666669</v>
      </c>
      <c r="G267" s="61">
        <v>281.66666666666669</v>
      </c>
      <c r="H267" s="61">
        <v>287.08333333333331</v>
      </c>
      <c r="I267" s="61">
        <v>287.08333333333331</v>
      </c>
      <c r="J267" s="61">
        <v>297.91666666666669</v>
      </c>
      <c r="K267" s="61">
        <v>297.91666666666669</v>
      </c>
      <c r="L267" s="61">
        <v>297.91666666666669</v>
      </c>
      <c r="M267" s="61">
        <v>297.91666666666669</v>
      </c>
      <c r="N267" s="61">
        <v>297.91666666666669</v>
      </c>
      <c r="O267" s="61">
        <v>297.91666666666669</v>
      </c>
      <c r="P267" s="61">
        <v>297.91666666666669</v>
      </c>
      <c r="Q267" s="61">
        <v>297.91666666666669</v>
      </c>
      <c r="R267" s="61">
        <v>292.5</v>
      </c>
      <c r="S267" s="61">
        <v>281.66666666666669</v>
      </c>
      <c r="T267" s="61">
        <v>281.66666666666669</v>
      </c>
      <c r="U267" s="61">
        <v>297.91666666666669</v>
      </c>
      <c r="V267" s="61">
        <v>297.91666666666669</v>
      </c>
    </row>
    <row r="268" spans="1:22" x14ac:dyDescent="0.2">
      <c r="A268" s="6" t="s">
        <v>27</v>
      </c>
      <c r="B268" s="27" t="s">
        <v>20</v>
      </c>
      <c r="C268" s="28" t="s">
        <v>50</v>
      </c>
      <c r="E268" s="61">
        <v>265.41666666666669</v>
      </c>
      <c r="F268" s="61">
        <v>265.41666666666669</v>
      </c>
      <c r="G268" s="61">
        <v>260</v>
      </c>
      <c r="H268" s="61">
        <v>265.41666666666669</v>
      </c>
      <c r="I268" s="61">
        <v>265.41666666666669</v>
      </c>
      <c r="J268" s="61">
        <v>276.25</v>
      </c>
      <c r="K268" s="61">
        <v>276.25</v>
      </c>
      <c r="L268" s="61">
        <v>276.25</v>
      </c>
      <c r="M268" s="61">
        <v>276.25</v>
      </c>
      <c r="N268" s="61">
        <v>276.25</v>
      </c>
      <c r="O268" s="61">
        <v>276.25</v>
      </c>
      <c r="P268" s="61">
        <v>276.25</v>
      </c>
      <c r="Q268" s="61">
        <v>276.25</v>
      </c>
      <c r="R268" s="61">
        <v>260</v>
      </c>
      <c r="S268" s="61">
        <v>260</v>
      </c>
      <c r="T268" s="61">
        <v>260</v>
      </c>
      <c r="U268" s="61">
        <v>276.25</v>
      </c>
      <c r="V268" s="61">
        <v>276.25</v>
      </c>
    </row>
    <row r="269" spans="1:22" x14ac:dyDescent="0.2">
      <c r="A269" s="6" t="s">
        <v>28</v>
      </c>
      <c r="B269" s="6" t="s">
        <v>21</v>
      </c>
      <c r="C269" s="18" t="s">
        <v>37</v>
      </c>
      <c r="E269" s="61">
        <v>270.83333333333331</v>
      </c>
      <c r="F269" s="61">
        <v>260</v>
      </c>
      <c r="G269" s="61">
        <v>260</v>
      </c>
      <c r="H269" s="61">
        <v>270.83333333333331</v>
      </c>
      <c r="I269" s="61">
        <v>270.83333333333331</v>
      </c>
      <c r="J269" s="61">
        <v>270.83333333333331</v>
      </c>
      <c r="K269" s="61">
        <v>276.25</v>
      </c>
      <c r="L269" s="61">
        <v>276.25</v>
      </c>
      <c r="M269" s="61">
        <v>276.25</v>
      </c>
      <c r="N269" s="61">
        <v>276.25</v>
      </c>
      <c r="O269" s="61">
        <v>276.25</v>
      </c>
      <c r="P269" s="61">
        <v>276.25</v>
      </c>
      <c r="Q269" s="61">
        <v>265.41666666666669</v>
      </c>
      <c r="R269" s="61">
        <v>254.58333333333331</v>
      </c>
      <c r="S269" s="61">
        <v>254.58333333333331</v>
      </c>
      <c r="T269" s="61">
        <v>254.58333333333331</v>
      </c>
      <c r="U269" s="61">
        <v>276.25</v>
      </c>
      <c r="V269" s="61">
        <v>276.25</v>
      </c>
    </row>
    <row r="270" spans="1:22" x14ac:dyDescent="0.2">
      <c r="A270" s="6" t="s">
        <v>28</v>
      </c>
      <c r="B270" s="6" t="s">
        <v>10</v>
      </c>
      <c r="C270" s="6" t="s">
        <v>38</v>
      </c>
      <c r="E270" s="62">
        <v>260</v>
      </c>
      <c r="F270" s="62">
        <v>254.58333333333331</v>
      </c>
      <c r="G270" s="62">
        <v>254.58333333333331</v>
      </c>
      <c r="H270" s="62">
        <v>260</v>
      </c>
      <c r="I270" s="62">
        <v>265.41666666666669</v>
      </c>
      <c r="J270" s="62">
        <v>265.41666666666669</v>
      </c>
      <c r="K270" s="62">
        <v>265.41666666666669</v>
      </c>
      <c r="L270" s="62">
        <v>265.41666666666669</v>
      </c>
      <c r="M270" s="62">
        <v>265.41666666666669</v>
      </c>
      <c r="N270" s="62">
        <v>265.41666666666669</v>
      </c>
      <c r="O270" s="62">
        <v>265.41666666666669</v>
      </c>
      <c r="P270" s="62">
        <v>260</v>
      </c>
      <c r="Q270" s="62">
        <v>260</v>
      </c>
      <c r="R270" s="62">
        <v>249.16666666666669</v>
      </c>
      <c r="S270" s="62">
        <v>249.16666666666669</v>
      </c>
      <c r="T270" s="62">
        <v>260</v>
      </c>
      <c r="U270" s="62">
        <v>265.41666666666669</v>
      </c>
      <c r="V270" s="62">
        <v>265.41666666666669</v>
      </c>
    </row>
    <row r="271" spans="1:22" x14ac:dyDescent="0.2">
      <c r="A271" s="6" t="s">
        <v>28</v>
      </c>
      <c r="B271" s="6" t="s">
        <v>23</v>
      </c>
      <c r="C271" s="18" t="s">
        <v>39</v>
      </c>
      <c r="E271" s="61">
        <v>270.83333333333331</v>
      </c>
      <c r="F271" s="61">
        <v>265.41666666666669</v>
      </c>
      <c r="G271" s="61">
        <v>265.41666666666669</v>
      </c>
      <c r="H271" s="61">
        <v>270.83333333333331</v>
      </c>
      <c r="I271" s="61">
        <v>270.83333333333331</v>
      </c>
      <c r="J271" s="61">
        <v>276.25</v>
      </c>
      <c r="K271" s="61">
        <v>276.25</v>
      </c>
      <c r="L271" s="61">
        <v>276.25</v>
      </c>
      <c r="M271" s="61">
        <v>276.25</v>
      </c>
      <c r="N271" s="61">
        <v>276.25</v>
      </c>
      <c r="O271" s="61">
        <v>276.25</v>
      </c>
      <c r="P271" s="61">
        <v>276.25</v>
      </c>
      <c r="Q271" s="61">
        <v>270.83333333333331</v>
      </c>
      <c r="R271" s="61">
        <v>260</v>
      </c>
      <c r="S271" s="61">
        <v>260</v>
      </c>
      <c r="T271" s="61">
        <v>260</v>
      </c>
      <c r="U271" s="61">
        <v>276.25</v>
      </c>
      <c r="V271" s="61">
        <v>276.25</v>
      </c>
    </row>
    <row r="272" spans="1:22" x14ac:dyDescent="0.2">
      <c r="A272" s="6" t="s">
        <v>28</v>
      </c>
      <c r="B272" s="6" t="s">
        <v>14</v>
      </c>
      <c r="C272" s="18" t="s">
        <v>40</v>
      </c>
      <c r="E272" s="61">
        <v>260</v>
      </c>
      <c r="F272" s="61">
        <v>260</v>
      </c>
      <c r="G272" s="61">
        <v>260</v>
      </c>
      <c r="H272" s="61">
        <v>265.41666666666669</v>
      </c>
      <c r="I272" s="61">
        <v>265.41666666666669</v>
      </c>
      <c r="J272" s="61">
        <v>265.41666666666669</v>
      </c>
      <c r="K272" s="61">
        <v>276.25</v>
      </c>
      <c r="L272" s="61">
        <v>276.25</v>
      </c>
      <c r="M272" s="61">
        <v>276.25</v>
      </c>
      <c r="N272" s="61">
        <v>276.25</v>
      </c>
      <c r="O272" s="61">
        <v>276.25</v>
      </c>
      <c r="P272" s="61">
        <v>276.25</v>
      </c>
      <c r="Q272" s="61">
        <v>260</v>
      </c>
      <c r="R272" s="61">
        <v>249.16666666666669</v>
      </c>
      <c r="S272" s="61">
        <v>249.16666666666669</v>
      </c>
      <c r="T272" s="61">
        <v>249.16666666666669</v>
      </c>
      <c r="U272" s="61">
        <v>270.83333333333331</v>
      </c>
      <c r="V272" s="61">
        <v>270.83333333333331</v>
      </c>
    </row>
    <row r="273" spans="1:22" x14ac:dyDescent="0.2">
      <c r="A273" s="6" t="s">
        <v>28</v>
      </c>
      <c r="B273" s="6" t="s">
        <v>11</v>
      </c>
      <c r="C273" s="18" t="s">
        <v>41</v>
      </c>
      <c r="E273" s="61">
        <v>265.41666666666669</v>
      </c>
      <c r="F273" s="61">
        <v>265.41666666666669</v>
      </c>
      <c r="G273" s="61">
        <v>254.58333333333331</v>
      </c>
      <c r="H273" s="61">
        <v>281.66666666666669</v>
      </c>
      <c r="I273" s="61">
        <v>281.66666666666669</v>
      </c>
      <c r="J273" s="61">
        <v>292.5</v>
      </c>
      <c r="K273" s="61">
        <v>292.5</v>
      </c>
      <c r="L273" s="61">
        <v>292.5</v>
      </c>
      <c r="M273" s="61">
        <v>292.5</v>
      </c>
      <c r="N273" s="61">
        <v>292.5</v>
      </c>
      <c r="O273" s="61">
        <v>292.5</v>
      </c>
      <c r="P273" s="61">
        <v>292.5</v>
      </c>
      <c r="Q273" s="61">
        <v>292.5</v>
      </c>
      <c r="R273" s="61">
        <v>287.08333333333331</v>
      </c>
      <c r="S273" s="61">
        <v>276.25</v>
      </c>
      <c r="T273" s="61">
        <v>276.25</v>
      </c>
      <c r="U273" s="61">
        <v>292.5</v>
      </c>
      <c r="V273" s="61">
        <v>292.5</v>
      </c>
    </row>
    <row r="274" spans="1:22" x14ac:dyDescent="0.2">
      <c r="A274" s="6" t="s">
        <v>28</v>
      </c>
      <c r="B274" s="27" t="s">
        <v>15</v>
      </c>
      <c r="C274" s="28" t="s">
        <v>42</v>
      </c>
      <c r="E274" s="61">
        <v>270.83333333333331</v>
      </c>
      <c r="F274" s="61">
        <v>265.41666666666669</v>
      </c>
      <c r="G274" s="61">
        <v>265.41666666666669</v>
      </c>
      <c r="H274" s="61">
        <v>270.83333333333331</v>
      </c>
      <c r="I274" s="61">
        <v>270.83333333333331</v>
      </c>
      <c r="J274" s="61">
        <v>281.66666666666669</v>
      </c>
      <c r="K274" s="61">
        <v>281.66666666666669</v>
      </c>
      <c r="L274" s="61">
        <v>281.66666666666669</v>
      </c>
      <c r="M274" s="61">
        <v>281.66666666666669</v>
      </c>
      <c r="N274" s="61">
        <v>281.66666666666669</v>
      </c>
      <c r="O274" s="61">
        <v>281.66666666666669</v>
      </c>
      <c r="P274" s="61">
        <v>281.66666666666669</v>
      </c>
      <c r="Q274" s="61">
        <v>281.66666666666669</v>
      </c>
      <c r="R274" s="61">
        <v>265.41666666666669</v>
      </c>
      <c r="S274" s="61">
        <v>265.41666666666669</v>
      </c>
      <c r="T274" s="61">
        <v>265.41666666666669</v>
      </c>
      <c r="U274" s="61">
        <v>281.66666666666669</v>
      </c>
      <c r="V274" s="61">
        <v>281.66666666666669</v>
      </c>
    </row>
    <row r="275" spans="1:22" x14ac:dyDescent="0.2">
      <c r="A275" s="6" t="s">
        <v>28</v>
      </c>
      <c r="B275" s="6" t="s">
        <v>12</v>
      </c>
      <c r="C275" s="18" t="s">
        <v>43</v>
      </c>
      <c r="E275" s="61">
        <v>270.83333333333331</v>
      </c>
      <c r="F275" s="61">
        <v>265.41666666666669</v>
      </c>
      <c r="G275" s="61">
        <v>265.41666666666669</v>
      </c>
      <c r="H275" s="61">
        <v>270.83333333333331</v>
      </c>
      <c r="I275" s="61">
        <v>276.25</v>
      </c>
      <c r="J275" s="61">
        <v>276.25</v>
      </c>
      <c r="K275" s="61">
        <v>276.25</v>
      </c>
      <c r="L275" s="61">
        <v>276.25</v>
      </c>
      <c r="M275" s="61">
        <v>276.25</v>
      </c>
      <c r="N275" s="61">
        <v>276.25</v>
      </c>
      <c r="O275" s="61">
        <v>276.25</v>
      </c>
      <c r="P275" s="61">
        <v>270.83333333333331</v>
      </c>
      <c r="Q275" s="61">
        <v>270.83333333333331</v>
      </c>
      <c r="R275" s="61">
        <v>260</v>
      </c>
      <c r="S275" s="61">
        <v>260</v>
      </c>
      <c r="T275" s="61">
        <v>270.83333333333331</v>
      </c>
      <c r="U275" s="61">
        <v>276.25</v>
      </c>
      <c r="V275" s="61">
        <v>276.25</v>
      </c>
    </row>
    <row r="276" spans="1:22" x14ac:dyDescent="0.2">
      <c r="A276" s="6" t="s">
        <v>28</v>
      </c>
      <c r="B276" s="6" t="s">
        <v>19</v>
      </c>
      <c r="C276" s="18" t="s">
        <v>44</v>
      </c>
      <c r="E276" s="61">
        <v>238.33333333333331</v>
      </c>
      <c r="F276" s="61">
        <v>238.33333333333331</v>
      </c>
      <c r="G276" s="61">
        <v>238.33333333333331</v>
      </c>
      <c r="H276" s="61">
        <v>238.33333333333331</v>
      </c>
      <c r="I276" s="61">
        <v>249.16666666666669</v>
      </c>
      <c r="J276" s="61">
        <v>249.16666666666669</v>
      </c>
      <c r="K276" s="61">
        <v>249.16666666666669</v>
      </c>
      <c r="L276" s="61">
        <v>260</v>
      </c>
      <c r="M276" s="61">
        <v>260</v>
      </c>
      <c r="N276" s="61">
        <v>260</v>
      </c>
      <c r="O276" s="61">
        <v>260</v>
      </c>
      <c r="P276" s="61">
        <v>260</v>
      </c>
      <c r="Q276" s="61">
        <v>260</v>
      </c>
      <c r="R276" s="61">
        <v>227.5</v>
      </c>
      <c r="S276" s="61">
        <v>227.5</v>
      </c>
      <c r="T276" s="61">
        <v>227.5</v>
      </c>
      <c r="U276" s="61">
        <v>249.16666666666669</v>
      </c>
      <c r="V276" s="61">
        <v>249.16666666666669</v>
      </c>
    </row>
    <row r="277" spans="1:22" x14ac:dyDescent="0.2">
      <c r="A277" s="6" t="s">
        <v>28</v>
      </c>
      <c r="B277" s="27" t="s">
        <v>16</v>
      </c>
      <c r="C277" s="28" t="s">
        <v>45</v>
      </c>
      <c r="E277" s="61">
        <v>281.66666666666669</v>
      </c>
      <c r="F277" s="61">
        <v>276.25</v>
      </c>
      <c r="G277" s="61">
        <v>276.25</v>
      </c>
      <c r="H277" s="61">
        <v>281.66666666666669</v>
      </c>
      <c r="I277" s="61">
        <v>281.66666666666669</v>
      </c>
      <c r="J277" s="61">
        <v>292.5</v>
      </c>
      <c r="K277" s="61">
        <v>292.5</v>
      </c>
      <c r="L277" s="61">
        <v>292.5</v>
      </c>
      <c r="M277" s="61">
        <v>292.5</v>
      </c>
      <c r="N277" s="61">
        <v>292.5</v>
      </c>
      <c r="O277" s="61">
        <v>292.5</v>
      </c>
      <c r="P277" s="61">
        <v>292.5</v>
      </c>
      <c r="Q277" s="61">
        <v>292.5</v>
      </c>
      <c r="R277" s="61">
        <v>276.25</v>
      </c>
      <c r="S277" s="61">
        <v>276.25</v>
      </c>
      <c r="T277" s="61">
        <v>276.25</v>
      </c>
      <c r="U277" s="61">
        <v>292.5</v>
      </c>
      <c r="V277" s="61">
        <v>292.5</v>
      </c>
    </row>
    <row r="278" spans="1:22" x14ac:dyDescent="0.2">
      <c r="A278" s="6" t="s">
        <v>28</v>
      </c>
      <c r="B278" s="27" t="s">
        <v>17</v>
      </c>
      <c r="C278" s="28" t="s">
        <v>46</v>
      </c>
      <c r="E278" s="61">
        <v>281.66666666666669</v>
      </c>
      <c r="F278" s="61">
        <v>276.25</v>
      </c>
      <c r="G278" s="61">
        <v>276.25</v>
      </c>
      <c r="H278" s="61">
        <v>281.66666666666669</v>
      </c>
      <c r="I278" s="61">
        <v>281.66666666666669</v>
      </c>
      <c r="J278" s="61">
        <v>292.5</v>
      </c>
      <c r="K278" s="61">
        <v>292.5</v>
      </c>
      <c r="L278" s="61">
        <v>292.5</v>
      </c>
      <c r="M278" s="61">
        <v>292.5</v>
      </c>
      <c r="N278" s="61">
        <v>292.5</v>
      </c>
      <c r="O278" s="61">
        <v>292.5</v>
      </c>
      <c r="P278" s="61">
        <v>292.5</v>
      </c>
      <c r="Q278" s="61">
        <v>292.5</v>
      </c>
      <c r="R278" s="61">
        <v>287.08333333333331</v>
      </c>
      <c r="S278" s="61">
        <v>276.25</v>
      </c>
      <c r="T278" s="61">
        <v>276.25</v>
      </c>
      <c r="U278" s="61">
        <v>292.5</v>
      </c>
      <c r="V278" s="61">
        <v>292.5</v>
      </c>
    </row>
    <row r="279" spans="1:22" x14ac:dyDescent="0.2">
      <c r="A279" s="6" t="s">
        <v>28</v>
      </c>
      <c r="B279" s="27" t="s">
        <v>18</v>
      </c>
      <c r="C279" s="28" t="s">
        <v>47</v>
      </c>
      <c r="E279" s="61">
        <v>270.83333333333331</v>
      </c>
      <c r="F279" s="61">
        <v>260</v>
      </c>
      <c r="G279" s="61">
        <v>265.41666666666669</v>
      </c>
      <c r="H279" s="61">
        <v>270.83333333333331</v>
      </c>
      <c r="I279" s="61">
        <v>270.83333333333331</v>
      </c>
      <c r="J279" s="61">
        <v>281.66666666666669</v>
      </c>
      <c r="K279" s="61">
        <v>281.66666666666669</v>
      </c>
      <c r="L279" s="61">
        <v>281.66666666666669</v>
      </c>
      <c r="M279" s="61">
        <v>281.66666666666669</v>
      </c>
      <c r="N279" s="61">
        <v>281.66666666666669</v>
      </c>
      <c r="O279" s="61">
        <v>281.66666666666669</v>
      </c>
      <c r="P279" s="61">
        <v>281.66666666666669</v>
      </c>
      <c r="Q279" s="61">
        <v>281.66666666666669</v>
      </c>
      <c r="R279" s="61">
        <v>265.41666666666669</v>
      </c>
      <c r="S279" s="61">
        <v>265.41666666666669</v>
      </c>
      <c r="T279" s="61">
        <v>265.41666666666669</v>
      </c>
      <c r="U279" s="61">
        <v>281.66666666666669</v>
      </c>
      <c r="V279" s="61">
        <v>281.66666666666669</v>
      </c>
    </row>
    <row r="280" spans="1:22" x14ac:dyDescent="0.2">
      <c r="A280" s="6" t="s">
        <v>28</v>
      </c>
      <c r="B280" s="6" t="s">
        <v>22</v>
      </c>
      <c r="C280" s="6" t="s">
        <v>48</v>
      </c>
      <c r="E280" s="61">
        <v>260</v>
      </c>
      <c r="F280" s="61">
        <v>260</v>
      </c>
      <c r="G280" s="61">
        <v>260</v>
      </c>
      <c r="H280" s="61">
        <v>265.41666666666669</v>
      </c>
      <c r="I280" s="61">
        <v>265.41666666666669</v>
      </c>
      <c r="J280" s="61">
        <v>265.41666666666669</v>
      </c>
      <c r="K280" s="61">
        <v>276.25</v>
      </c>
      <c r="L280" s="61">
        <v>276.25</v>
      </c>
      <c r="M280" s="61">
        <v>276.25</v>
      </c>
      <c r="N280" s="61">
        <v>276.25</v>
      </c>
      <c r="O280" s="61">
        <v>276.25</v>
      </c>
      <c r="P280" s="61">
        <v>276.25</v>
      </c>
      <c r="Q280" s="61">
        <v>260</v>
      </c>
      <c r="R280" s="61">
        <v>249.16666666666669</v>
      </c>
      <c r="S280" s="61">
        <v>249.16666666666669</v>
      </c>
      <c r="T280" s="61">
        <v>249.16666666666669</v>
      </c>
      <c r="U280" s="61">
        <v>270.83333333333331</v>
      </c>
      <c r="V280" s="61">
        <v>270.83333333333331</v>
      </c>
    </row>
    <row r="281" spans="1:22" x14ac:dyDescent="0.2">
      <c r="A281" s="6" t="s">
        <v>28</v>
      </c>
      <c r="B281" s="6" t="s">
        <v>13</v>
      </c>
      <c r="C281" s="18" t="s">
        <v>49</v>
      </c>
      <c r="E281" s="61">
        <v>276.25</v>
      </c>
      <c r="F281" s="61">
        <v>281.66666666666669</v>
      </c>
      <c r="G281" s="61">
        <v>281.66666666666669</v>
      </c>
      <c r="H281" s="61">
        <v>287.08333333333331</v>
      </c>
      <c r="I281" s="61">
        <v>287.08333333333331</v>
      </c>
      <c r="J281" s="61">
        <v>297.91666666666669</v>
      </c>
      <c r="K281" s="61">
        <v>297.91666666666669</v>
      </c>
      <c r="L281" s="61">
        <v>297.91666666666669</v>
      </c>
      <c r="M281" s="61">
        <v>297.91666666666669</v>
      </c>
      <c r="N281" s="61">
        <v>297.91666666666669</v>
      </c>
      <c r="O281" s="61">
        <v>297.91666666666669</v>
      </c>
      <c r="P281" s="61">
        <v>297.91666666666669</v>
      </c>
      <c r="Q281" s="61">
        <v>297.91666666666669</v>
      </c>
      <c r="R281" s="61">
        <v>292.5</v>
      </c>
      <c r="S281" s="61">
        <v>281.66666666666669</v>
      </c>
      <c r="T281" s="61">
        <v>281.66666666666669</v>
      </c>
      <c r="U281" s="61">
        <v>297.91666666666669</v>
      </c>
      <c r="V281" s="61">
        <v>297.91666666666669</v>
      </c>
    </row>
    <row r="282" spans="1:22" x14ac:dyDescent="0.2">
      <c r="A282" s="6" t="s">
        <v>28</v>
      </c>
      <c r="B282" s="27" t="s">
        <v>20</v>
      </c>
      <c r="C282" s="28" t="s">
        <v>50</v>
      </c>
      <c r="E282" s="61">
        <v>265.41666666666669</v>
      </c>
      <c r="F282" s="61">
        <v>265.41666666666669</v>
      </c>
      <c r="G282" s="61">
        <v>260</v>
      </c>
      <c r="H282" s="61">
        <v>265.41666666666669</v>
      </c>
      <c r="I282" s="61">
        <v>265.41666666666669</v>
      </c>
      <c r="J282" s="61">
        <v>276.25</v>
      </c>
      <c r="K282" s="61">
        <v>276.25</v>
      </c>
      <c r="L282" s="61">
        <v>276.25</v>
      </c>
      <c r="M282" s="61">
        <v>276.25</v>
      </c>
      <c r="N282" s="61">
        <v>276.25</v>
      </c>
      <c r="O282" s="61">
        <v>276.25</v>
      </c>
      <c r="P282" s="61">
        <v>276.25</v>
      </c>
      <c r="Q282" s="61">
        <v>276.25</v>
      </c>
      <c r="R282" s="61">
        <v>260</v>
      </c>
      <c r="S282" s="61">
        <v>260</v>
      </c>
      <c r="T282" s="61">
        <v>260</v>
      </c>
      <c r="U282" s="61">
        <v>276.25</v>
      </c>
      <c r="V282" s="61">
        <v>276.25</v>
      </c>
    </row>
    <row r="283" spans="1:22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x14ac:dyDescent="0.2">
      <c r="A284" s="36" t="s">
        <v>63</v>
      </c>
    </row>
    <row r="285" spans="1:22" x14ac:dyDescent="0.2">
      <c r="A285" s="15" t="s">
        <v>24</v>
      </c>
      <c r="B285" s="15" t="s">
        <v>52</v>
      </c>
      <c r="C285" s="15" t="s">
        <v>53</v>
      </c>
      <c r="E285" s="68" t="s">
        <v>83</v>
      </c>
      <c r="F285" s="68" t="s">
        <v>84</v>
      </c>
      <c r="G285" s="68" t="s">
        <v>85</v>
      </c>
      <c r="H285" s="68" t="s">
        <v>86</v>
      </c>
      <c r="I285" s="68" t="s">
        <v>87</v>
      </c>
      <c r="J285" s="68" t="s">
        <v>88</v>
      </c>
      <c r="K285" s="68" t="s">
        <v>89</v>
      </c>
      <c r="L285" s="68" t="s">
        <v>90</v>
      </c>
      <c r="M285" s="68" t="s">
        <v>91</v>
      </c>
      <c r="N285" s="68" t="s">
        <v>92</v>
      </c>
      <c r="O285" s="68" t="s">
        <v>94</v>
      </c>
      <c r="P285" s="68" t="s">
        <v>95</v>
      </c>
      <c r="Q285" s="68" t="s">
        <v>93</v>
      </c>
      <c r="R285" s="68" t="s">
        <v>96</v>
      </c>
      <c r="S285" s="68" t="s">
        <v>97</v>
      </c>
      <c r="T285" s="68" t="s">
        <v>98</v>
      </c>
      <c r="U285" s="68" t="s">
        <v>99</v>
      </c>
      <c r="V285" s="68" t="s">
        <v>100</v>
      </c>
    </row>
    <row r="286" spans="1:22" x14ac:dyDescent="0.2">
      <c r="A286" s="6" t="s">
        <v>27</v>
      </c>
      <c r="B286" s="6" t="s">
        <v>21</v>
      </c>
      <c r="C286" s="18" t="s">
        <v>37</v>
      </c>
      <c r="E286" s="63">
        <v>46.777500000000003</v>
      </c>
      <c r="F286" s="63">
        <v>69.241331250000002</v>
      </c>
      <c r="G286" s="63">
        <v>100.65667500000001</v>
      </c>
      <c r="H286" s="63">
        <v>161.76510000000002</v>
      </c>
      <c r="I286" s="63">
        <v>140.97037499999999</v>
      </c>
      <c r="J286" s="63">
        <v>137.43016875000001</v>
      </c>
      <c r="K286" s="63">
        <v>212.85888750000004</v>
      </c>
      <c r="L286" s="63">
        <v>213.2416125</v>
      </c>
      <c r="M286" s="63">
        <v>90.004162500000007</v>
      </c>
      <c r="N286" s="63">
        <v>48.2871375</v>
      </c>
      <c r="O286" s="63">
        <v>48.2871375</v>
      </c>
      <c r="P286" s="63">
        <v>38.62971000000001</v>
      </c>
      <c r="Q286" s="63">
        <v>70.166250000000005</v>
      </c>
      <c r="R286" s="63">
        <v>103.86199687500003</v>
      </c>
      <c r="S286" s="63">
        <v>150.98501250000001</v>
      </c>
      <c r="T286" s="63">
        <v>242.64765</v>
      </c>
      <c r="U286" s="63">
        <v>211.45556250000004</v>
      </c>
      <c r="V286" s="63">
        <v>206.14525312500001</v>
      </c>
    </row>
    <row r="287" spans="1:22" x14ac:dyDescent="0.2">
      <c r="A287" s="6" t="s">
        <v>27</v>
      </c>
      <c r="B287" s="6" t="s">
        <v>10</v>
      </c>
      <c r="C287" s="6" t="s">
        <v>38</v>
      </c>
      <c r="E287" s="63">
        <v>3.7800000000000002</v>
      </c>
      <c r="F287" s="63">
        <v>3.7800000000000002</v>
      </c>
      <c r="G287" s="63">
        <v>5.6700000000000008</v>
      </c>
      <c r="H287" s="63">
        <v>2.8350000000000004</v>
      </c>
      <c r="I287" s="63">
        <v>4.7250000000000005</v>
      </c>
      <c r="J287" s="63">
        <v>5.6700000000000008</v>
      </c>
      <c r="K287" s="63">
        <v>9.4500000000000011</v>
      </c>
      <c r="L287" s="63">
        <v>14.175000000000001</v>
      </c>
      <c r="M287" s="63">
        <v>14.175000000000001</v>
      </c>
      <c r="N287" s="63">
        <v>11.340000000000002</v>
      </c>
      <c r="O287" s="63">
        <v>7.5600000000000005</v>
      </c>
      <c r="P287" s="63">
        <v>7.5600000000000005</v>
      </c>
      <c r="Q287" s="63">
        <v>6.6150000000000002</v>
      </c>
      <c r="R287" s="63">
        <v>5.6700000000000008</v>
      </c>
      <c r="S287" s="63">
        <v>3.7800000000000002</v>
      </c>
      <c r="T287" s="63">
        <v>2.8350000000000004</v>
      </c>
      <c r="U287" s="63">
        <v>1.8900000000000001</v>
      </c>
      <c r="V287" s="63">
        <v>1.8900000000000001</v>
      </c>
    </row>
    <row r="288" spans="1:22" x14ac:dyDescent="0.2">
      <c r="A288" s="6" t="s">
        <v>27</v>
      </c>
      <c r="B288" s="6" t="s">
        <v>23</v>
      </c>
      <c r="C288" s="18" t="s">
        <v>39</v>
      </c>
      <c r="E288" s="63">
        <v>12.190499999999998</v>
      </c>
      <c r="F288" s="63">
        <v>30.629340000000003</v>
      </c>
      <c r="G288" s="63">
        <v>44.316719999999997</v>
      </c>
      <c r="H288" s="63">
        <v>63.175139999999992</v>
      </c>
      <c r="I288" s="63">
        <v>96.820920000000001</v>
      </c>
      <c r="J288" s="63">
        <v>130.25124000000002</v>
      </c>
      <c r="K288" s="63">
        <v>107.80938000000002</v>
      </c>
      <c r="L288" s="63">
        <v>80.479979999999998</v>
      </c>
      <c r="M288" s="63">
        <v>38.850839999999998</v>
      </c>
      <c r="N288" s="63">
        <v>22.351140000000001</v>
      </c>
      <c r="O288" s="63">
        <v>22.351140000000001</v>
      </c>
      <c r="P288" s="63">
        <v>17.880912000000002</v>
      </c>
      <c r="Q288" s="63">
        <v>18.28575</v>
      </c>
      <c r="R288" s="63">
        <v>45.944009999999999</v>
      </c>
      <c r="S288" s="63">
        <v>66.475080000000005</v>
      </c>
      <c r="T288" s="63">
        <v>94.762709999999998</v>
      </c>
      <c r="U288" s="63">
        <v>145.23138</v>
      </c>
      <c r="V288" s="63">
        <v>195.37685999999997</v>
      </c>
    </row>
    <row r="289" spans="1:22" x14ac:dyDescent="0.2">
      <c r="A289" s="6" t="s">
        <v>27</v>
      </c>
      <c r="B289" s="6" t="s">
        <v>14</v>
      </c>
      <c r="C289" s="18" t="s">
        <v>40</v>
      </c>
      <c r="E289" s="63">
        <v>23.247</v>
      </c>
      <c r="F289" s="63">
        <v>33.657119999999999</v>
      </c>
      <c r="G289" s="63">
        <v>94.099320000000006</v>
      </c>
      <c r="H289" s="63">
        <v>177.67511999999999</v>
      </c>
      <c r="I289" s="63">
        <v>93.985919999999993</v>
      </c>
      <c r="J289" s="63">
        <v>69.650280000000009</v>
      </c>
      <c r="K289" s="63">
        <v>66.066839999999999</v>
      </c>
      <c r="L289" s="63">
        <v>54.908280000000005</v>
      </c>
      <c r="M289" s="63">
        <v>24.959340000000001</v>
      </c>
      <c r="N289" s="63">
        <v>18.189359999999997</v>
      </c>
      <c r="O289" s="63">
        <v>18.189359999999997</v>
      </c>
      <c r="P289" s="63">
        <v>14.551488000000003</v>
      </c>
      <c r="Q289" s="63">
        <v>34.8705</v>
      </c>
      <c r="R289" s="63">
        <v>50.485679999999995</v>
      </c>
      <c r="S289" s="63">
        <v>141.14897999999999</v>
      </c>
      <c r="T289" s="63">
        <v>266.51268000000005</v>
      </c>
      <c r="U289" s="63">
        <v>140.97888</v>
      </c>
      <c r="V289" s="63">
        <v>104.47541999999999</v>
      </c>
    </row>
    <row r="290" spans="1:22" x14ac:dyDescent="0.2">
      <c r="A290" s="6" t="s">
        <v>27</v>
      </c>
      <c r="B290" s="6" t="s">
        <v>11</v>
      </c>
      <c r="C290" s="18" t="s">
        <v>41</v>
      </c>
      <c r="E290" s="63">
        <v>45.36</v>
      </c>
      <c r="F290" s="63">
        <v>77.422078124999999</v>
      </c>
      <c r="G290" s="63">
        <v>95.378259374999999</v>
      </c>
      <c r="H290" s="63">
        <v>147.85942499999999</v>
      </c>
      <c r="I290" s="63">
        <v>185.82893437500002</v>
      </c>
      <c r="J290" s="63">
        <v>186.69006562499996</v>
      </c>
      <c r="K290" s="63">
        <v>152.65943437499999</v>
      </c>
      <c r="L290" s="63">
        <v>148.73650312500001</v>
      </c>
      <c r="M290" s="63">
        <v>90.323099999999982</v>
      </c>
      <c r="N290" s="63">
        <v>50.982159374999995</v>
      </c>
      <c r="O290" s="63">
        <v>50.982159374999995</v>
      </c>
      <c r="P290" s="63">
        <v>40.7857275</v>
      </c>
      <c r="Q290" s="63">
        <v>68.040000000000006</v>
      </c>
      <c r="R290" s="63">
        <v>116.13311718749999</v>
      </c>
      <c r="S290" s="63">
        <v>143.06738906249998</v>
      </c>
      <c r="T290" s="63">
        <v>221.78913749999995</v>
      </c>
      <c r="U290" s="63">
        <v>278.74340156250003</v>
      </c>
      <c r="V290" s="63">
        <v>280.03509843749998</v>
      </c>
    </row>
    <row r="291" spans="1:22" x14ac:dyDescent="0.2">
      <c r="A291" s="6" t="s">
        <v>27</v>
      </c>
      <c r="B291" s="27" t="s">
        <v>15</v>
      </c>
      <c r="C291" s="28" t="s">
        <v>42</v>
      </c>
      <c r="E291" s="63">
        <v>50.557500000000005</v>
      </c>
      <c r="F291" s="63">
        <v>128.48220000000003</v>
      </c>
      <c r="G291" s="63">
        <v>177.18750000000003</v>
      </c>
      <c r="H291" s="63">
        <v>253.88370000000003</v>
      </c>
      <c r="I291" s="63">
        <v>362.78550000000001</v>
      </c>
      <c r="J291" s="63">
        <v>398.7333000000001</v>
      </c>
      <c r="K291" s="63">
        <v>433.39590000000004</v>
      </c>
      <c r="L291" s="63">
        <v>329.10570000000007</v>
      </c>
      <c r="M291" s="63">
        <v>152.06940000000003</v>
      </c>
      <c r="N291" s="63">
        <v>77.565600000000018</v>
      </c>
      <c r="O291" s="63">
        <v>77.565600000000018</v>
      </c>
      <c r="P291" s="63">
        <v>62.052480000000017</v>
      </c>
      <c r="Q291" s="63">
        <v>75.836250000000007</v>
      </c>
      <c r="R291" s="63">
        <v>192.72330000000002</v>
      </c>
      <c r="S291" s="63">
        <v>265.78125</v>
      </c>
      <c r="T291" s="63">
        <v>380.82555000000013</v>
      </c>
      <c r="U291" s="63">
        <v>544.17825000000016</v>
      </c>
      <c r="V291" s="63">
        <v>598.09995000000015</v>
      </c>
    </row>
    <row r="292" spans="1:22" x14ac:dyDescent="0.2">
      <c r="A292" s="6" t="s">
        <v>27</v>
      </c>
      <c r="B292" s="6" t="s">
        <v>12</v>
      </c>
      <c r="C292" s="18" t="s">
        <v>43</v>
      </c>
      <c r="E292" s="63">
        <v>3.3075000000000001</v>
      </c>
      <c r="F292" s="63">
        <v>8.1081000000000021</v>
      </c>
      <c r="G292" s="63">
        <v>18.106200000000005</v>
      </c>
      <c r="H292" s="63">
        <v>17.964450000000003</v>
      </c>
      <c r="I292" s="63">
        <v>22.387050000000002</v>
      </c>
      <c r="J292" s="63">
        <v>26.838000000000001</v>
      </c>
      <c r="K292" s="63">
        <v>31.666950000000007</v>
      </c>
      <c r="L292" s="63">
        <v>41.287050000000008</v>
      </c>
      <c r="M292" s="63">
        <v>17.794350000000005</v>
      </c>
      <c r="N292" s="63">
        <v>11.916450000000003</v>
      </c>
      <c r="O292" s="63">
        <v>11.916450000000003</v>
      </c>
      <c r="P292" s="63">
        <v>9.5331600000000005</v>
      </c>
      <c r="Q292" s="63">
        <v>4.9612500000000006</v>
      </c>
      <c r="R292" s="63">
        <v>12.162150000000002</v>
      </c>
      <c r="S292" s="63">
        <v>27.159300000000005</v>
      </c>
      <c r="T292" s="63">
        <v>26.946675000000006</v>
      </c>
      <c r="U292" s="63">
        <v>33.58057500000001</v>
      </c>
      <c r="V292" s="63">
        <v>40.257000000000005</v>
      </c>
    </row>
    <row r="293" spans="1:22" x14ac:dyDescent="0.2">
      <c r="A293" s="6" t="s">
        <v>27</v>
      </c>
      <c r="B293" s="6" t="s">
        <v>19</v>
      </c>
      <c r="C293" s="18" t="s">
        <v>44</v>
      </c>
      <c r="E293" s="63">
        <v>4.8194999999999997</v>
      </c>
      <c r="F293" s="63">
        <v>5.3751600000000002</v>
      </c>
      <c r="G293" s="63">
        <v>4.2354899999999995</v>
      </c>
      <c r="H293" s="63">
        <v>5.4687149999999995</v>
      </c>
      <c r="I293" s="63">
        <v>7.7650649999999999</v>
      </c>
      <c r="J293" s="63">
        <v>9.3725100000000001</v>
      </c>
      <c r="K293" s="63">
        <v>8.1137699999999988</v>
      </c>
      <c r="L293" s="63">
        <v>14.47551</v>
      </c>
      <c r="M293" s="63">
        <v>13.607999999999999</v>
      </c>
      <c r="N293" s="63">
        <v>9.2789549999999998</v>
      </c>
      <c r="O293" s="63">
        <v>9.2789549999999998</v>
      </c>
      <c r="P293" s="63">
        <v>7.4231639999999999</v>
      </c>
      <c r="Q293" s="63">
        <v>7.2292499999999995</v>
      </c>
      <c r="R293" s="63">
        <v>8.0627400000000016</v>
      </c>
      <c r="S293" s="63">
        <v>6.3532350000000006</v>
      </c>
      <c r="T293" s="63">
        <v>8.2030724999999993</v>
      </c>
      <c r="U293" s="63">
        <v>11.6475975</v>
      </c>
      <c r="V293" s="63">
        <v>14.058765000000003</v>
      </c>
    </row>
    <row r="294" spans="1:22" x14ac:dyDescent="0.2">
      <c r="A294" s="6" t="s">
        <v>27</v>
      </c>
      <c r="B294" s="27" t="s">
        <v>16</v>
      </c>
      <c r="C294" s="28" t="s">
        <v>45</v>
      </c>
      <c r="E294" s="63">
        <v>16.632000000000001</v>
      </c>
      <c r="F294" s="63">
        <v>109.03410000000002</v>
      </c>
      <c r="G294" s="63">
        <v>208.18539000000001</v>
      </c>
      <c r="H294" s="63">
        <v>318.66534000000001</v>
      </c>
      <c r="I294" s="63">
        <v>375.37668000000002</v>
      </c>
      <c r="J294" s="63">
        <v>310.70465999999999</v>
      </c>
      <c r="K294" s="63">
        <v>294.05187000000006</v>
      </c>
      <c r="L294" s="63">
        <v>246.33882</v>
      </c>
      <c r="M294" s="63">
        <v>112.36805999999999</v>
      </c>
      <c r="N294" s="63">
        <v>64.706040000000016</v>
      </c>
      <c r="O294" s="63">
        <v>64.706040000000016</v>
      </c>
      <c r="P294" s="63">
        <v>51.764832000000013</v>
      </c>
      <c r="Q294" s="63">
        <v>24.948</v>
      </c>
      <c r="R294" s="63">
        <v>163.55115000000001</v>
      </c>
      <c r="S294" s="63">
        <v>312.27808500000003</v>
      </c>
      <c r="T294" s="63">
        <v>477.99801000000008</v>
      </c>
      <c r="U294" s="63">
        <v>563.06502000000012</v>
      </c>
      <c r="V294" s="63">
        <v>466.05699000000004</v>
      </c>
    </row>
    <row r="295" spans="1:22" x14ac:dyDescent="0.2">
      <c r="A295" s="6" t="s">
        <v>27</v>
      </c>
      <c r="B295" s="27" t="s">
        <v>17</v>
      </c>
      <c r="C295" s="28" t="s">
        <v>46</v>
      </c>
      <c r="E295" s="63">
        <v>12.474</v>
      </c>
      <c r="F295" s="63">
        <v>40.652482499999998</v>
      </c>
      <c r="G295" s="63">
        <v>62.333145000000002</v>
      </c>
      <c r="H295" s="63">
        <v>78.735037500000004</v>
      </c>
      <c r="I295" s="63">
        <v>151.88370750000001</v>
      </c>
      <c r="J295" s="63">
        <v>168.9107175</v>
      </c>
      <c r="K295" s="63">
        <v>201.13899749999999</v>
      </c>
      <c r="L295" s="63">
        <v>121.18349250000001</v>
      </c>
      <c r="M295" s="63">
        <v>60.209730000000008</v>
      </c>
      <c r="N295" s="63">
        <v>41.853105000000006</v>
      </c>
      <c r="O295" s="63">
        <v>41.853105000000006</v>
      </c>
      <c r="P295" s="63">
        <v>33.482484000000007</v>
      </c>
      <c r="Q295" s="63">
        <v>18.710999999999999</v>
      </c>
      <c r="R295" s="63">
        <v>60.978723750000007</v>
      </c>
      <c r="S295" s="63">
        <v>93.499717500000017</v>
      </c>
      <c r="T295" s="63">
        <v>118.10255625000001</v>
      </c>
      <c r="U295" s="63">
        <v>227.82556125000002</v>
      </c>
      <c r="V295" s="63">
        <v>253.36607625000005</v>
      </c>
    </row>
    <row r="296" spans="1:22" x14ac:dyDescent="0.2">
      <c r="A296" s="6" t="s">
        <v>27</v>
      </c>
      <c r="B296" s="27" t="s">
        <v>18</v>
      </c>
      <c r="C296" s="28" t="s">
        <v>47</v>
      </c>
      <c r="E296" s="63">
        <v>48.195</v>
      </c>
      <c r="F296" s="63">
        <v>117.87929999999999</v>
      </c>
      <c r="G296" s="63">
        <v>206.74804499999999</v>
      </c>
      <c r="H296" s="63">
        <v>375.27462000000008</v>
      </c>
      <c r="I296" s="63">
        <v>436.25547000000006</v>
      </c>
      <c r="J296" s="63">
        <v>367.03327499999989</v>
      </c>
      <c r="K296" s="63">
        <v>332.99626499999994</v>
      </c>
      <c r="L296" s="63">
        <v>312.48220499999996</v>
      </c>
      <c r="M296" s="63">
        <v>155.02914000000001</v>
      </c>
      <c r="N296" s="63">
        <v>255.27757499999996</v>
      </c>
      <c r="O296" s="63">
        <v>141.75</v>
      </c>
      <c r="P296" s="63">
        <v>113.4</v>
      </c>
      <c r="Q296" s="63">
        <v>72.292500000000004</v>
      </c>
      <c r="R296" s="63">
        <v>176.81895</v>
      </c>
      <c r="S296" s="63">
        <v>310.12206750000001</v>
      </c>
      <c r="T296" s="63">
        <v>562.91192999999998</v>
      </c>
      <c r="U296" s="63">
        <v>654.38320500000009</v>
      </c>
      <c r="V296" s="63">
        <v>550.5499125</v>
      </c>
    </row>
    <row r="297" spans="1:22" x14ac:dyDescent="0.2">
      <c r="A297" s="6" t="s">
        <v>27</v>
      </c>
      <c r="B297" s="6" t="s">
        <v>22</v>
      </c>
      <c r="C297" s="6" t="s">
        <v>48</v>
      </c>
      <c r="E297" s="63">
        <v>14.175000000000001</v>
      </c>
      <c r="F297" s="63">
        <v>32.939864999999998</v>
      </c>
      <c r="G297" s="63">
        <v>52.458839999999995</v>
      </c>
      <c r="H297" s="63">
        <v>104.50943999999998</v>
      </c>
      <c r="I297" s="63">
        <v>89.812799999999996</v>
      </c>
      <c r="J297" s="63">
        <v>93.25732499999998</v>
      </c>
      <c r="K297" s="63">
        <v>105.759675</v>
      </c>
      <c r="L297" s="63">
        <v>63.991619999999998</v>
      </c>
      <c r="M297" s="63">
        <v>34.674884999999996</v>
      </c>
      <c r="N297" s="63">
        <v>27.250019999999996</v>
      </c>
      <c r="O297" s="63">
        <v>27.250019999999996</v>
      </c>
      <c r="P297" s="63">
        <v>21.800015999999999</v>
      </c>
      <c r="Q297" s="63">
        <v>21.262499999999999</v>
      </c>
      <c r="R297" s="63">
        <v>49.409797499999996</v>
      </c>
      <c r="S297" s="63">
        <v>78.68826</v>
      </c>
      <c r="T297" s="63">
        <v>156.76416</v>
      </c>
      <c r="U297" s="63">
        <v>134.7192</v>
      </c>
      <c r="V297" s="63">
        <v>139.88598749999997</v>
      </c>
    </row>
    <row r="298" spans="1:22" x14ac:dyDescent="0.2">
      <c r="A298" s="6" t="s">
        <v>27</v>
      </c>
      <c r="B298" s="6" t="s">
        <v>13</v>
      </c>
      <c r="C298" s="18" t="s">
        <v>49</v>
      </c>
      <c r="E298" s="63">
        <v>5.67</v>
      </c>
      <c r="F298" s="63">
        <v>52.152660000000004</v>
      </c>
      <c r="G298" s="63">
        <v>76.862520000000004</v>
      </c>
      <c r="H298" s="63">
        <v>97.127100000000013</v>
      </c>
      <c r="I298" s="63">
        <v>154.68894</v>
      </c>
      <c r="J298" s="63">
        <v>180.68022000000002</v>
      </c>
      <c r="K298" s="63">
        <v>203.21280000000004</v>
      </c>
      <c r="L298" s="63">
        <v>150.49314000000001</v>
      </c>
      <c r="M298" s="63">
        <v>63.82152</v>
      </c>
      <c r="N298" s="63">
        <v>40.687920000000005</v>
      </c>
      <c r="O298" s="63">
        <v>40.687920000000005</v>
      </c>
      <c r="P298" s="63">
        <v>32.550336000000009</v>
      </c>
      <c r="Q298" s="63">
        <v>8.5050000000000008</v>
      </c>
      <c r="R298" s="63">
        <v>78.228989999999996</v>
      </c>
      <c r="S298" s="63">
        <v>115.29378</v>
      </c>
      <c r="T298" s="63">
        <v>145.69065000000001</v>
      </c>
      <c r="U298" s="63">
        <v>232.03341</v>
      </c>
      <c r="V298" s="63">
        <v>271.02033</v>
      </c>
    </row>
    <row r="299" spans="1:22" x14ac:dyDescent="0.2">
      <c r="A299" s="6" t="s">
        <v>27</v>
      </c>
      <c r="B299" s="27" t="s">
        <v>20</v>
      </c>
      <c r="C299" s="28" t="s">
        <v>50</v>
      </c>
      <c r="E299" s="63">
        <v>10.867500000000001</v>
      </c>
      <c r="F299" s="63">
        <v>21.489300000000004</v>
      </c>
      <c r="G299" s="63">
        <v>25.103925</v>
      </c>
      <c r="H299" s="63">
        <v>39.888449999999999</v>
      </c>
      <c r="I299" s="63">
        <v>63.872550000000011</v>
      </c>
      <c r="J299" s="63">
        <v>77.211225000000013</v>
      </c>
      <c r="K299" s="63">
        <v>81.690524999999994</v>
      </c>
      <c r="L299" s="63">
        <v>60.371325000000006</v>
      </c>
      <c r="M299" s="63">
        <v>37.833075000000001</v>
      </c>
      <c r="N299" s="63">
        <v>24.905475000000003</v>
      </c>
      <c r="O299" s="63">
        <v>24.905475000000003</v>
      </c>
      <c r="P299" s="63">
        <v>19.924380000000006</v>
      </c>
      <c r="Q299" s="63">
        <v>16.301250000000003</v>
      </c>
      <c r="R299" s="63">
        <v>32.233950000000007</v>
      </c>
      <c r="S299" s="63">
        <v>37.655887499999999</v>
      </c>
      <c r="T299" s="63">
        <v>59.832675000000009</v>
      </c>
      <c r="U299" s="63">
        <v>95.808824999999999</v>
      </c>
      <c r="V299" s="63">
        <v>115.81683749999998</v>
      </c>
    </row>
    <row r="300" spans="1:22" x14ac:dyDescent="0.2">
      <c r="A300" s="6" t="s">
        <v>28</v>
      </c>
      <c r="B300" s="6" t="s">
        <v>21</v>
      </c>
      <c r="C300" s="18" t="s">
        <v>37</v>
      </c>
      <c r="E300" s="63">
        <v>140.33250000000004</v>
      </c>
      <c r="F300" s="63">
        <v>207.72399375000003</v>
      </c>
      <c r="G300" s="63">
        <v>301.97002500000002</v>
      </c>
      <c r="H300" s="63">
        <v>485.29530000000011</v>
      </c>
      <c r="I300" s="63">
        <v>422.91112500000003</v>
      </c>
      <c r="J300" s="63">
        <v>412.29050625000002</v>
      </c>
      <c r="K300" s="63">
        <v>638.57666250000011</v>
      </c>
      <c r="L300" s="63">
        <v>639.72483750000004</v>
      </c>
      <c r="M300" s="63">
        <v>270.01248750000002</v>
      </c>
      <c r="N300" s="63">
        <v>144.8614125</v>
      </c>
      <c r="O300" s="63">
        <v>144.8614125</v>
      </c>
      <c r="P300" s="63">
        <v>115.88913000000004</v>
      </c>
      <c r="Q300" s="63">
        <v>210.49875000000003</v>
      </c>
      <c r="R300" s="63">
        <v>311.58599062500008</v>
      </c>
      <c r="S300" s="63">
        <v>452.95503750000006</v>
      </c>
      <c r="T300" s="63">
        <v>727.94295</v>
      </c>
      <c r="U300" s="63">
        <v>634.36668750000013</v>
      </c>
      <c r="V300" s="63">
        <v>618.43575937500009</v>
      </c>
    </row>
    <row r="301" spans="1:22" x14ac:dyDescent="0.2">
      <c r="A301" s="6" t="s">
        <v>28</v>
      </c>
      <c r="B301" s="6" t="s">
        <v>10</v>
      </c>
      <c r="C301" s="6" t="s">
        <v>38</v>
      </c>
      <c r="E301" s="63">
        <v>34.020000000000003</v>
      </c>
      <c r="F301" s="63">
        <v>34.020000000000003</v>
      </c>
      <c r="G301" s="63">
        <v>51.03</v>
      </c>
      <c r="H301" s="63">
        <v>25.515000000000001</v>
      </c>
      <c r="I301" s="63">
        <v>42.525000000000006</v>
      </c>
      <c r="J301" s="63">
        <v>51.03</v>
      </c>
      <c r="K301" s="63">
        <v>85.050000000000011</v>
      </c>
      <c r="L301" s="63">
        <v>127.575</v>
      </c>
      <c r="M301" s="63">
        <v>127.575</v>
      </c>
      <c r="N301" s="63">
        <v>102.06</v>
      </c>
      <c r="O301" s="63">
        <v>68.040000000000006</v>
      </c>
      <c r="P301" s="63">
        <v>68.040000000000006</v>
      </c>
      <c r="Q301" s="63">
        <v>59.535000000000004</v>
      </c>
      <c r="R301" s="63">
        <v>51.03</v>
      </c>
      <c r="S301" s="63">
        <v>34.020000000000003</v>
      </c>
      <c r="T301" s="63">
        <v>25.515000000000001</v>
      </c>
      <c r="U301" s="63">
        <v>17.010000000000002</v>
      </c>
      <c r="V301" s="63">
        <v>17.010000000000002</v>
      </c>
    </row>
    <row r="302" spans="1:22" x14ac:dyDescent="0.2">
      <c r="A302" s="6" t="s">
        <v>28</v>
      </c>
      <c r="B302" s="6" t="s">
        <v>23</v>
      </c>
      <c r="C302" s="18" t="s">
        <v>39</v>
      </c>
      <c r="E302" s="63">
        <v>69.079499999999996</v>
      </c>
      <c r="F302" s="63">
        <v>173.56626</v>
      </c>
      <c r="G302" s="63">
        <v>251.12807999999995</v>
      </c>
      <c r="H302" s="63">
        <v>357.99245999999994</v>
      </c>
      <c r="I302" s="63">
        <v>548.65188000000001</v>
      </c>
      <c r="J302" s="63">
        <v>738.09036000000003</v>
      </c>
      <c r="K302" s="63">
        <v>610.91982000000007</v>
      </c>
      <c r="L302" s="63">
        <v>456.05321999999995</v>
      </c>
      <c r="M302" s="63">
        <v>220.15475999999995</v>
      </c>
      <c r="N302" s="63">
        <v>126.65646</v>
      </c>
      <c r="O302" s="63">
        <v>126.65646</v>
      </c>
      <c r="P302" s="63">
        <v>101.32516799999999</v>
      </c>
      <c r="Q302" s="63">
        <v>103.61925000000001</v>
      </c>
      <c r="R302" s="63">
        <v>260.34938999999997</v>
      </c>
      <c r="S302" s="63">
        <v>376.69211999999999</v>
      </c>
      <c r="T302" s="63">
        <v>536.98869000000002</v>
      </c>
      <c r="U302" s="63">
        <v>822.97781999999995</v>
      </c>
      <c r="V302" s="63">
        <v>1107.1355399999998</v>
      </c>
    </row>
    <row r="303" spans="1:22" x14ac:dyDescent="0.2">
      <c r="A303" s="6" t="s">
        <v>28</v>
      </c>
      <c r="B303" s="6" t="s">
        <v>14</v>
      </c>
      <c r="C303" s="18" t="s">
        <v>40</v>
      </c>
      <c r="E303" s="63">
        <v>54.242999999999995</v>
      </c>
      <c r="F303" s="63">
        <v>78.533280000000005</v>
      </c>
      <c r="G303" s="63">
        <v>219.56507999999999</v>
      </c>
      <c r="H303" s="63">
        <v>414.57528000000002</v>
      </c>
      <c r="I303" s="63">
        <v>219.30047999999999</v>
      </c>
      <c r="J303" s="63">
        <v>162.51732000000001</v>
      </c>
      <c r="K303" s="63">
        <v>154.15595999999999</v>
      </c>
      <c r="L303" s="63">
        <v>128.11932000000002</v>
      </c>
      <c r="M303" s="63">
        <v>58.238460000000003</v>
      </c>
      <c r="N303" s="63">
        <v>42.441839999999992</v>
      </c>
      <c r="O303" s="63">
        <v>42.441839999999992</v>
      </c>
      <c r="P303" s="63">
        <v>33.953472000000005</v>
      </c>
      <c r="Q303" s="63">
        <v>81.364500000000007</v>
      </c>
      <c r="R303" s="63">
        <v>117.79991999999999</v>
      </c>
      <c r="S303" s="63">
        <v>329.34762000000001</v>
      </c>
      <c r="T303" s="63">
        <v>621.86292000000003</v>
      </c>
      <c r="U303" s="63">
        <v>328.95071999999999</v>
      </c>
      <c r="V303" s="63">
        <v>243.77597999999995</v>
      </c>
    </row>
    <row r="304" spans="1:22" x14ac:dyDescent="0.2">
      <c r="A304" s="6" t="s">
        <v>28</v>
      </c>
      <c r="B304" s="6" t="s">
        <v>11</v>
      </c>
      <c r="C304" s="18" t="s">
        <v>41</v>
      </c>
      <c r="E304" s="63">
        <v>257.03999999999996</v>
      </c>
      <c r="F304" s="63">
        <v>438.72510937499993</v>
      </c>
      <c r="G304" s="63">
        <v>540.47680312499995</v>
      </c>
      <c r="H304" s="63">
        <v>837.87007499999982</v>
      </c>
      <c r="I304" s="63">
        <v>1053.030628125</v>
      </c>
      <c r="J304" s="63">
        <v>1057.9103718749998</v>
      </c>
      <c r="K304" s="63">
        <v>865.07012812499988</v>
      </c>
      <c r="L304" s="63">
        <v>842.84018437499992</v>
      </c>
      <c r="M304" s="63">
        <v>511.83089999999987</v>
      </c>
      <c r="N304" s="63">
        <v>288.89890312499995</v>
      </c>
      <c r="O304" s="63">
        <v>288.89890312499995</v>
      </c>
      <c r="P304" s="63">
        <v>231.11912249999997</v>
      </c>
      <c r="Q304" s="63">
        <v>385.56</v>
      </c>
      <c r="R304" s="63">
        <v>658.08766406249993</v>
      </c>
      <c r="S304" s="63">
        <v>810.71520468749986</v>
      </c>
      <c r="T304" s="63">
        <v>1256.8051124999997</v>
      </c>
      <c r="U304" s="63">
        <v>1579.5459421875</v>
      </c>
      <c r="V304" s="63">
        <v>1586.8655578124999</v>
      </c>
    </row>
    <row r="305" spans="1:22" x14ac:dyDescent="0.2">
      <c r="A305" s="6" t="s">
        <v>28</v>
      </c>
      <c r="B305" s="27" t="s">
        <v>15</v>
      </c>
      <c r="C305" s="28" t="s">
        <v>42</v>
      </c>
      <c r="E305" s="63">
        <v>202.23000000000002</v>
      </c>
      <c r="F305" s="63">
        <v>513.92880000000014</v>
      </c>
      <c r="G305" s="63">
        <v>708.75000000000011</v>
      </c>
      <c r="H305" s="63">
        <v>1015.5348000000001</v>
      </c>
      <c r="I305" s="63">
        <v>1451.1420000000001</v>
      </c>
      <c r="J305" s="63">
        <v>1594.9332000000004</v>
      </c>
      <c r="K305" s="63">
        <v>1733.5836000000002</v>
      </c>
      <c r="L305" s="63">
        <v>1316.4228000000003</v>
      </c>
      <c r="M305" s="63">
        <v>608.27760000000012</v>
      </c>
      <c r="N305" s="63">
        <v>310.26240000000007</v>
      </c>
      <c r="O305" s="63">
        <v>310.26240000000007</v>
      </c>
      <c r="P305" s="63">
        <v>248.20992000000007</v>
      </c>
      <c r="Q305" s="63">
        <v>303.34500000000003</v>
      </c>
      <c r="R305" s="63">
        <v>770.89320000000009</v>
      </c>
      <c r="S305" s="63">
        <v>1063.125</v>
      </c>
      <c r="T305" s="63">
        <v>1523.3022000000005</v>
      </c>
      <c r="U305" s="63">
        <v>2176.7130000000006</v>
      </c>
      <c r="V305" s="63">
        <v>2392.3998000000006</v>
      </c>
    </row>
    <row r="306" spans="1:22" x14ac:dyDescent="0.2">
      <c r="A306" s="6" t="s">
        <v>28</v>
      </c>
      <c r="B306" s="6" t="s">
        <v>12</v>
      </c>
      <c r="C306" s="18" t="s">
        <v>43</v>
      </c>
      <c r="E306" s="63">
        <v>29.767500000000002</v>
      </c>
      <c r="F306" s="63">
        <v>72.972900000000024</v>
      </c>
      <c r="G306" s="63">
        <v>162.95580000000004</v>
      </c>
      <c r="H306" s="63">
        <v>161.68005000000002</v>
      </c>
      <c r="I306" s="63">
        <v>201.48345000000003</v>
      </c>
      <c r="J306" s="63">
        <v>241.542</v>
      </c>
      <c r="K306" s="63">
        <v>285.00255000000004</v>
      </c>
      <c r="L306" s="63">
        <v>371.58345000000008</v>
      </c>
      <c r="M306" s="63">
        <v>160.14915000000005</v>
      </c>
      <c r="N306" s="63">
        <v>107.24805000000002</v>
      </c>
      <c r="O306" s="63">
        <v>107.24805000000002</v>
      </c>
      <c r="P306" s="63">
        <v>85.798440000000014</v>
      </c>
      <c r="Q306" s="63">
        <v>44.651250000000005</v>
      </c>
      <c r="R306" s="63">
        <v>109.45935000000001</v>
      </c>
      <c r="S306" s="63">
        <v>244.43370000000004</v>
      </c>
      <c r="T306" s="63">
        <v>242.52007500000005</v>
      </c>
      <c r="U306" s="63">
        <v>302.22517500000009</v>
      </c>
      <c r="V306" s="63">
        <v>362.31300000000005</v>
      </c>
    </row>
    <row r="307" spans="1:22" x14ac:dyDescent="0.2">
      <c r="A307" s="6" t="s">
        <v>28</v>
      </c>
      <c r="B307" s="6" t="s">
        <v>19</v>
      </c>
      <c r="C307" s="18" t="s">
        <v>44</v>
      </c>
      <c r="E307" s="63">
        <v>27.310499999999998</v>
      </c>
      <c r="F307" s="63">
        <v>30.459239999999998</v>
      </c>
      <c r="G307" s="63">
        <v>24.001109999999997</v>
      </c>
      <c r="H307" s="63">
        <v>30.989384999999995</v>
      </c>
      <c r="I307" s="63">
        <v>44.002034999999999</v>
      </c>
      <c r="J307" s="63">
        <v>53.110889999999998</v>
      </c>
      <c r="K307" s="63">
        <v>45.97802999999999</v>
      </c>
      <c r="L307" s="63">
        <v>82.027889999999999</v>
      </c>
      <c r="M307" s="63">
        <v>77.111999999999995</v>
      </c>
      <c r="N307" s="63">
        <v>52.580744999999993</v>
      </c>
      <c r="O307" s="63">
        <v>52.580744999999993</v>
      </c>
      <c r="P307" s="63">
        <v>42.064595999999995</v>
      </c>
      <c r="Q307" s="63">
        <v>40.96575</v>
      </c>
      <c r="R307" s="63">
        <v>45.688860000000005</v>
      </c>
      <c r="S307" s="63">
        <v>36.001665000000003</v>
      </c>
      <c r="T307" s="63">
        <v>46.484077499999998</v>
      </c>
      <c r="U307" s="63">
        <v>66.003052499999995</v>
      </c>
      <c r="V307" s="63">
        <v>79.666335000000004</v>
      </c>
    </row>
    <row r="308" spans="1:22" x14ac:dyDescent="0.2">
      <c r="A308" s="6" t="s">
        <v>28</v>
      </c>
      <c r="B308" s="27" t="s">
        <v>16</v>
      </c>
      <c r="C308" s="28" t="s">
        <v>45</v>
      </c>
      <c r="E308" s="63">
        <v>66.528000000000006</v>
      </c>
      <c r="F308" s="63">
        <v>436.13640000000009</v>
      </c>
      <c r="G308" s="63">
        <v>832.74156000000005</v>
      </c>
      <c r="H308" s="63">
        <v>1274.6613600000001</v>
      </c>
      <c r="I308" s="63">
        <v>1501.5067200000001</v>
      </c>
      <c r="J308" s="63">
        <v>1242.81864</v>
      </c>
      <c r="K308" s="63">
        <v>1176.2074800000003</v>
      </c>
      <c r="L308" s="63">
        <v>985.35527999999999</v>
      </c>
      <c r="M308" s="63">
        <v>449.47223999999994</v>
      </c>
      <c r="N308" s="63">
        <v>258.82416000000006</v>
      </c>
      <c r="O308" s="63">
        <v>258.82416000000006</v>
      </c>
      <c r="P308" s="63">
        <v>207.05932800000005</v>
      </c>
      <c r="Q308" s="63">
        <v>99.792000000000002</v>
      </c>
      <c r="R308" s="63">
        <v>654.20460000000003</v>
      </c>
      <c r="S308" s="63">
        <v>1249.1123400000001</v>
      </c>
      <c r="T308" s="63">
        <v>1911.9920400000003</v>
      </c>
      <c r="U308" s="63">
        <v>2252.2600800000005</v>
      </c>
      <c r="V308" s="63">
        <v>1864.2279600000002</v>
      </c>
    </row>
    <row r="309" spans="1:22" x14ac:dyDescent="0.2">
      <c r="A309" s="6" t="s">
        <v>28</v>
      </c>
      <c r="B309" s="27" t="s">
        <v>17</v>
      </c>
      <c r="C309" s="28" t="s">
        <v>46</v>
      </c>
      <c r="E309" s="63">
        <v>70.685999999999993</v>
      </c>
      <c r="F309" s="63">
        <v>230.36406749999998</v>
      </c>
      <c r="G309" s="63">
        <v>353.22115500000001</v>
      </c>
      <c r="H309" s="63">
        <v>446.1652125</v>
      </c>
      <c r="I309" s="63">
        <v>860.67434249999997</v>
      </c>
      <c r="J309" s="63">
        <v>957.16073249999999</v>
      </c>
      <c r="K309" s="63">
        <v>1139.7876524999999</v>
      </c>
      <c r="L309" s="63">
        <v>686.70645750000006</v>
      </c>
      <c r="M309" s="63">
        <v>341.18847000000005</v>
      </c>
      <c r="N309" s="63">
        <v>237.16759500000003</v>
      </c>
      <c r="O309" s="63">
        <v>237.16759500000003</v>
      </c>
      <c r="P309" s="63">
        <v>189.73407600000004</v>
      </c>
      <c r="Q309" s="63">
        <v>106.029</v>
      </c>
      <c r="R309" s="63">
        <v>345.54610125000005</v>
      </c>
      <c r="S309" s="63">
        <v>529.83173250000004</v>
      </c>
      <c r="T309" s="63">
        <v>669.24781875000008</v>
      </c>
      <c r="U309" s="63">
        <v>1291.0115137499999</v>
      </c>
      <c r="V309" s="63">
        <v>1435.7410987500002</v>
      </c>
    </row>
    <row r="310" spans="1:22" x14ac:dyDescent="0.2">
      <c r="A310" s="6" t="s">
        <v>28</v>
      </c>
      <c r="B310" s="27" t="s">
        <v>18</v>
      </c>
      <c r="C310" s="28" t="s">
        <v>47</v>
      </c>
      <c r="E310" s="63">
        <v>112.455</v>
      </c>
      <c r="F310" s="63">
        <v>275.05169999999998</v>
      </c>
      <c r="G310" s="63">
        <v>482.41210499999994</v>
      </c>
      <c r="H310" s="63">
        <v>875.64078000000006</v>
      </c>
      <c r="I310" s="63">
        <v>1017.92943</v>
      </c>
      <c r="J310" s="63">
        <v>856.41097499999978</v>
      </c>
      <c r="K310" s="63">
        <v>776.99128499999983</v>
      </c>
      <c r="L310" s="63">
        <v>729.12514499999997</v>
      </c>
      <c r="M310" s="63">
        <v>361.73466000000002</v>
      </c>
      <c r="N310" s="63">
        <v>595.64767499999994</v>
      </c>
      <c r="O310" s="63">
        <v>330.75</v>
      </c>
      <c r="P310" s="63">
        <v>264.60000000000002</v>
      </c>
      <c r="Q310" s="63">
        <v>168.6825</v>
      </c>
      <c r="R310" s="63">
        <v>412.57755000000003</v>
      </c>
      <c r="S310" s="63">
        <v>723.61815749999994</v>
      </c>
      <c r="T310" s="63">
        <v>1313.46117</v>
      </c>
      <c r="U310" s="63">
        <v>1526.894145</v>
      </c>
      <c r="V310" s="63">
        <v>1284.6164624999999</v>
      </c>
    </row>
    <row r="311" spans="1:22" x14ac:dyDescent="0.2">
      <c r="A311" s="6" t="s">
        <v>28</v>
      </c>
      <c r="B311" s="6" t="s">
        <v>22</v>
      </c>
      <c r="C311" s="6" t="s">
        <v>48</v>
      </c>
      <c r="E311" s="63">
        <v>33.075000000000003</v>
      </c>
      <c r="F311" s="63">
        <v>76.859684999999999</v>
      </c>
      <c r="G311" s="63">
        <v>122.40395999999998</v>
      </c>
      <c r="H311" s="63">
        <v>243.85535999999996</v>
      </c>
      <c r="I311" s="63">
        <v>209.56319999999999</v>
      </c>
      <c r="J311" s="63">
        <v>217.60042499999997</v>
      </c>
      <c r="K311" s="63">
        <v>246.77257499999999</v>
      </c>
      <c r="L311" s="63">
        <v>149.31378000000001</v>
      </c>
      <c r="M311" s="63">
        <v>80.908064999999993</v>
      </c>
      <c r="N311" s="63">
        <v>63.583379999999984</v>
      </c>
      <c r="O311" s="63">
        <v>63.583379999999984</v>
      </c>
      <c r="P311" s="63">
        <v>50.866703999999999</v>
      </c>
      <c r="Q311" s="63">
        <v>49.612499999999997</v>
      </c>
      <c r="R311" s="63">
        <v>115.28952749999999</v>
      </c>
      <c r="S311" s="63">
        <v>183.60594</v>
      </c>
      <c r="T311" s="63">
        <v>365.78304000000003</v>
      </c>
      <c r="U311" s="63">
        <v>314.34480000000002</v>
      </c>
      <c r="V311" s="63">
        <v>326.40063749999996</v>
      </c>
    </row>
    <row r="312" spans="1:22" x14ac:dyDescent="0.2">
      <c r="A312" s="6" t="s">
        <v>28</v>
      </c>
      <c r="B312" s="6" t="s">
        <v>13</v>
      </c>
      <c r="C312" s="18" t="s">
        <v>49</v>
      </c>
      <c r="E312" s="63">
        <v>32.129999999999995</v>
      </c>
      <c r="F312" s="63">
        <v>295.53174000000001</v>
      </c>
      <c r="G312" s="63">
        <v>435.55428000000001</v>
      </c>
      <c r="H312" s="63">
        <v>550.38690000000008</v>
      </c>
      <c r="I312" s="63">
        <v>876.57065999999998</v>
      </c>
      <c r="J312" s="63">
        <v>1023.8545800000001</v>
      </c>
      <c r="K312" s="63">
        <v>1151.5392000000002</v>
      </c>
      <c r="L312" s="63">
        <v>852.79445999999996</v>
      </c>
      <c r="M312" s="63">
        <v>361.65528</v>
      </c>
      <c r="N312" s="63">
        <v>230.56487999999999</v>
      </c>
      <c r="O312" s="63">
        <v>230.56487999999999</v>
      </c>
      <c r="P312" s="63">
        <v>184.45190400000001</v>
      </c>
      <c r="Q312" s="63">
        <v>48.195</v>
      </c>
      <c r="R312" s="63">
        <v>443.29760999999996</v>
      </c>
      <c r="S312" s="63">
        <v>653.33141999999998</v>
      </c>
      <c r="T312" s="63">
        <v>825.58035000000007</v>
      </c>
      <c r="U312" s="63">
        <v>1314.85599</v>
      </c>
      <c r="V312" s="63">
        <v>1535.7818699999998</v>
      </c>
    </row>
    <row r="313" spans="1:22" x14ac:dyDescent="0.2">
      <c r="A313" s="6" t="s">
        <v>28</v>
      </c>
      <c r="B313" s="27" t="s">
        <v>20</v>
      </c>
      <c r="C313" s="28" t="s">
        <v>50</v>
      </c>
      <c r="E313" s="63">
        <v>43.470000000000006</v>
      </c>
      <c r="F313" s="63">
        <v>85.957200000000014</v>
      </c>
      <c r="G313" s="63">
        <v>100.4157</v>
      </c>
      <c r="H313" s="63">
        <v>159.5538</v>
      </c>
      <c r="I313" s="63">
        <v>255.49020000000004</v>
      </c>
      <c r="J313" s="63">
        <v>308.84490000000005</v>
      </c>
      <c r="K313" s="63">
        <v>326.76209999999998</v>
      </c>
      <c r="L313" s="63">
        <v>241.48530000000002</v>
      </c>
      <c r="M313" s="63">
        <v>151.3323</v>
      </c>
      <c r="N313" s="63">
        <v>99.621900000000011</v>
      </c>
      <c r="O313" s="63">
        <v>99.621900000000011</v>
      </c>
      <c r="P313" s="63">
        <v>79.697520000000026</v>
      </c>
      <c r="Q313" s="63">
        <v>65.205000000000013</v>
      </c>
      <c r="R313" s="63">
        <v>128.93580000000003</v>
      </c>
      <c r="S313" s="63">
        <v>150.62354999999999</v>
      </c>
      <c r="T313" s="63">
        <v>239.33070000000004</v>
      </c>
      <c r="U313" s="63">
        <v>383.2353</v>
      </c>
      <c r="V313" s="63">
        <v>463.26734999999991</v>
      </c>
    </row>
    <row r="315" spans="1:22" x14ac:dyDescent="0.2">
      <c r="A315" s="37" t="s">
        <v>58</v>
      </c>
    </row>
    <row r="316" spans="1:22" x14ac:dyDescent="0.2">
      <c r="A316" s="15" t="s">
        <v>24</v>
      </c>
      <c r="B316" s="15" t="s">
        <v>52</v>
      </c>
      <c r="C316" s="15" t="s">
        <v>53</v>
      </c>
      <c r="E316" s="68" t="s">
        <v>83</v>
      </c>
      <c r="F316" s="68" t="s">
        <v>84</v>
      </c>
      <c r="G316" s="68" t="s">
        <v>85</v>
      </c>
      <c r="H316" s="68" t="s">
        <v>86</v>
      </c>
      <c r="I316" s="68" t="s">
        <v>87</v>
      </c>
      <c r="J316" s="68" t="s">
        <v>88</v>
      </c>
      <c r="K316" s="68" t="s">
        <v>89</v>
      </c>
      <c r="L316" s="68" t="s">
        <v>90</v>
      </c>
      <c r="M316" s="68" t="s">
        <v>91</v>
      </c>
      <c r="N316" s="68" t="s">
        <v>92</v>
      </c>
      <c r="O316" s="68" t="s">
        <v>94</v>
      </c>
      <c r="P316" s="68" t="s">
        <v>95</v>
      </c>
      <c r="Q316" s="68" t="s">
        <v>93</v>
      </c>
      <c r="R316" s="68" t="s">
        <v>96</v>
      </c>
      <c r="S316" s="68" t="s">
        <v>97</v>
      </c>
      <c r="T316" s="68" t="s">
        <v>98</v>
      </c>
      <c r="U316" s="68" t="s">
        <v>99</v>
      </c>
      <c r="V316" s="68" t="s">
        <v>100</v>
      </c>
    </row>
    <row r="317" spans="1:22" x14ac:dyDescent="0.2">
      <c r="A317" s="6" t="s">
        <v>27</v>
      </c>
      <c r="B317" s="6" t="s">
        <v>21</v>
      </c>
      <c r="C317" s="18" t="s">
        <v>37</v>
      </c>
      <c r="E317" s="41">
        <f t="shared" ref="E317:V317" si="49">SUM(E136:E137)</f>
        <v>46.777500000000003</v>
      </c>
      <c r="F317" s="41">
        <f t="shared" si="49"/>
        <v>69.241331000000002</v>
      </c>
      <c r="G317" s="41">
        <f t="shared" si="49"/>
        <v>100.65667999999999</v>
      </c>
      <c r="H317" s="41">
        <f t="shared" si="49"/>
        <v>161.76509999999999</v>
      </c>
      <c r="I317" s="41">
        <f t="shared" si="49"/>
        <v>140.97037</v>
      </c>
      <c r="J317" s="41">
        <f t="shared" si="49"/>
        <v>137.43017</v>
      </c>
      <c r="K317" s="41">
        <f t="shared" si="49"/>
        <v>212.85889</v>
      </c>
      <c r="L317" s="41">
        <f t="shared" si="49"/>
        <v>213.24161000000001</v>
      </c>
      <c r="M317" s="41">
        <f t="shared" si="49"/>
        <v>90.004163000000005</v>
      </c>
      <c r="N317" s="41">
        <f t="shared" si="49"/>
        <v>48.287137999999999</v>
      </c>
      <c r="O317" s="41">
        <f t="shared" si="49"/>
        <v>48.287137999999999</v>
      </c>
      <c r="P317" s="41">
        <f t="shared" si="49"/>
        <v>38.629710000000003</v>
      </c>
      <c r="Q317" s="41">
        <f t="shared" si="49"/>
        <v>70.166250000000005</v>
      </c>
      <c r="R317" s="41">
        <f t="shared" si="49"/>
        <v>103.86199999999999</v>
      </c>
      <c r="S317" s="41">
        <f t="shared" si="49"/>
        <v>150.98500999999999</v>
      </c>
      <c r="T317" s="41">
        <f t="shared" si="49"/>
        <v>242.64765</v>
      </c>
      <c r="U317" s="41">
        <f t="shared" si="49"/>
        <v>211.45555999999999</v>
      </c>
      <c r="V317" s="41">
        <f t="shared" si="49"/>
        <v>206.14525</v>
      </c>
    </row>
    <row r="318" spans="1:22" x14ac:dyDescent="0.2">
      <c r="A318" s="6" t="s">
        <v>27</v>
      </c>
      <c r="B318" s="6" t="s">
        <v>10</v>
      </c>
      <c r="C318" s="6" t="s">
        <v>38</v>
      </c>
      <c r="E318" s="41">
        <f t="shared" ref="E318:V318" si="50">SUM(E138:E138)</f>
        <v>3.78</v>
      </c>
      <c r="F318" s="41">
        <f t="shared" si="50"/>
        <v>3.78</v>
      </c>
      <c r="G318" s="41">
        <f t="shared" si="50"/>
        <v>5.67</v>
      </c>
      <c r="H318" s="41">
        <f t="shared" si="50"/>
        <v>2.835</v>
      </c>
      <c r="I318" s="41">
        <f t="shared" si="50"/>
        <v>4.7249999999999996</v>
      </c>
      <c r="J318" s="41">
        <f t="shared" si="50"/>
        <v>5.67</v>
      </c>
      <c r="K318" s="41">
        <f t="shared" si="50"/>
        <v>9.4499999999999993</v>
      </c>
      <c r="L318" s="41">
        <f t="shared" si="50"/>
        <v>14.175000000000001</v>
      </c>
      <c r="M318" s="41">
        <f t="shared" si="50"/>
        <v>14.175000000000001</v>
      </c>
      <c r="N318" s="41">
        <f t="shared" si="50"/>
        <v>11.34</v>
      </c>
      <c r="O318" s="41">
        <f t="shared" si="50"/>
        <v>7.56</v>
      </c>
      <c r="P318" s="41">
        <f t="shared" si="50"/>
        <v>7.56</v>
      </c>
      <c r="Q318" s="41">
        <f t="shared" si="50"/>
        <v>6.6150000000000002</v>
      </c>
      <c r="R318" s="41">
        <f t="shared" si="50"/>
        <v>5.67</v>
      </c>
      <c r="S318" s="41">
        <f t="shared" si="50"/>
        <v>3.78</v>
      </c>
      <c r="T318" s="41">
        <f t="shared" si="50"/>
        <v>2.835</v>
      </c>
      <c r="U318" s="41">
        <f t="shared" si="50"/>
        <v>1.89</v>
      </c>
      <c r="V318" s="41">
        <f t="shared" si="50"/>
        <v>1.89</v>
      </c>
    </row>
    <row r="319" spans="1:22" x14ac:dyDescent="0.2">
      <c r="A319" s="6" t="s">
        <v>27</v>
      </c>
      <c r="B319" s="6" t="s">
        <v>23</v>
      </c>
      <c r="C319" s="18" t="s">
        <v>39</v>
      </c>
      <c r="E319" s="41">
        <f t="shared" ref="E319:V319" si="51">SUM(E139:E139)</f>
        <v>0</v>
      </c>
      <c r="F319" s="41">
        <f t="shared" si="51"/>
        <v>0</v>
      </c>
      <c r="G319" s="41">
        <f t="shared" si="51"/>
        <v>0</v>
      </c>
      <c r="H319" s="41">
        <f t="shared" si="51"/>
        <v>0</v>
      </c>
      <c r="I319" s="41">
        <f t="shared" si="51"/>
        <v>0</v>
      </c>
      <c r="J319" s="41">
        <f t="shared" si="51"/>
        <v>0</v>
      </c>
      <c r="K319" s="41">
        <f t="shared" si="51"/>
        <v>0</v>
      </c>
      <c r="L319" s="41">
        <f t="shared" si="51"/>
        <v>0</v>
      </c>
      <c r="M319" s="41">
        <f t="shared" si="51"/>
        <v>0</v>
      </c>
      <c r="N319" s="41">
        <f t="shared" si="51"/>
        <v>0</v>
      </c>
      <c r="O319" s="41">
        <f t="shared" si="51"/>
        <v>0</v>
      </c>
      <c r="P319" s="41">
        <f t="shared" si="51"/>
        <v>0</v>
      </c>
      <c r="Q319" s="41">
        <f t="shared" si="51"/>
        <v>0</v>
      </c>
      <c r="R319" s="41">
        <f t="shared" si="51"/>
        <v>0</v>
      </c>
      <c r="S319" s="41">
        <f t="shared" si="51"/>
        <v>0</v>
      </c>
      <c r="T319" s="41">
        <f t="shared" si="51"/>
        <v>0</v>
      </c>
      <c r="U319" s="41">
        <f t="shared" si="51"/>
        <v>0</v>
      </c>
      <c r="V319" s="41">
        <f t="shared" si="51"/>
        <v>0</v>
      </c>
    </row>
    <row r="320" spans="1:22" x14ac:dyDescent="0.2">
      <c r="A320" s="6" t="s">
        <v>27</v>
      </c>
      <c r="B320" s="6" t="s">
        <v>14</v>
      </c>
      <c r="C320" s="18" t="s">
        <v>40</v>
      </c>
      <c r="E320" s="41">
        <f t="shared" ref="E320:V320" si="52">SUM(E140:E140)</f>
        <v>0</v>
      </c>
      <c r="F320" s="41">
        <f t="shared" si="52"/>
        <v>0</v>
      </c>
      <c r="G320" s="41">
        <f t="shared" si="52"/>
        <v>0</v>
      </c>
      <c r="H320" s="41">
        <f t="shared" si="52"/>
        <v>0</v>
      </c>
      <c r="I320" s="41">
        <f t="shared" si="52"/>
        <v>0</v>
      </c>
      <c r="J320" s="41">
        <f t="shared" si="52"/>
        <v>0</v>
      </c>
      <c r="K320" s="41">
        <f t="shared" si="52"/>
        <v>0</v>
      </c>
      <c r="L320" s="41">
        <f t="shared" si="52"/>
        <v>0</v>
      </c>
      <c r="M320" s="41">
        <f t="shared" si="52"/>
        <v>0</v>
      </c>
      <c r="N320" s="41">
        <f t="shared" si="52"/>
        <v>0</v>
      </c>
      <c r="O320" s="41">
        <f t="shared" si="52"/>
        <v>0</v>
      </c>
      <c r="P320" s="41">
        <f t="shared" si="52"/>
        <v>0</v>
      </c>
      <c r="Q320" s="41">
        <f t="shared" si="52"/>
        <v>0</v>
      </c>
      <c r="R320" s="41">
        <f t="shared" si="52"/>
        <v>0</v>
      </c>
      <c r="S320" s="41">
        <f t="shared" si="52"/>
        <v>0</v>
      </c>
      <c r="T320" s="41">
        <f t="shared" si="52"/>
        <v>0</v>
      </c>
      <c r="U320" s="41">
        <f t="shared" si="52"/>
        <v>0</v>
      </c>
      <c r="V320" s="41">
        <f t="shared" si="52"/>
        <v>0</v>
      </c>
    </row>
    <row r="321" spans="1:22" x14ac:dyDescent="0.2">
      <c r="A321" s="6" t="s">
        <v>27</v>
      </c>
      <c r="B321" s="6" t="s">
        <v>11</v>
      </c>
      <c r="C321" s="18" t="s">
        <v>41</v>
      </c>
      <c r="E321" s="41">
        <f t="shared" ref="E321:V321" si="53">SUM(E141:E142)</f>
        <v>45.36</v>
      </c>
      <c r="F321" s="41">
        <f t="shared" si="53"/>
        <v>77.422077999999999</v>
      </c>
      <c r="G321" s="41">
        <f t="shared" si="53"/>
        <v>95.378259</v>
      </c>
      <c r="H321" s="41">
        <f t="shared" si="53"/>
        <v>147.85942</v>
      </c>
      <c r="I321" s="41">
        <f t="shared" si="53"/>
        <v>185.82893000000001</v>
      </c>
      <c r="J321" s="41">
        <f t="shared" si="53"/>
        <v>186.69006999999999</v>
      </c>
      <c r="K321" s="41">
        <f t="shared" si="53"/>
        <v>152.65942999999999</v>
      </c>
      <c r="L321" s="41">
        <f t="shared" si="53"/>
        <v>148.73650000000001</v>
      </c>
      <c r="M321" s="41">
        <f t="shared" si="53"/>
        <v>90.323099999999997</v>
      </c>
      <c r="N321" s="41">
        <f t="shared" si="53"/>
        <v>50.982159000000003</v>
      </c>
      <c r="O321" s="41">
        <f t="shared" si="53"/>
        <v>50.982159000000003</v>
      </c>
      <c r="P321" s="41">
        <f t="shared" si="53"/>
        <v>40.785727999999999</v>
      </c>
      <c r="Q321" s="41">
        <f t="shared" si="53"/>
        <v>68.040000000000006</v>
      </c>
      <c r="R321" s="41">
        <f t="shared" si="53"/>
        <v>116.13312000000001</v>
      </c>
      <c r="S321" s="41">
        <f t="shared" si="53"/>
        <v>143.06738999999999</v>
      </c>
      <c r="T321" s="41">
        <f t="shared" si="53"/>
        <v>221.78914</v>
      </c>
      <c r="U321" s="41">
        <f t="shared" si="53"/>
        <v>278.74340000000001</v>
      </c>
      <c r="V321" s="41">
        <f t="shared" si="53"/>
        <v>280.0351</v>
      </c>
    </row>
    <row r="322" spans="1:22" x14ac:dyDescent="0.2">
      <c r="A322" s="6" t="s">
        <v>27</v>
      </c>
      <c r="B322" s="27" t="s">
        <v>15</v>
      </c>
      <c r="C322" s="28" t="s">
        <v>42</v>
      </c>
      <c r="E322" s="41">
        <f t="shared" ref="E322:V322" si="54">SUM(E143:E146)</f>
        <v>50.557499999999997</v>
      </c>
      <c r="F322" s="41">
        <f t="shared" si="54"/>
        <v>128.48220000000001</v>
      </c>
      <c r="G322" s="41">
        <f t="shared" si="54"/>
        <v>177.1875</v>
      </c>
      <c r="H322" s="41">
        <f t="shared" si="54"/>
        <v>253.8837</v>
      </c>
      <c r="I322" s="41">
        <f t="shared" si="54"/>
        <v>362.78550000000001</v>
      </c>
      <c r="J322" s="41">
        <f t="shared" si="54"/>
        <v>398.73329999999999</v>
      </c>
      <c r="K322" s="41">
        <f t="shared" si="54"/>
        <v>433.39589999999998</v>
      </c>
      <c r="L322" s="41">
        <f t="shared" si="54"/>
        <v>329.10570000000001</v>
      </c>
      <c r="M322" s="41">
        <f t="shared" si="54"/>
        <v>152.0694</v>
      </c>
      <c r="N322" s="41">
        <f t="shared" si="54"/>
        <v>77.565600000000003</v>
      </c>
      <c r="O322" s="41">
        <f t="shared" si="54"/>
        <v>77.565600000000003</v>
      </c>
      <c r="P322" s="41">
        <f t="shared" si="54"/>
        <v>62.052480000000003</v>
      </c>
      <c r="Q322" s="41">
        <f t="shared" si="54"/>
        <v>75.836250000000007</v>
      </c>
      <c r="R322" s="41">
        <f t="shared" si="54"/>
        <v>192.72329999999999</v>
      </c>
      <c r="S322" s="41">
        <f t="shared" si="54"/>
        <v>265.78125</v>
      </c>
      <c r="T322" s="41">
        <f t="shared" si="54"/>
        <v>380.82555000000002</v>
      </c>
      <c r="U322" s="41">
        <f t="shared" si="54"/>
        <v>544.17825000000005</v>
      </c>
      <c r="V322" s="41">
        <f t="shared" si="54"/>
        <v>598.09995000000004</v>
      </c>
    </row>
    <row r="323" spans="1:22" x14ac:dyDescent="0.2">
      <c r="A323" s="6" t="s">
        <v>27</v>
      </c>
      <c r="B323" s="6" t="s">
        <v>12</v>
      </c>
      <c r="C323" s="18" t="s">
        <v>43</v>
      </c>
      <c r="E323" s="41">
        <f t="shared" ref="E323:V323" si="55">SUM(E147:E147)</f>
        <v>3.3075000000000001</v>
      </c>
      <c r="F323" s="41">
        <f t="shared" si="55"/>
        <v>8.1081000000000003</v>
      </c>
      <c r="G323" s="41">
        <f t="shared" si="55"/>
        <v>18.106200000000001</v>
      </c>
      <c r="H323" s="41">
        <f t="shared" si="55"/>
        <v>17.964449999999999</v>
      </c>
      <c r="I323" s="41">
        <f t="shared" si="55"/>
        <v>22.387049999999999</v>
      </c>
      <c r="J323" s="41">
        <f t="shared" si="55"/>
        <v>26.838000000000001</v>
      </c>
      <c r="K323" s="41">
        <f t="shared" si="55"/>
        <v>31.66695</v>
      </c>
      <c r="L323" s="41">
        <f t="shared" si="55"/>
        <v>41.287050000000001</v>
      </c>
      <c r="M323" s="41">
        <f t="shared" si="55"/>
        <v>17.794350000000001</v>
      </c>
      <c r="N323" s="41">
        <f t="shared" si="55"/>
        <v>11.916449999999999</v>
      </c>
      <c r="O323" s="41">
        <f t="shared" si="55"/>
        <v>11.916449999999999</v>
      </c>
      <c r="P323" s="41">
        <f t="shared" si="55"/>
        <v>9.5331600000000005</v>
      </c>
      <c r="Q323" s="41">
        <f t="shared" si="55"/>
        <v>4.9612499999999997</v>
      </c>
      <c r="R323" s="41">
        <f t="shared" si="55"/>
        <v>12.16215</v>
      </c>
      <c r="S323" s="41">
        <f t="shared" si="55"/>
        <v>27.159300000000002</v>
      </c>
      <c r="T323" s="41">
        <f t="shared" si="55"/>
        <v>26.946674999999999</v>
      </c>
      <c r="U323" s="41">
        <f t="shared" si="55"/>
        <v>33.580575000000003</v>
      </c>
      <c r="V323" s="41">
        <f t="shared" si="55"/>
        <v>40.256999999999998</v>
      </c>
    </row>
    <row r="324" spans="1:22" x14ac:dyDescent="0.2">
      <c r="A324" s="6" t="s">
        <v>27</v>
      </c>
      <c r="B324" s="6" t="s">
        <v>19</v>
      </c>
      <c r="C324" s="18" t="s">
        <v>44</v>
      </c>
      <c r="E324" s="41">
        <f t="shared" ref="E324:V324" si="56">SUM(E148:E148)</f>
        <v>4.8194999999999997</v>
      </c>
      <c r="F324" s="41">
        <f t="shared" si="56"/>
        <v>5.3751600000000002</v>
      </c>
      <c r="G324" s="41">
        <f t="shared" si="56"/>
        <v>4.2354900000000004</v>
      </c>
      <c r="H324" s="41">
        <f t="shared" si="56"/>
        <v>5.4687150000000004</v>
      </c>
      <c r="I324" s="41">
        <f t="shared" si="56"/>
        <v>7.7650649999999999</v>
      </c>
      <c r="J324" s="41">
        <f t="shared" si="56"/>
        <v>9.3725100000000001</v>
      </c>
      <c r="K324" s="41">
        <f t="shared" si="56"/>
        <v>8.1137700000000006</v>
      </c>
      <c r="L324" s="41">
        <f t="shared" si="56"/>
        <v>14.47551</v>
      </c>
      <c r="M324" s="41">
        <f t="shared" si="56"/>
        <v>13.608000000000001</v>
      </c>
      <c r="N324" s="41">
        <f t="shared" si="56"/>
        <v>9.2789549999999998</v>
      </c>
      <c r="O324" s="41">
        <f t="shared" si="56"/>
        <v>9.2789549999999998</v>
      </c>
      <c r="P324" s="41">
        <f t="shared" si="56"/>
        <v>7.4231639999999999</v>
      </c>
      <c r="Q324" s="41">
        <f t="shared" si="56"/>
        <v>7.2292500000000004</v>
      </c>
      <c r="R324" s="41">
        <f t="shared" si="56"/>
        <v>8.0627399999999998</v>
      </c>
      <c r="S324" s="41">
        <f t="shared" si="56"/>
        <v>6.3532349999999997</v>
      </c>
      <c r="T324" s="41">
        <f t="shared" si="56"/>
        <v>8.2030724999999993</v>
      </c>
      <c r="U324" s="41">
        <f t="shared" si="56"/>
        <v>11.647596999999999</v>
      </c>
      <c r="V324" s="41">
        <f t="shared" si="56"/>
        <v>14.058764999999999</v>
      </c>
    </row>
    <row r="325" spans="1:22" x14ac:dyDescent="0.2">
      <c r="A325" s="6" t="s">
        <v>27</v>
      </c>
      <c r="B325" s="27" t="s">
        <v>16</v>
      </c>
      <c r="C325" s="28" t="s">
        <v>45</v>
      </c>
      <c r="E325" s="41">
        <f t="shared" ref="E325:V325" si="57">SUM(E149:E151)</f>
        <v>16.632000000000001</v>
      </c>
      <c r="F325" s="41">
        <f t="shared" si="57"/>
        <v>109.0341</v>
      </c>
      <c r="G325" s="41">
        <f t="shared" si="57"/>
        <v>208.18539000000001</v>
      </c>
      <c r="H325" s="41">
        <f t="shared" si="57"/>
        <v>318.66534000000001</v>
      </c>
      <c r="I325" s="41">
        <f t="shared" si="57"/>
        <v>375.37668000000002</v>
      </c>
      <c r="J325" s="41">
        <f t="shared" si="57"/>
        <v>310.70465999999999</v>
      </c>
      <c r="K325" s="41">
        <f t="shared" si="57"/>
        <v>294.05187000000001</v>
      </c>
      <c r="L325" s="41">
        <f t="shared" si="57"/>
        <v>246.33882</v>
      </c>
      <c r="M325" s="41">
        <f t="shared" si="57"/>
        <v>112.36806</v>
      </c>
      <c r="N325" s="41">
        <f t="shared" si="57"/>
        <v>64.706040000000002</v>
      </c>
      <c r="O325" s="41">
        <f t="shared" si="57"/>
        <v>64.706040000000002</v>
      </c>
      <c r="P325" s="41">
        <f t="shared" si="57"/>
        <v>51.764831999999998</v>
      </c>
      <c r="Q325" s="41">
        <f t="shared" si="57"/>
        <v>24.948</v>
      </c>
      <c r="R325" s="41">
        <f t="shared" si="57"/>
        <v>163.55115000000001</v>
      </c>
      <c r="S325" s="41">
        <f t="shared" si="57"/>
        <v>312.27807999999999</v>
      </c>
      <c r="T325" s="41">
        <f t="shared" si="57"/>
        <v>477.99801000000002</v>
      </c>
      <c r="U325" s="41">
        <f t="shared" si="57"/>
        <v>563.06502</v>
      </c>
      <c r="V325" s="41">
        <f t="shared" si="57"/>
        <v>466.05698999999998</v>
      </c>
    </row>
    <row r="326" spans="1:22" x14ac:dyDescent="0.2">
      <c r="A326" s="6" t="s">
        <v>27</v>
      </c>
      <c r="B326" s="27" t="s">
        <v>17</v>
      </c>
      <c r="C326" s="28" t="s">
        <v>46</v>
      </c>
      <c r="E326" s="41">
        <f t="shared" ref="E326:V326" si="58">SUM(E152:E154)</f>
        <v>12.474</v>
      </c>
      <c r="F326" s="41">
        <f t="shared" si="58"/>
        <v>40.652481999999999</v>
      </c>
      <c r="G326" s="41">
        <f t="shared" si="58"/>
        <v>62.333145000000002</v>
      </c>
      <c r="H326" s="41">
        <f t="shared" si="58"/>
        <v>78.735038000000003</v>
      </c>
      <c r="I326" s="41">
        <f t="shared" si="58"/>
        <v>151.88371000000001</v>
      </c>
      <c r="J326" s="41">
        <f t="shared" si="58"/>
        <v>168.91072</v>
      </c>
      <c r="K326" s="41">
        <f t="shared" si="58"/>
        <v>201.13900000000001</v>
      </c>
      <c r="L326" s="41">
        <f t="shared" si="58"/>
        <v>121.18349000000001</v>
      </c>
      <c r="M326" s="41">
        <f t="shared" si="58"/>
        <v>60.20973</v>
      </c>
      <c r="N326" s="41">
        <f t="shared" si="58"/>
        <v>41.853104999999999</v>
      </c>
      <c r="O326" s="41">
        <f t="shared" si="58"/>
        <v>41.853104999999999</v>
      </c>
      <c r="P326" s="41">
        <f t="shared" si="58"/>
        <v>33.482483999999999</v>
      </c>
      <c r="Q326" s="41">
        <f t="shared" si="58"/>
        <v>18.710999999999999</v>
      </c>
      <c r="R326" s="41">
        <f t="shared" si="58"/>
        <v>60.978724</v>
      </c>
      <c r="S326" s="41">
        <f t="shared" si="58"/>
        <v>93.499718000000001</v>
      </c>
      <c r="T326" s="41">
        <f t="shared" si="58"/>
        <v>118.10256</v>
      </c>
      <c r="U326" s="41">
        <f t="shared" si="58"/>
        <v>227.82556</v>
      </c>
      <c r="V326" s="41">
        <f t="shared" si="58"/>
        <v>253.36608000000001</v>
      </c>
    </row>
    <row r="327" spans="1:22" x14ac:dyDescent="0.2">
      <c r="A327" s="6" t="s">
        <v>27</v>
      </c>
      <c r="B327" s="27" t="s">
        <v>18</v>
      </c>
      <c r="C327" s="28" t="s">
        <v>47</v>
      </c>
      <c r="E327" s="41">
        <f t="shared" ref="E327:V327" si="59">SUM(E155:E157)</f>
        <v>48.195</v>
      </c>
      <c r="F327" s="41">
        <f t="shared" si="59"/>
        <v>117.8793</v>
      </c>
      <c r="G327" s="41">
        <f t="shared" si="59"/>
        <v>206.74804</v>
      </c>
      <c r="H327" s="41">
        <f t="shared" si="59"/>
        <v>375.27462000000003</v>
      </c>
      <c r="I327" s="41">
        <f t="shared" si="59"/>
        <v>436.25547</v>
      </c>
      <c r="J327" s="41">
        <f t="shared" si="59"/>
        <v>367.03327999999999</v>
      </c>
      <c r="K327" s="41">
        <f t="shared" si="59"/>
        <v>332.99626000000001</v>
      </c>
      <c r="L327" s="41">
        <f t="shared" si="59"/>
        <v>312.48221000000001</v>
      </c>
      <c r="M327" s="41">
        <f t="shared" si="59"/>
        <v>155.02914000000001</v>
      </c>
      <c r="N327" s="41">
        <f t="shared" si="59"/>
        <v>255.27758</v>
      </c>
      <c r="O327" s="41">
        <f t="shared" si="59"/>
        <v>141.75</v>
      </c>
      <c r="P327" s="41">
        <f t="shared" si="59"/>
        <v>113.4</v>
      </c>
      <c r="Q327" s="41">
        <f t="shared" si="59"/>
        <v>72.292500000000004</v>
      </c>
      <c r="R327" s="41">
        <f t="shared" si="59"/>
        <v>176.81895</v>
      </c>
      <c r="S327" s="41">
        <f t="shared" si="59"/>
        <v>310.12207000000001</v>
      </c>
      <c r="T327" s="41">
        <f t="shared" si="59"/>
        <v>562.91192999999998</v>
      </c>
      <c r="U327" s="41">
        <f t="shared" si="59"/>
        <v>654.38319999999999</v>
      </c>
      <c r="V327" s="41">
        <f t="shared" si="59"/>
        <v>550.54990999999995</v>
      </c>
    </row>
    <row r="328" spans="1:22" x14ac:dyDescent="0.2">
      <c r="A328" s="6" t="s">
        <v>27</v>
      </c>
      <c r="B328" s="6" t="s">
        <v>22</v>
      </c>
      <c r="C328" s="6" t="s">
        <v>48</v>
      </c>
      <c r="E328" s="41">
        <f t="shared" ref="E328:V328" si="60">SUM(E158:E158)</f>
        <v>14.175000000000001</v>
      </c>
      <c r="F328" s="41">
        <f t="shared" si="60"/>
        <v>32.939864999999998</v>
      </c>
      <c r="G328" s="41">
        <f t="shared" si="60"/>
        <v>0</v>
      </c>
      <c r="H328" s="41">
        <f t="shared" si="60"/>
        <v>104.50944</v>
      </c>
      <c r="I328" s="41">
        <f t="shared" si="60"/>
        <v>89.812799999999996</v>
      </c>
      <c r="J328" s="41">
        <f t="shared" si="60"/>
        <v>93.257324999999994</v>
      </c>
      <c r="K328" s="41">
        <f t="shared" si="60"/>
        <v>105.75968</v>
      </c>
      <c r="L328" s="41">
        <f t="shared" si="60"/>
        <v>63.991619999999998</v>
      </c>
      <c r="M328" s="41">
        <f t="shared" si="60"/>
        <v>34.674885000000003</v>
      </c>
      <c r="N328" s="41">
        <f t="shared" si="60"/>
        <v>27.250019999999999</v>
      </c>
      <c r="O328" s="41">
        <f t="shared" si="60"/>
        <v>27.250019999999999</v>
      </c>
      <c r="P328" s="41">
        <f t="shared" si="60"/>
        <v>21.800015999999999</v>
      </c>
      <c r="Q328" s="41">
        <f t="shared" si="60"/>
        <v>21.262499999999999</v>
      </c>
      <c r="R328" s="41">
        <f t="shared" si="60"/>
        <v>0</v>
      </c>
      <c r="S328" s="41">
        <f t="shared" si="60"/>
        <v>0</v>
      </c>
      <c r="T328" s="41">
        <f t="shared" si="60"/>
        <v>0</v>
      </c>
      <c r="U328" s="41">
        <f t="shared" si="60"/>
        <v>134.7192</v>
      </c>
      <c r="V328" s="41">
        <f t="shared" si="60"/>
        <v>139.88598999999999</v>
      </c>
    </row>
    <row r="329" spans="1:22" x14ac:dyDescent="0.2">
      <c r="A329" s="6" t="s">
        <v>27</v>
      </c>
      <c r="B329" s="6" t="s">
        <v>13</v>
      </c>
      <c r="C329" s="18" t="s">
        <v>49</v>
      </c>
      <c r="E329" s="41">
        <f t="shared" ref="E329:V329" si="61">SUM(E159:E161)</f>
        <v>5.67</v>
      </c>
      <c r="F329" s="41">
        <f t="shared" si="61"/>
        <v>52.152659999999997</v>
      </c>
      <c r="G329" s="41">
        <f t="shared" si="61"/>
        <v>76.862520000000004</v>
      </c>
      <c r="H329" s="41">
        <f t="shared" si="61"/>
        <v>97.127099999999999</v>
      </c>
      <c r="I329" s="41">
        <f t="shared" si="61"/>
        <v>154.68894</v>
      </c>
      <c r="J329" s="41">
        <f t="shared" si="61"/>
        <v>180.68021999999999</v>
      </c>
      <c r="K329" s="41">
        <f t="shared" si="61"/>
        <v>203.21279999999999</v>
      </c>
      <c r="L329" s="41">
        <f t="shared" si="61"/>
        <v>150.49314000000001</v>
      </c>
      <c r="M329" s="41">
        <f t="shared" si="61"/>
        <v>63.82152</v>
      </c>
      <c r="N329" s="41">
        <f t="shared" si="61"/>
        <v>40.687919999999998</v>
      </c>
      <c r="O329" s="41">
        <f t="shared" si="61"/>
        <v>40.687919999999998</v>
      </c>
      <c r="P329" s="41">
        <f t="shared" si="61"/>
        <v>32.550336000000001</v>
      </c>
      <c r="Q329" s="41">
        <f t="shared" si="61"/>
        <v>8.5050000000000008</v>
      </c>
      <c r="R329" s="41">
        <f t="shared" si="61"/>
        <v>78.228989999999996</v>
      </c>
      <c r="S329" s="41">
        <f t="shared" si="61"/>
        <v>115.29378</v>
      </c>
      <c r="T329" s="41">
        <f t="shared" si="61"/>
        <v>145.69065000000001</v>
      </c>
      <c r="U329" s="41">
        <f t="shared" si="61"/>
        <v>232.03341</v>
      </c>
      <c r="V329" s="41">
        <f t="shared" si="61"/>
        <v>271.02033</v>
      </c>
    </row>
    <row r="330" spans="1:22" x14ac:dyDescent="0.2">
      <c r="A330" s="6" t="s">
        <v>27</v>
      </c>
      <c r="B330" s="27" t="s">
        <v>20</v>
      </c>
      <c r="C330" s="28" t="s">
        <v>50</v>
      </c>
      <c r="E330" s="41">
        <f t="shared" ref="E330:V330" si="62">SUM(E162:E162)</f>
        <v>10.8675</v>
      </c>
      <c r="F330" s="41">
        <f t="shared" si="62"/>
        <v>21.4893</v>
      </c>
      <c r="G330" s="41">
        <f t="shared" si="62"/>
        <v>25.103925</v>
      </c>
      <c r="H330" s="41">
        <f t="shared" si="62"/>
        <v>39.888449999999999</v>
      </c>
      <c r="I330" s="41">
        <f t="shared" si="62"/>
        <v>63.872549999999997</v>
      </c>
      <c r="J330" s="41">
        <f t="shared" si="62"/>
        <v>77.211224999999999</v>
      </c>
      <c r="K330" s="41">
        <f t="shared" si="62"/>
        <v>81.690524999999994</v>
      </c>
      <c r="L330" s="41">
        <f t="shared" si="62"/>
        <v>60.371324999999999</v>
      </c>
      <c r="M330" s="41">
        <f t="shared" si="62"/>
        <v>37.833075000000001</v>
      </c>
      <c r="N330" s="41">
        <f t="shared" si="62"/>
        <v>24.905474999999999</v>
      </c>
      <c r="O330" s="41">
        <f t="shared" si="62"/>
        <v>24.905474999999999</v>
      </c>
      <c r="P330" s="41">
        <f t="shared" si="62"/>
        <v>19.924379999999999</v>
      </c>
      <c r="Q330" s="41">
        <f t="shared" si="62"/>
        <v>16.30125</v>
      </c>
      <c r="R330" s="41">
        <f t="shared" si="62"/>
        <v>32.23395</v>
      </c>
      <c r="S330" s="41">
        <f t="shared" si="62"/>
        <v>37.655887</v>
      </c>
      <c r="T330" s="41">
        <f t="shared" si="62"/>
        <v>59.832675000000002</v>
      </c>
      <c r="U330" s="41">
        <f t="shared" si="62"/>
        <v>95.808824999999999</v>
      </c>
      <c r="V330" s="41">
        <f t="shared" si="62"/>
        <v>115.81684</v>
      </c>
    </row>
    <row r="331" spans="1:22" x14ac:dyDescent="0.2">
      <c r="A331" s="6" t="s">
        <v>28</v>
      </c>
      <c r="B331" s="6" t="s">
        <v>21</v>
      </c>
      <c r="C331" s="18" t="s">
        <v>37</v>
      </c>
      <c r="E331" s="41">
        <f t="shared" ref="E331:V331" si="63">SUM(E163:E164)</f>
        <v>140.33250000000001</v>
      </c>
      <c r="F331" s="41">
        <f t="shared" si="63"/>
        <v>207.72398999999999</v>
      </c>
      <c r="G331" s="41">
        <f t="shared" si="63"/>
        <v>301.97003000000001</v>
      </c>
      <c r="H331" s="41">
        <f t="shared" si="63"/>
        <v>485.2953</v>
      </c>
      <c r="I331" s="41">
        <f t="shared" si="63"/>
        <v>422.91112599999997</v>
      </c>
      <c r="J331" s="41">
        <f t="shared" si="63"/>
        <v>412.29050999999998</v>
      </c>
      <c r="K331" s="41">
        <f t="shared" si="63"/>
        <v>638.57665999999995</v>
      </c>
      <c r="L331" s="41">
        <f t="shared" si="63"/>
        <v>639.72483999999997</v>
      </c>
      <c r="M331" s="41">
        <f t="shared" si="63"/>
        <v>270.01247999999998</v>
      </c>
      <c r="N331" s="41">
        <f t="shared" si="63"/>
        <v>144.86141000000001</v>
      </c>
      <c r="O331" s="41">
        <f t="shared" si="63"/>
        <v>144.86141000000001</v>
      </c>
      <c r="P331" s="41">
        <f t="shared" si="63"/>
        <v>115.88912999999999</v>
      </c>
      <c r="Q331" s="41">
        <f t="shared" si="63"/>
        <v>210.49875</v>
      </c>
      <c r="R331" s="41">
        <f t="shared" si="63"/>
        <v>311.58598999999998</v>
      </c>
      <c r="S331" s="41">
        <f t="shared" si="63"/>
        <v>452.95504</v>
      </c>
      <c r="T331" s="41">
        <f t="shared" si="63"/>
        <v>727.94295</v>
      </c>
      <c r="U331" s="41">
        <f t="shared" si="63"/>
        <v>634.36668999999995</v>
      </c>
      <c r="V331" s="41">
        <f t="shared" si="63"/>
        <v>618.43575999999996</v>
      </c>
    </row>
    <row r="332" spans="1:22" x14ac:dyDescent="0.2">
      <c r="A332" s="6" t="s">
        <v>28</v>
      </c>
      <c r="B332" s="6" t="s">
        <v>10</v>
      </c>
      <c r="C332" s="6" t="s">
        <v>38</v>
      </c>
      <c r="E332" s="41">
        <f t="shared" ref="E332:V332" si="64">SUM(E165:E165)</f>
        <v>34.020000000000003</v>
      </c>
      <c r="F332" s="41">
        <f t="shared" si="64"/>
        <v>0</v>
      </c>
      <c r="G332" s="41">
        <f t="shared" si="64"/>
        <v>0</v>
      </c>
      <c r="H332" s="41">
        <f t="shared" si="64"/>
        <v>25.515000000000001</v>
      </c>
      <c r="I332" s="41">
        <f t="shared" si="64"/>
        <v>42.524999999999999</v>
      </c>
      <c r="J332" s="41">
        <f t="shared" si="64"/>
        <v>51.03</v>
      </c>
      <c r="K332" s="41">
        <f t="shared" si="64"/>
        <v>85.05</v>
      </c>
      <c r="L332" s="41">
        <f t="shared" si="64"/>
        <v>127.575</v>
      </c>
      <c r="M332" s="41">
        <f t="shared" si="64"/>
        <v>127.575</v>
      </c>
      <c r="N332" s="41">
        <f t="shared" si="64"/>
        <v>102.06</v>
      </c>
      <c r="O332" s="41">
        <f t="shared" si="64"/>
        <v>68.040000000000006</v>
      </c>
      <c r="P332" s="41">
        <f t="shared" si="64"/>
        <v>68.040000000000006</v>
      </c>
      <c r="Q332" s="41">
        <f t="shared" si="64"/>
        <v>59.534999999999997</v>
      </c>
      <c r="R332" s="41">
        <f t="shared" si="64"/>
        <v>0</v>
      </c>
      <c r="S332" s="41">
        <f t="shared" si="64"/>
        <v>0</v>
      </c>
      <c r="T332" s="41">
        <f t="shared" si="64"/>
        <v>25.515000000000001</v>
      </c>
      <c r="U332" s="41">
        <f t="shared" si="64"/>
        <v>17.010000000000002</v>
      </c>
      <c r="V332" s="41">
        <f t="shared" si="64"/>
        <v>17.010000000000002</v>
      </c>
    </row>
    <row r="333" spans="1:22" x14ac:dyDescent="0.2">
      <c r="A333" s="6" t="s">
        <v>28</v>
      </c>
      <c r="B333" s="6" t="s">
        <v>23</v>
      </c>
      <c r="C333" s="18" t="s">
        <v>39</v>
      </c>
      <c r="E333" s="41">
        <f t="shared" ref="E333:V333" si="65">SUM(E166:E166)</f>
        <v>69.079499999999996</v>
      </c>
      <c r="F333" s="41">
        <f t="shared" si="65"/>
        <v>173.56626</v>
      </c>
      <c r="G333" s="41">
        <f t="shared" si="65"/>
        <v>251.12808000000001</v>
      </c>
      <c r="H333" s="41">
        <f t="shared" si="65"/>
        <v>357.99245999999999</v>
      </c>
      <c r="I333" s="41">
        <f t="shared" si="65"/>
        <v>548.65188000000001</v>
      </c>
      <c r="J333" s="41">
        <f t="shared" si="65"/>
        <v>738.09036000000003</v>
      </c>
      <c r="K333" s="41">
        <f t="shared" si="65"/>
        <v>610.91981999999996</v>
      </c>
      <c r="L333" s="41">
        <f t="shared" si="65"/>
        <v>456.05322000000001</v>
      </c>
      <c r="M333" s="41">
        <f t="shared" si="65"/>
        <v>220.15476000000001</v>
      </c>
      <c r="N333" s="41">
        <f t="shared" si="65"/>
        <v>126.65646</v>
      </c>
      <c r="O333" s="41">
        <f t="shared" si="65"/>
        <v>126.65646</v>
      </c>
      <c r="P333" s="41">
        <f t="shared" si="65"/>
        <v>101.32517</v>
      </c>
      <c r="Q333" s="41">
        <f t="shared" si="65"/>
        <v>103.61924999999999</v>
      </c>
      <c r="R333" s="41">
        <f t="shared" si="65"/>
        <v>260.34939000000003</v>
      </c>
      <c r="S333" s="41">
        <f t="shared" si="65"/>
        <v>376.69211999999999</v>
      </c>
      <c r="T333" s="41">
        <f t="shared" si="65"/>
        <v>536.98869000000002</v>
      </c>
      <c r="U333" s="41">
        <f t="shared" si="65"/>
        <v>822.97781999999995</v>
      </c>
      <c r="V333" s="41">
        <f t="shared" si="65"/>
        <v>1107.1355000000001</v>
      </c>
    </row>
    <row r="334" spans="1:22" x14ac:dyDescent="0.2">
      <c r="A334" s="6" t="s">
        <v>28</v>
      </c>
      <c r="B334" s="6" t="s">
        <v>14</v>
      </c>
      <c r="C334" s="18" t="s">
        <v>40</v>
      </c>
      <c r="E334" s="41">
        <f t="shared" ref="E334:V334" si="66">SUM(E167:E167)</f>
        <v>54.243000000000002</v>
      </c>
      <c r="F334" s="41">
        <f t="shared" si="66"/>
        <v>78.533280000000005</v>
      </c>
      <c r="G334" s="41">
        <f t="shared" si="66"/>
        <v>219.56507999999999</v>
      </c>
      <c r="H334" s="41">
        <f t="shared" si="66"/>
        <v>414.57528000000002</v>
      </c>
      <c r="I334" s="41">
        <f t="shared" si="66"/>
        <v>219.30047999999999</v>
      </c>
      <c r="J334" s="41">
        <f t="shared" si="66"/>
        <v>162.51732000000001</v>
      </c>
      <c r="K334" s="41">
        <f t="shared" si="66"/>
        <v>154.15595999999999</v>
      </c>
      <c r="L334" s="41">
        <f t="shared" si="66"/>
        <v>128.11931999999999</v>
      </c>
      <c r="M334" s="41">
        <f t="shared" si="66"/>
        <v>58.238460000000003</v>
      </c>
      <c r="N334" s="41">
        <f t="shared" si="66"/>
        <v>42.441839999999999</v>
      </c>
      <c r="O334" s="41">
        <f t="shared" si="66"/>
        <v>42.441839999999999</v>
      </c>
      <c r="P334" s="41">
        <f t="shared" si="66"/>
        <v>33.953471999999998</v>
      </c>
      <c r="Q334" s="41">
        <f t="shared" si="66"/>
        <v>0</v>
      </c>
      <c r="R334" s="41">
        <f t="shared" si="66"/>
        <v>0</v>
      </c>
      <c r="S334" s="41">
        <f t="shared" si="66"/>
        <v>0</v>
      </c>
      <c r="T334" s="41">
        <f t="shared" si="66"/>
        <v>0</v>
      </c>
      <c r="U334" s="41">
        <f t="shared" si="66"/>
        <v>328.95071999999999</v>
      </c>
      <c r="V334" s="41">
        <f t="shared" si="66"/>
        <v>243.77598</v>
      </c>
    </row>
    <row r="335" spans="1:22" x14ac:dyDescent="0.2">
      <c r="A335" s="6" t="s">
        <v>28</v>
      </c>
      <c r="B335" s="6" t="s">
        <v>11</v>
      </c>
      <c r="C335" s="18" t="s">
        <v>41</v>
      </c>
      <c r="E335" s="41">
        <f t="shared" ref="E335:V335" si="67">SUM(E168:E169)</f>
        <v>257.04000000000002</v>
      </c>
      <c r="F335" s="41">
        <f t="shared" si="67"/>
        <v>438.72510999999997</v>
      </c>
      <c r="G335" s="41">
        <f t="shared" si="67"/>
        <v>540.47680000000003</v>
      </c>
      <c r="H335" s="41">
        <f t="shared" si="67"/>
        <v>837.87008000000003</v>
      </c>
      <c r="I335" s="41">
        <f t="shared" si="67"/>
        <v>1053.0306</v>
      </c>
      <c r="J335" s="41">
        <f t="shared" si="67"/>
        <v>1057.9104</v>
      </c>
      <c r="K335" s="41">
        <f t="shared" si="67"/>
        <v>865.07012999999995</v>
      </c>
      <c r="L335" s="41">
        <f t="shared" si="67"/>
        <v>842.84018000000003</v>
      </c>
      <c r="M335" s="41">
        <f t="shared" si="67"/>
        <v>511.83089999999999</v>
      </c>
      <c r="N335" s="41">
        <f t="shared" si="67"/>
        <v>288.89890000000003</v>
      </c>
      <c r="O335" s="41">
        <f t="shared" si="67"/>
        <v>288.89890000000003</v>
      </c>
      <c r="P335" s="41">
        <f t="shared" si="67"/>
        <v>231.11912000000001</v>
      </c>
      <c r="Q335" s="41">
        <f t="shared" si="67"/>
        <v>385.56</v>
      </c>
      <c r="R335" s="41">
        <f t="shared" si="67"/>
        <v>658.08766000000003</v>
      </c>
      <c r="S335" s="41">
        <f t="shared" si="67"/>
        <v>810.71519999999998</v>
      </c>
      <c r="T335" s="41">
        <f t="shared" si="67"/>
        <v>1256.8051</v>
      </c>
      <c r="U335" s="41">
        <f t="shared" si="67"/>
        <v>1579.5459000000001</v>
      </c>
      <c r="V335" s="41">
        <f t="shared" si="67"/>
        <v>1586.8656000000001</v>
      </c>
    </row>
    <row r="336" spans="1:22" x14ac:dyDescent="0.2">
      <c r="A336" s="6" t="s">
        <v>28</v>
      </c>
      <c r="B336" s="27" t="s">
        <v>15</v>
      </c>
      <c r="C336" s="28" t="s">
        <v>42</v>
      </c>
      <c r="E336" s="41">
        <f t="shared" ref="E336:V336" si="68">SUM(E170:E173)</f>
        <v>202.23</v>
      </c>
      <c r="F336" s="41">
        <f t="shared" si="68"/>
        <v>513.92880000000002</v>
      </c>
      <c r="G336" s="41">
        <f t="shared" si="68"/>
        <v>708.75</v>
      </c>
      <c r="H336" s="41">
        <f t="shared" si="68"/>
        <v>1015.5348</v>
      </c>
      <c r="I336" s="41">
        <f t="shared" si="68"/>
        <v>814.87453000000005</v>
      </c>
      <c r="J336" s="41">
        <f t="shared" si="68"/>
        <v>1594.9331999999999</v>
      </c>
      <c r="K336" s="41">
        <f t="shared" si="68"/>
        <v>1733.5835999999999</v>
      </c>
      <c r="L336" s="41">
        <f t="shared" si="68"/>
        <v>1316.4228000000001</v>
      </c>
      <c r="M336" s="41">
        <f t="shared" si="68"/>
        <v>608.27760000000001</v>
      </c>
      <c r="N336" s="41">
        <f t="shared" si="68"/>
        <v>310.26240000000001</v>
      </c>
      <c r="O336" s="41">
        <f t="shared" si="68"/>
        <v>310.26240000000001</v>
      </c>
      <c r="P336" s="41">
        <f t="shared" si="68"/>
        <v>248.20992000000001</v>
      </c>
      <c r="Q336" s="41">
        <f t="shared" si="68"/>
        <v>303.34500000000003</v>
      </c>
      <c r="R336" s="41">
        <f t="shared" si="68"/>
        <v>0</v>
      </c>
      <c r="S336" s="41">
        <f t="shared" si="68"/>
        <v>0</v>
      </c>
      <c r="T336" s="41">
        <f t="shared" si="68"/>
        <v>0</v>
      </c>
      <c r="U336" s="41">
        <f t="shared" si="68"/>
        <v>2176.7130000000002</v>
      </c>
      <c r="V336" s="41">
        <f t="shared" si="68"/>
        <v>2392.3998000000001</v>
      </c>
    </row>
    <row r="337" spans="1:22" x14ac:dyDescent="0.2">
      <c r="A337" s="6" t="s">
        <v>28</v>
      </c>
      <c r="B337" s="6" t="s">
        <v>12</v>
      </c>
      <c r="C337" s="18" t="s">
        <v>43</v>
      </c>
      <c r="E337" s="41">
        <f t="shared" ref="E337:V337" si="69">SUM(E174:E174)</f>
        <v>29.767499999999998</v>
      </c>
      <c r="F337" s="41">
        <f t="shared" si="69"/>
        <v>72.972899999999996</v>
      </c>
      <c r="G337" s="41">
        <f t="shared" si="69"/>
        <v>162.95580000000001</v>
      </c>
      <c r="H337" s="41">
        <f t="shared" si="69"/>
        <v>161.68004999999999</v>
      </c>
      <c r="I337" s="41">
        <f t="shared" si="69"/>
        <v>201.48345</v>
      </c>
      <c r="J337" s="41">
        <f t="shared" si="69"/>
        <v>241.542</v>
      </c>
      <c r="K337" s="41">
        <f t="shared" si="69"/>
        <v>285.00254999999999</v>
      </c>
      <c r="L337" s="41">
        <f t="shared" si="69"/>
        <v>371.58345000000003</v>
      </c>
      <c r="M337" s="41">
        <f t="shared" si="69"/>
        <v>160.14914999999999</v>
      </c>
      <c r="N337" s="41">
        <f t="shared" si="69"/>
        <v>107.24805000000001</v>
      </c>
      <c r="O337" s="41">
        <f t="shared" si="69"/>
        <v>107.24805000000001</v>
      </c>
      <c r="P337" s="41">
        <f t="shared" si="69"/>
        <v>85.798439999999999</v>
      </c>
      <c r="Q337" s="41">
        <f t="shared" si="69"/>
        <v>44.651249999999997</v>
      </c>
      <c r="R337" s="41">
        <f t="shared" si="69"/>
        <v>109.45935</v>
      </c>
      <c r="S337" s="41">
        <f t="shared" si="69"/>
        <v>244.43369999999999</v>
      </c>
      <c r="T337" s="41">
        <f t="shared" si="69"/>
        <v>242.52007</v>
      </c>
      <c r="U337" s="41">
        <f t="shared" si="69"/>
        <v>302.22516999999999</v>
      </c>
      <c r="V337" s="41">
        <f t="shared" si="69"/>
        <v>362.31299999999999</v>
      </c>
    </row>
    <row r="338" spans="1:22" x14ac:dyDescent="0.2">
      <c r="A338" s="6" t="s">
        <v>28</v>
      </c>
      <c r="B338" s="6" t="s">
        <v>19</v>
      </c>
      <c r="C338" s="18" t="s">
        <v>44</v>
      </c>
      <c r="E338" s="41">
        <f t="shared" ref="E338:V338" si="70">SUM(E175:E175)</f>
        <v>0</v>
      </c>
      <c r="F338" s="41">
        <f t="shared" si="70"/>
        <v>0</v>
      </c>
      <c r="G338" s="41">
        <f t="shared" si="70"/>
        <v>0</v>
      </c>
      <c r="H338" s="41">
        <f t="shared" si="70"/>
        <v>0</v>
      </c>
      <c r="I338" s="41">
        <f t="shared" si="70"/>
        <v>0</v>
      </c>
      <c r="J338" s="41">
        <f t="shared" si="70"/>
        <v>0</v>
      </c>
      <c r="K338" s="41">
        <f t="shared" si="70"/>
        <v>0</v>
      </c>
      <c r="L338" s="41">
        <f t="shared" si="70"/>
        <v>0</v>
      </c>
      <c r="M338" s="41">
        <f t="shared" si="70"/>
        <v>0</v>
      </c>
      <c r="N338" s="41">
        <f t="shared" si="70"/>
        <v>0</v>
      </c>
      <c r="O338" s="41">
        <f t="shared" si="70"/>
        <v>0</v>
      </c>
      <c r="P338" s="41">
        <f t="shared" si="70"/>
        <v>0</v>
      </c>
      <c r="Q338" s="41">
        <f t="shared" si="70"/>
        <v>0</v>
      </c>
      <c r="R338" s="41">
        <f t="shared" si="70"/>
        <v>0</v>
      </c>
      <c r="S338" s="41">
        <f t="shared" si="70"/>
        <v>0</v>
      </c>
      <c r="T338" s="41">
        <f t="shared" si="70"/>
        <v>0</v>
      </c>
      <c r="U338" s="41">
        <f t="shared" si="70"/>
        <v>0</v>
      </c>
      <c r="V338" s="41">
        <f t="shared" si="70"/>
        <v>0</v>
      </c>
    </row>
    <row r="339" spans="1:22" x14ac:dyDescent="0.2">
      <c r="A339" s="6" t="s">
        <v>28</v>
      </c>
      <c r="B339" s="27" t="s">
        <v>16</v>
      </c>
      <c r="C339" s="28" t="s">
        <v>45</v>
      </c>
      <c r="E339" s="41">
        <f t="shared" ref="E339:V339" si="71">SUM(E176:E178)</f>
        <v>66.528000000000006</v>
      </c>
      <c r="F339" s="41">
        <f t="shared" si="71"/>
        <v>436.13639999999998</v>
      </c>
      <c r="G339" s="41">
        <f t="shared" si="71"/>
        <v>832.74156000000005</v>
      </c>
      <c r="H339" s="41">
        <f t="shared" si="71"/>
        <v>1274.6613600000001</v>
      </c>
      <c r="I339" s="41">
        <f t="shared" si="71"/>
        <v>1501.5066999999999</v>
      </c>
      <c r="J339" s="41">
        <f t="shared" si="71"/>
        <v>1242.81864</v>
      </c>
      <c r="K339" s="41">
        <f t="shared" si="71"/>
        <v>1176.20748</v>
      </c>
      <c r="L339" s="41">
        <f t="shared" si="71"/>
        <v>985.35527999999999</v>
      </c>
      <c r="M339" s="41">
        <f t="shared" si="71"/>
        <v>449.47224</v>
      </c>
      <c r="N339" s="41">
        <f t="shared" si="71"/>
        <v>258.82416000000001</v>
      </c>
      <c r="O339" s="41">
        <f t="shared" si="71"/>
        <v>258.82416000000001</v>
      </c>
      <c r="P339" s="41">
        <f t="shared" si="71"/>
        <v>207.05932999999999</v>
      </c>
      <c r="Q339" s="41">
        <f t="shared" si="71"/>
        <v>99.792000000000002</v>
      </c>
      <c r="R339" s="41">
        <f t="shared" si="71"/>
        <v>654.20460000000003</v>
      </c>
      <c r="S339" s="41">
        <f t="shared" si="71"/>
        <v>1249.1123399999999</v>
      </c>
      <c r="T339" s="41">
        <f t="shared" si="71"/>
        <v>1786.0476000000001</v>
      </c>
      <c r="U339" s="41">
        <f t="shared" si="71"/>
        <v>2252.26008</v>
      </c>
      <c r="V339" s="41">
        <f t="shared" si="71"/>
        <v>1864.2279600000002</v>
      </c>
    </row>
    <row r="340" spans="1:22" x14ac:dyDescent="0.2">
      <c r="A340" s="6" t="s">
        <v>28</v>
      </c>
      <c r="B340" s="27" t="s">
        <v>17</v>
      </c>
      <c r="C340" s="28" t="s">
        <v>46</v>
      </c>
      <c r="E340" s="41">
        <f t="shared" ref="E340:V340" si="72">SUM(E179:E181)</f>
        <v>70.686000000000007</v>
      </c>
      <c r="F340" s="41">
        <f t="shared" si="72"/>
        <v>230.36407</v>
      </c>
      <c r="G340" s="41">
        <f t="shared" si="72"/>
        <v>353.22116</v>
      </c>
      <c r="H340" s="41">
        <f t="shared" si="72"/>
        <v>446.16521</v>
      </c>
      <c r="I340" s="41">
        <f t="shared" si="72"/>
        <v>860.67434000000003</v>
      </c>
      <c r="J340" s="41">
        <f t="shared" si="72"/>
        <v>957.16072999999994</v>
      </c>
      <c r="K340" s="41">
        <f t="shared" si="72"/>
        <v>1139.7877000000001</v>
      </c>
      <c r="L340" s="41">
        <f t="shared" si="72"/>
        <v>686.70645999999999</v>
      </c>
      <c r="M340" s="41">
        <f t="shared" si="72"/>
        <v>341.18847</v>
      </c>
      <c r="N340" s="41">
        <f t="shared" si="72"/>
        <v>237.16759999999999</v>
      </c>
      <c r="O340" s="41">
        <f t="shared" si="72"/>
        <v>237.16759999999999</v>
      </c>
      <c r="P340" s="41">
        <f t="shared" si="72"/>
        <v>189.73408000000001</v>
      </c>
      <c r="Q340" s="41">
        <f t="shared" si="72"/>
        <v>106.029</v>
      </c>
      <c r="R340" s="41">
        <f t="shared" si="72"/>
        <v>345.54610000000002</v>
      </c>
      <c r="S340" s="41">
        <f t="shared" si="72"/>
        <v>0</v>
      </c>
      <c r="T340" s="41">
        <f t="shared" si="72"/>
        <v>0</v>
      </c>
      <c r="U340" s="41">
        <f t="shared" si="72"/>
        <v>1291.0115000000001</v>
      </c>
      <c r="V340" s="41">
        <f t="shared" si="72"/>
        <v>1435.7411</v>
      </c>
    </row>
    <row r="341" spans="1:22" x14ac:dyDescent="0.2">
      <c r="A341" s="6" t="s">
        <v>28</v>
      </c>
      <c r="B341" s="27" t="s">
        <v>18</v>
      </c>
      <c r="C341" s="28" t="s">
        <v>47</v>
      </c>
      <c r="E341" s="41">
        <f t="shared" ref="E341:V341" si="73">SUM(E182:E184)</f>
        <v>112.455</v>
      </c>
      <c r="F341" s="41">
        <f t="shared" si="73"/>
        <v>267.34804000000003</v>
      </c>
      <c r="G341" s="41">
        <f t="shared" si="73"/>
        <v>482.41210000000001</v>
      </c>
      <c r="H341" s="41">
        <f t="shared" si="73"/>
        <v>875.64077999999995</v>
      </c>
      <c r="I341" s="41">
        <f t="shared" si="73"/>
        <v>1017.9294300000001</v>
      </c>
      <c r="J341" s="41">
        <f t="shared" si="73"/>
        <v>856.41097999999988</v>
      </c>
      <c r="K341" s="41">
        <f t="shared" si="73"/>
        <v>776.99127999999996</v>
      </c>
      <c r="L341" s="41">
        <f t="shared" si="73"/>
        <v>729.12513999999999</v>
      </c>
      <c r="M341" s="41">
        <f t="shared" si="73"/>
        <v>361.73466000000002</v>
      </c>
      <c r="N341" s="41">
        <f t="shared" si="73"/>
        <v>595.64768000000004</v>
      </c>
      <c r="O341" s="41">
        <f t="shared" si="73"/>
        <v>330.75</v>
      </c>
      <c r="P341" s="41">
        <f t="shared" si="73"/>
        <v>264.60000000000002</v>
      </c>
      <c r="Q341" s="41">
        <f t="shared" si="73"/>
        <v>168.6825</v>
      </c>
      <c r="R341" s="41">
        <f t="shared" si="73"/>
        <v>0</v>
      </c>
      <c r="S341" s="41">
        <f t="shared" si="73"/>
        <v>0</v>
      </c>
      <c r="T341" s="41">
        <f t="shared" si="73"/>
        <v>0</v>
      </c>
      <c r="U341" s="41">
        <f t="shared" si="73"/>
        <v>1526.8941</v>
      </c>
      <c r="V341" s="41">
        <f t="shared" si="73"/>
        <v>1284.61645</v>
      </c>
    </row>
    <row r="342" spans="1:22" x14ac:dyDescent="0.2">
      <c r="A342" s="6" t="s">
        <v>28</v>
      </c>
      <c r="B342" s="6" t="s">
        <v>22</v>
      </c>
      <c r="C342" s="6" t="s">
        <v>48</v>
      </c>
      <c r="E342" s="41">
        <f t="shared" ref="E342:V342" si="74">SUM(E185:E185)</f>
        <v>33.075000000000003</v>
      </c>
      <c r="F342" s="41">
        <f t="shared" si="74"/>
        <v>76.859684999999999</v>
      </c>
      <c r="G342" s="41">
        <f t="shared" si="74"/>
        <v>122.40396</v>
      </c>
      <c r="H342" s="41">
        <f t="shared" si="74"/>
        <v>243.85535999999999</v>
      </c>
      <c r="I342" s="41">
        <f t="shared" si="74"/>
        <v>209.56319999999999</v>
      </c>
      <c r="J342" s="41">
        <f t="shared" si="74"/>
        <v>217.60042999999999</v>
      </c>
      <c r="K342" s="41">
        <f t="shared" si="74"/>
        <v>246.77257</v>
      </c>
      <c r="L342" s="41">
        <f t="shared" si="74"/>
        <v>149.31378000000001</v>
      </c>
      <c r="M342" s="41">
        <f t="shared" si="74"/>
        <v>80.908064999999993</v>
      </c>
      <c r="N342" s="41">
        <f t="shared" si="74"/>
        <v>63.583379999999998</v>
      </c>
      <c r="O342" s="41">
        <f t="shared" si="74"/>
        <v>63.583379999999998</v>
      </c>
      <c r="P342" s="41">
        <f t="shared" si="74"/>
        <v>50.866703999999999</v>
      </c>
      <c r="Q342" s="41">
        <f t="shared" si="74"/>
        <v>49.612499999999997</v>
      </c>
      <c r="R342" s="41">
        <f t="shared" si="74"/>
        <v>115.28953</v>
      </c>
      <c r="S342" s="41">
        <f t="shared" si="74"/>
        <v>183.60594</v>
      </c>
      <c r="T342" s="41">
        <f t="shared" si="74"/>
        <v>365.78304000000003</v>
      </c>
      <c r="U342" s="41">
        <f t="shared" si="74"/>
        <v>314.34480000000002</v>
      </c>
      <c r="V342" s="41">
        <f t="shared" si="74"/>
        <v>326.40064000000001</v>
      </c>
    </row>
    <row r="343" spans="1:22" x14ac:dyDescent="0.2">
      <c r="A343" s="6" t="s">
        <v>28</v>
      </c>
      <c r="B343" s="6" t="s">
        <v>13</v>
      </c>
      <c r="C343" s="18" t="s">
        <v>49</v>
      </c>
      <c r="E343" s="41">
        <f t="shared" ref="E343:V343" si="75">SUM(E186:E188)</f>
        <v>32.130000000000003</v>
      </c>
      <c r="F343" s="41">
        <f t="shared" si="75"/>
        <v>295.53174000000001</v>
      </c>
      <c r="G343" s="41">
        <f t="shared" si="75"/>
        <v>435.55428000000001</v>
      </c>
      <c r="H343" s="41">
        <f t="shared" si="75"/>
        <v>550.38689999999997</v>
      </c>
      <c r="I343" s="41">
        <f t="shared" si="75"/>
        <v>876.57065999999998</v>
      </c>
      <c r="J343" s="41">
        <f t="shared" si="75"/>
        <v>1023.8546</v>
      </c>
      <c r="K343" s="41">
        <f t="shared" si="75"/>
        <v>1151.5391999999999</v>
      </c>
      <c r="L343" s="41">
        <f t="shared" si="75"/>
        <v>852.79445999999996</v>
      </c>
      <c r="M343" s="41">
        <f t="shared" si="75"/>
        <v>361.65528</v>
      </c>
      <c r="N343" s="41">
        <f t="shared" si="75"/>
        <v>230.56487999999999</v>
      </c>
      <c r="O343" s="41">
        <f t="shared" si="75"/>
        <v>230.56487999999999</v>
      </c>
      <c r="P343" s="41">
        <f t="shared" si="75"/>
        <v>184.45189999999999</v>
      </c>
      <c r="Q343" s="41">
        <f t="shared" si="75"/>
        <v>48.195</v>
      </c>
      <c r="R343" s="41">
        <f t="shared" si="75"/>
        <v>443.29761000000002</v>
      </c>
      <c r="S343" s="41">
        <f t="shared" si="75"/>
        <v>653.33141999999998</v>
      </c>
      <c r="T343" s="41">
        <f t="shared" si="75"/>
        <v>825.58034999999995</v>
      </c>
      <c r="U343" s="41">
        <f t="shared" si="75"/>
        <v>1314.856</v>
      </c>
      <c r="V343" s="41">
        <f t="shared" si="75"/>
        <v>1535.7819</v>
      </c>
    </row>
    <row r="344" spans="1:22" x14ac:dyDescent="0.2">
      <c r="A344" s="6" t="s">
        <v>28</v>
      </c>
      <c r="B344" s="27" t="s">
        <v>20</v>
      </c>
      <c r="C344" s="28" t="s">
        <v>50</v>
      </c>
      <c r="E344" s="41">
        <f t="shared" ref="E344:V344" si="76">SUM(E189:E189)</f>
        <v>43.47</v>
      </c>
      <c r="F344" s="41">
        <f t="shared" si="76"/>
        <v>85.9572</v>
      </c>
      <c r="G344" s="41">
        <f t="shared" si="76"/>
        <v>100.4157</v>
      </c>
      <c r="H344" s="41">
        <f t="shared" si="76"/>
        <v>159.5538</v>
      </c>
      <c r="I344" s="41">
        <f t="shared" si="76"/>
        <v>255.49019999999999</v>
      </c>
      <c r="J344" s="41">
        <f t="shared" si="76"/>
        <v>308.8449</v>
      </c>
      <c r="K344" s="41">
        <f t="shared" si="76"/>
        <v>326.76209999999998</v>
      </c>
      <c r="L344" s="41">
        <f t="shared" si="76"/>
        <v>241.4853</v>
      </c>
      <c r="M344" s="41">
        <f t="shared" si="76"/>
        <v>151.3323</v>
      </c>
      <c r="N344" s="41">
        <f t="shared" si="76"/>
        <v>99.621899999999997</v>
      </c>
      <c r="O344" s="41">
        <f t="shared" si="76"/>
        <v>99.621899999999997</v>
      </c>
      <c r="P344" s="41">
        <f t="shared" si="76"/>
        <v>79.697519999999997</v>
      </c>
      <c r="Q344" s="41">
        <f t="shared" si="76"/>
        <v>65.204999999999998</v>
      </c>
      <c r="R344" s="41">
        <f t="shared" si="76"/>
        <v>128.9358</v>
      </c>
      <c r="S344" s="41">
        <f t="shared" si="76"/>
        <v>150.62354999999999</v>
      </c>
      <c r="T344" s="41">
        <f t="shared" si="76"/>
        <v>239.33070000000001</v>
      </c>
      <c r="U344" s="41">
        <f t="shared" si="76"/>
        <v>383.2353</v>
      </c>
      <c r="V344" s="41">
        <f t="shared" si="76"/>
        <v>463.26735000000002</v>
      </c>
    </row>
  </sheetData>
  <conditionalFormatting sqref="F230:V237">
    <cfRule type="cellIs" dxfId="3" priority="5" stopIfTrue="1" operator="notEqual">
      <formula>E230</formula>
    </cfRule>
  </conditionalFormatting>
  <conditionalFormatting sqref="F194:V201">
    <cfRule type="cellIs" dxfId="2" priority="3" stopIfTrue="1" operator="notEqual">
      <formula>E194</formula>
    </cfRule>
  </conditionalFormatting>
  <conditionalFormatting sqref="F255:V266">
    <cfRule type="cellIs" dxfId="1" priority="2" operator="notEqual">
      <formula>E255</formula>
    </cfRule>
  </conditionalFormatting>
  <conditionalFormatting sqref="F269:V280">
    <cfRule type="cellIs" dxfId="0" priority="1" operator="notEqual">
      <formula>E269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5"/>
  <sheetViews>
    <sheetView workbookViewId="0"/>
  </sheetViews>
  <sheetFormatPr baseColWidth="10" defaultColWidth="8.83203125" defaultRowHeight="15" x14ac:dyDescent="0.2"/>
  <cols>
    <col min="3" max="3" width="16.1640625" customWidth="1"/>
  </cols>
  <sheetData>
    <row r="1" spans="1:24" x14ac:dyDescent="0.2">
      <c r="A1" s="36" t="s">
        <v>110</v>
      </c>
    </row>
    <row r="2" spans="1:24" x14ac:dyDescent="0.2">
      <c r="A2" s="36" t="s">
        <v>111</v>
      </c>
    </row>
    <row r="4" spans="1:24" ht="16" x14ac:dyDescent="0.2">
      <c r="A4" s="22" t="s">
        <v>51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2">
      <c r="A6" s="15" t="s">
        <v>52</v>
      </c>
      <c r="B6" s="15" t="s">
        <v>53</v>
      </c>
      <c r="C6" s="23" t="s">
        <v>27</v>
      </c>
      <c r="D6" s="2">
        <v>44256</v>
      </c>
      <c r="E6" s="2">
        <v>44287</v>
      </c>
      <c r="F6" s="2">
        <v>44317</v>
      </c>
      <c r="G6" s="2">
        <v>44348</v>
      </c>
      <c r="H6" s="2">
        <v>44378</v>
      </c>
      <c r="I6" s="2">
        <v>44409</v>
      </c>
      <c r="J6" s="2">
        <v>44440</v>
      </c>
      <c r="K6" s="2">
        <v>44470</v>
      </c>
      <c r="L6" s="2">
        <v>44501</v>
      </c>
      <c r="M6" s="2">
        <v>44531</v>
      </c>
      <c r="N6" s="2">
        <v>44562</v>
      </c>
      <c r="O6" s="2">
        <v>44593</v>
      </c>
      <c r="P6" s="2">
        <v>44621</v>
      </c>
      <c r="Q6" s="2">
        <v>44652</v>
      </c>
      <c r="R6" s="2">
        <v>44682</v>
      </c>
      <c r="S6" s="2">
        <v>44713</v>
      </c>
      <c r="T6" s="2">
        <v>44743</v>
      </c>
      <c r="U6" s="2">
        <v>44774</v>
      </c>
      <c r="V6" s="15"/>
      <c r="W6" s="2"/>
      <c r="X6" s="15"/>
    </row>
    <row r="7" spans="1:24" x14ac:dyDescent="0.2">
      <c r="A7" s="6" t="s">
        <v>21</v>
      </c>
      <c r="B7" s="18" t="s">
        <v>37</v>
      </c>
      <c r="C7" s="24">
        <v>0.25</v>
      </c>
      <c r="D7" s="21">
        <v>178.20000000000002</v>
      </c>
      <c r="E7" s="21">
        <v>263.7765</v>
      </c>
      <c r="F7" s="21">
        <v>383.45400000000001</v>
      </c>
      <c r="G7" s="21">
        <v>616.24800000000005</v>
      </c>
      <c r="H7" s="21">
        <v>537.03</v>
      </c>
      <c r="I7" s="21">
        <v>523.54349999999999</v>
      </c>
      <c r="J7" s="21">
        <v>810.89100000000008</v>
      </c>
      <c r="K7" s="21">
        <v>812.34899999999993</v>
      </c>
      <c r="L7" s="21">
        <v>342.87299999999999</v>
      </c>
      <c r="M7" s="21">
        <v>183.95099999999999</v>
      </c>
      <c r="N7" s="21">
        <v>183.95099999999999</v>
      </c>
      <c r="O7" s="21">
        <v>147.16080000000002</v>
      </c>
      <c r="P7" s="21">
        <v>267.3</v>
      </c>
      <c r="Q7" s="21">
        <v>395.66475000000008</v>
      </c>
      <c r="R7" s="21">
        <v>575.18100000000004</v>
      </c>
      <c r="S7" s="21">
        <v>924.37199999999996</v>
      </c>
      <c r="T7" s="21">
        <v>805.54500000000007</v>
      </c>
      <c r="U7" s="21">
        <v>785.31524999999999</v>
      </c>
      <c r="V7" s="6"/>
      <c r="W7" s="21"/>
      <c r="X7" s="6"/>
    </row>
    <row r="8" spans="1:24" x14ac:dyDescent="0.2">
      <c r="A8" s="6" t="s">
        <v>10</v>
      </c>
      <c r="B8" s="6" t="s">
        <v>38</v>
      </c>
      <c r="C8" s="24">
        <v>0.1</v>
      </c>
      <c r="D8" s="21">
        <v>36</v>
      </c>
      <c r="E8" s="21">
        <v>36</v>
      </c>
      <c r="F8" s="21">
        <v>54</v>
      </c>
      <c r="G8" s="21">
        <v>27</v>
      </c>
      <c r="H8" s="21">
        <v>45</v>
      </c>
      <c r="I8" s="21">
        <v>54</v>
      </c>
      <c r="J8" s="21">
        <v>90</v>
      </c>
      <c r="K8" s="21">
        <v>135</v>
      </c>
      <c r="L8" s="21">
        <v>135</v>
      </c>
      <c r="M8" s="21">
        <v>108</v>
      </c>
      <c r="N8" s="21">
        <v>72</v>
      </c>
      <c r="O8" s="21">
        <v>72</v>
      </c>
      <c r="P8" s="21">
        <v>63</v>
      </c>
      <c r="Q8" s="21">
        <v>54</v>
      </c>
      <c r="R8" s="21">
        <v>36</v>
      </c>
      <c r="S8" s="21">
        <v>27</v>
      </c>
      <c r="T8" s="21">
        <v>18</v>
      </c>
      <c r="U8" s="21">
        <v>18</v>
      </c>
      <c r="V8" s="6"/>
      <c r="W8" s="21"/>
      <c r="X8" s="6"/>
    </row>
    <row r="9" spans="1:24" x14ac:dyDescent="0.2">
      <c r="A9" s="6" t="s">
        <v>23</v>
      </c>
      <c r="B9" s="18" t="s">
        <v>39</v>
      </c>
      <c r="C9" s="24">
        <v>0.15</v>
      </c>
      <c r="D9" s="21">
        <v>77.399999999999991</v>
      </c>
      <c r="E9" s="21">
        <v>194.47200000000001</v>
      </c>
      <c r="F9" s="21">
        <v>281.37599999999998</v>
      </c>
      <c r="G9" s="21">
        <v>401.11199999999997</v>
      </c>
      <c r="H9" s="21">
        <v>614.73599999999999</v>
      </c>
      <c r="I9" s="21">
        <v>826.99200000000008</v>
      </c>
      <c r="J9" s="21">
        <v>684.50400000000013</v>
      </c>
      <c r="K9" s="21">
        <v>510.98399999999998</v>
      </c>
      <c r="L9" s="21">
        <v>246.67199999999997</v>
      </c>
      <c r="M9" s="21">
        <v>141.91200000000001</v>
      </c>
      <c r="N9" s="21">
        <v>141.91200000000001</v>
      </c>
      <c r="O9" s="21">
        <v>113.5296</v>
      </c>
      <c r="P9" s="21">
        <v>116.10000000000001</v>
      </c>
      <c r="Q9" s="21">
        <v>291.70799999999997</v>
      </c>
      <c r="R9" s="21">
        <v>422.06400000000002</v>
      </c>
      <c r="S9" s="21">
        <v>601.66800000000001</v>
      </c>
      <c r="T9" s="21">
        <v>922.10399999999993</v>
      </c>
      <c r="U9" s="21">
        <v>1240.4879999999998</v>
      </c>
      <c r="V9" s="6"/>
      <c r="W9" s="21"/>
      <c r="X9" s="6"/>
    </row>
    <row r="10" spans="1:24" x14ac:dyDescent="0.2">
      <c r="A10" s="6" t="s">
        <v>14</v>
      </c>
      <c r="B10" s="18" t="s">
        <v>40</v>
      </c>
      <c r="C10" s="24">
        <v>0.3</v>
      </c>
      <c r="D10" s="21">
        <v>73.8</v>
      </c>
      <c r="E10" s="21">
        <v>106.848</v>
      </c>
      <c r="F10" s="21">
        <v>298.72800000000001</v>
      </c>
      <c r="G10" s="21">
        <v>564.048</v>
      </c>
      <c r="H10" s="21">
        <v>298.36799999999999</v>
      </c>
      <c r="I10" s="21">
        <v>221.11200000000002</v>
      </c>
      <c r="J10" s="21">
        <v>209.73599999999999</v>
      </c>
      <c r="K10" s="21">
        <v>174.31200000000001</v>
      </c>
      <c r="L10" s="21">
        <v>79.236000000000004</v>
      </c>
      <c r="M10" s="21">
        <v>57.743999999999993</v>
      </c>
      <c r="N10" s="21">
        <v>57.743999999999993</v>
      </c>
      <c r="O10" s="21">
        <v>46.195200000000007</v>
      </c>
      <c r="P10" s="21">
        <v>110.7</v>
      </c>
      <c r="Q10" s="21">
        <v>160.27199999999999</v>
      </c>
      <c r="R10" s="21">
        <v>448.09199999999998</v>
      </c>
      <c r="S10" s="21">
        <v>846.07200000000012</v>
      </c>
      <c r="T10" s="21">
        <v>447.55199999999996</v>
      </c>
      <c r="U10" s="21">
        <v>331.66799999999995</v>
      </c>
      <c r="V10" s="6"/>
      <c r="W10" s="21"/>
      <c r="X10" s="6"/>
    </row>
    <row r="11" spans="1:24" x14ac:dyDescent="0.2">
      <c r="A11" s="6" t="s">
        <v>11</v>
      </c>
      <c r="B11" s="18" t="s">
        <v>41</v>
      </c>
      <c r="C11" s="24">
        <v>0.15</v>
      </c>
      <c r="D11" s="21">
        <v>288</v>
      </c>
      <c r="E11" s="21">
        <v>491.56874999999997</v>
      </c>
      <c r="F11" s="21">
        <v>605.57624999999996</v>
      </c>
      <c r="G11" s="21">
        <v>938.78999999999985</v>
      </c>
      <c r="H11" s="21">
        <v>1179.86625</v>
      </c>
      <c r="I11" s="21">
        <v>1185.3337499999998</v>
      </c>
      <c r="J11" s="21">
        <v>969.2662499999999</v>
      </c>
      <c r="K11" s="21">
        <v>944.35874999999999</v>
      </c>
      <c r="L11" s="21">
        <v>573.4799999999999</v>
      </c>
      <c r="M11" s="21">
        <v>323.69624999999996</v>
      </c>
      <c r="N11" s="21">
        <v>323.69624999999996</v>
      </c>
      <c r="O11" s="21">
        <v>258.95699999999999</v>
      </c>
      <c r="P11" s="21">
        <v>432</v>
      </c>
      <c r="Q11" s="21">
        <v>737.35312499999998</v>
      </c>
      <c r="R11" s="21">
        <v>908.36437499999988</v>
      </c>
      <c r="S11" s="21">
        <v>1408.1849999999997</v>
      </c>
      <c r="T11" s="21">
        <v>1769.7993750000001</v>
      </c>
      <c r="U11" s="21">
        <v>1778.0006249999999</v>
      </c>
      <c r="V11" s="6"/>
      <c r="W11" s="21"/>
      <c r="X11" s="6"/>
    </row>
    <row r="12" spans="1:24" x14ac:dyDescent="0.2">
      <c r="A12" s="6" t="s">
        <v>15</v>
      </c>
      <c r="B12" s="18" t="s">
        <v>42</v>
      </c>
      <c r="C12" s="24">
        <v>0.2</v>
      </c>
      <c r="D12" s="21">
        <v>240.75</v>
      </c>
      <c r="E12" s="21">
        <v>611.82000000000005</v>
      </c>
      <c r="F12" s="21">
        <v>843.75</v>
      </c>
      <c r="G12" s="21">
        <v>1208.97</v>
      </c>
      <c r="H12" s="21">
        <v>1727.55</v>
      </c>
      <c r="I12" s="21">
        <v>1898.7300000000002</v>
      </c>
      <c r="J12" s="21">
        <v>2063.79</v>
      </c>
      <c r="K12" s="21">
        <v>1567.1700000000003</v>
      </c>
      <c r="L12" s="21">
        <v>724.1400000000001</v>
      </c>
      <c r="M12" s="21">
        <v>369.36000000000007</v>
      </c>
      <c r="N12" s="21">
        <v>369.36000000000007</v>
      </c>
      <c r="O12" s="21">
        <v>295.48800000000006</v>
      </c>
      <c r="P12" s="21">
        <v>361.125</v>
      </c>
      <c r="Q12" s="21">
        <v>917.73</v>
      </c>
      <c r="R12" s="21">
        <v>1265.625</v>
      </c>
      <c r="S12" s="21">
        <v>1813.4550000000004</v>
      </c>
      <c r="T12" s="21">
        <v>2591.3250000000003</v>
      </c>
      <c r="U12" s="21">
        <v>2848.0950000000003</v>
      </c>
      <c r="V12" s="6"/>
      <c r="W12" s="21"/>
      <c r="X12" s="6"/>
    </row>
    <row r="13" spans="1:24" x14ac:dyDescent="0.2">
      <c r="A13" s="6" t="s">
        <v>12</v>
      </c>
      <c r="B13" s="18" t="s">
        <v>43</v>
      </c>
      <c r="C13" s="24">
        <v>0.1</v>
      </c>
      <c r="D13" s="21">
        <v>31.5</v>
      </c>
      <c r="E13" s="21">
        <v>77.220000000000013</v>
      </c>
      <c r="F13" s="21">
        <v>172.44000000000003</v>
      </c>
      <c r="G13" s="21">
        <v>171.09</v>
      </c>
      <c r="H13" s="21">
        <v>213.21</v>
      </c>
      <c r="I13" s="21">
        <v>255.6</v>
      </c>
      <c r="J13" s="21">
        <v>301.59000000000003</v>
      </c>
      <c r="K13" s="21">
        <v>393.21000000000004</v>
      </c>
      <c r="L13" s="21">
        <v>169.47000000000003</v>
      </c>
      <c r="M13" s="21">
        <v>113.49000000000001</v>
      </c>
      <c r="N13" s="21">
        <v>113.49000000000001</v>
      </c>
      <c r="O13" s="21">
        <v>90.792000000000002</v>
      </c>
      <c r="P13" s="21">
        <v>47.25</v>
      </c>
      <c r="Q13" s="21">
        <v>115.83000000000001</v>
      </c>
      <c r="R13" s="21">
        <v>258.66000000000003</v>
      </c>
      <c r="S13" s="21">
        <v>256.63500000000005</v>
      </c>
      <c r="T13" s="21">
        <v>319.81500000000005</v>
      </c>
      <c r="U13" s="21">
        <v>383.40000000000003</v>
      </c>
      <c r="V13" s="6"/>
      <c r="W13" s="21"/>
      <c r="X13" s="6"/>
    </row>
    <row r="14" spans="1:24" x14ac:dyDescent="0.2">
      <c r="A14" s="6" t="s">
        <v>19</v>
      </c>
      <c r="B14" s="18" t="s">
        <v>44</v>
      </c>
      <c r="C14" s="24">
        <v>0.15</v>
      </c>
      <c r="D14" s="21">
        <v>30.599999999999998</v>
      </c>
      <c r="E14" s="21">
        <v>34.128</v>
      </c>
      <c r="F14" s="21">
        <v>26.891999999999999</v>
      </c>
      <c r="G14" s="21">
        <v>34.721999999999994</v>
      </c>
      <c r="H14" s="21">
        <v>49.302</v>
      </c>
      <c r="I14" s="21">
        <v>59.508000000000003</v>
      </c>
      <c r="J14" s="21">
        <v>51.515999999999991</v>
      </c>
      <c r="K14" s="21">
        <v>91.908000000000001</v>
      </c>
      <c r="L14" s="21">
        <v>86.399999999999991</v>
      </c>
      <c r="M14" s="21">
        <v>58.913999999999994</v>
      </c>
      <c r="N14" s="21">
        <v>58.913999999999994</v>
      </c>
      <c r="O14" s="21">
        <v>47.1312</v>
      </c>
      <c r="P14" s="21">
        <v>45.9</v>
      </c>
      <c r="Q14" s="21">
        <v>51.192000000000007</v>
      </c>
      <c r="R14" s="21">
        <v>40.338000000000001</v>
      </c>
      <c r="S14" s="21">
        <v>52.082999999999998</v>
      </c>
      <c r="T14" s="21">
        <v>73.953000000000003</v>
      </c>
      <c r="U14" s="21">
        <v>89.262000000000015</v>
      </c>
      <c r="V14" s="6"/>
      <c r="W14" s="21"/>
      <c r="X14" s="6"/>
    </row>
    <row r="15" spans="1:24" x14ac:dyDescent="0.2">
      <c r="A15" s="6" t="s">
        <v>16</v>
      </c>
      <c r="B15" s="18" t="s">
        <v>45</v>
      </c>
      <c r="C15" s="24">
        <v>0.2</v>
      </c>
      <c r="D15" s="21">
        <v>79.2</v>
      </c>
      <c r="E15" s="21">
        <v>519.21</v>
      </c>
      <c r="F15" s="21">
        <v>991.35899999999992</v>
      </c>
      <c r="G15" s="21">
        <v>1517.454</v>
      </c>
      <c r="H15" s="21">
        <v>1787.508</v>
      </c>
      <c r="I15" s="21">
        <v>1479.5459999999998</v>
      </c>
      <c r="J15" s="21">
        <v>1400.2470000000001</v>
      </c>
      <c r="K15" s="21">
        <v>1173.0419999999999</v>
      </c>
      <c r="L15" s="21">
        <v>535.0859999999999</v>
      </c>
      <c r="M15" s="21">
        <v>308.12400000000002</v>
      </c>
      <c r="N15" s="21">
        <v>308.12400000000002</v>
      </c>
      <c r="O15" s="21">
        <v>246.49920000000003</v>
      </c>
      <c r="P15" s="21">
        <v>118.8</v>
      </c>
      <c r="Q15" s="21">
        <v>778.81499999999994</v>
      </c>
      <c r="R15" s="21">
        <v>1487.0384999999999</v>
      </c>
      <c r="S15" s="21">
        <v>2276.181</v>
      </c>
      <c r="T15" s="21">
        <v>2681.2620000000002</v>
      </c>
      <c r="U15" s="21">
        <v>2219.319</v>
      </c>
      <c r="V15" s="6"/>
      <c r="W15" s="21"/>
      <c r="X15" s="6"/>
    </row>
    <row r="16" spans="1:24" x14ac:dyDescent="0.2">
      <c r="A16" s="6" t="s">
        <v>17</v>
      </c>
      <c r="B16" s="18" t="s">
        <v>46</v>
      </c>
      <c r="C16" s="24">
        <v>0.15</v>
      </c>
      <c r="D16" s="21">
        <v>79.2</v>
      </c>
      <c r="E16" s="21">
        <v>258.11099999999999</v>
      </c>
      <c r="F16" s="21">
        <v>395.76600000000002</v>
      </c>
      <c r="G16" s="21">
        <v>499.90500000000003</v>
      </c>
      <c r="H16" s="21">
        <v>964.34100000000001</v>
      </c>
      <c r="I16" s="21">
        <v>1072.4490000000001</v>
      </c>
      <c r="J16" s="21">
        <v>1277.0729999999999</v>
      </c>
      <c r="K16" s="21">
        <v>769.4190000000001</v>
      </c>
      <c r="L16" s="21">
        <v>382.28400000000005</v>
      </c>
      <c r="M16" s="21">
        <v>265.73400000000004</v>
      </c>
      <c r="N16" s="21">
        <v>265.73400000000004</v>
      </c>
      <c r="O16" s="21">
        <v>212.58720000000005</v>
      </c>
      <c r="P16" s="21">
        <v>118.8</v>
      </c>
      <c r="Q16" s="21">
        <v>387.16650000000004</v>
      </c>
      <c r="R16" s="21">
        <v>593.64900000000011</v>
      </c>
      <c r="S16" s="21">
        <v>749.85750000000007</v>
      </c>
      <c r="T16" s="21">
        <v>1446.5115000000001</v>
      </c>
      <c r="U16" s="21">
        <v>1608.6735000000003</v>
      </c>
      <c r="V16" s="6"/>
      <c r="W16" s="21"/>
      <c r="X16" s="6"/>
    </row>
    <row r="17" spans="1:24" x14ac:dyDescent="0.2">
      <c r="A17" s="6" t="s">
        <v>18</v>
      </c>
      <c r="B17" s="18" t="s">
        <v>47</v>
      </c>
      <c r="C17" s="24">
        <v>0.3</v>
      </c>
      <c r="D17" s="21">
        <v>153</v>
      </c>
      <c r="E17" s="21">
        <v>374.21999999999997</v>
      </c>
      <c r="F17" s="21">
        <v>656.34299999999996</v>
      </c>
      <c r="G17" s="21">
        <v>1191.3480000000002</v>
      </c>
      <c r="H17" s="21">
        <v>1384.9380000000001</v>
      </c>
      <c r="I17" s="21">
        <v>1165.1849999999997</v>
      </c>
      <c r="J17" s="21">
        <v>1057.1309999999999</v>
      </c>
      <c r="K17" s="21">
        <v>992.00699999999995</v>
      </c>
      <c r="L17" s="21">
        <v>492.15600000000006</v>
      </c>
      <c r="M17" s="21">
        <v>810.40499999999986</v>
      </c>
      <c r="N17" s="21">
        <v>450</v>
      </c>
      <c r="O17" s="21">
        <v>360</v>
      </c>
      <c r="P17" s="21">
        <v>229.5</v>
      </c>
      <c r="Q17" s="21">
        <v>561.33000000000004</v>
      </c>
      <c r="R17" s="21">
        <v>984.5145</v>
      </c>
      <c r="S17" s="21">
        <v>1787.0219999999999</v>
      </c>
      <c r="T17" s="21">
        <v>2077.4070000000002</v>
      </c>
      <c r="U17" s="21">
        <v>1747.7774999999999</v>
      </c>
      <c r="V17" s="6"/>
      <c r="W17" s="21"/>
      <c r="X17" s="6"/>
    </row>
    <row r="18" spans="1:24" x14ac:dyDescent="0.2">
      <c r="A18" s="6" t="s">
        <v>22</v>
      </c>
      <c r="B18" s="6" t="s">
        <v>48</v>
      </c>
      <c r="C18" s="24">
        <v>0.3</v>
      </c>
      <c r="D18" s="21">
        <v>45</v>
      </c>
      <c r="E18" s="21">
        <v>104.571</v>
      </c>
      <c r="F18" s="21">
        <v>166.53599999999997</v>
      </c>
      <c r="G18" s="21">
        <v>331.77599999999995</v>
      </c>
      <c r="H18" s="21">
        <v>285.12</v>
      </c>
      <c r="I18" s="21">
        <v>296.05499999999995</v>
      </c>
      <c r="J18" s="21">
        <v>335.745</v>
      </c>
      <c r="K18" s="21">
        <v>203.148</v>
      </c>
      <c r="L18" s="21">
        <v>110.07899999999999</v>
      </c>
      <c r="M18" s="21">
        <v>86.507999999999981</v>
      </c>
      <c r="N18" s="21">
        <v>86.507999999999981</v>
      </c>
      <c r="O18" s="21">
        <v>69.206400000000002</v>
      </c>
      <c r="P18" s="21">
        <v>67.5</v>
      </c>
      <c r="Q18" s="21">
        <v>156.85649999999998</v>
      </c>
      <c r="R18" s="21">
        <v>249.804</v>
      </c>
      <c r="S18" s="21">
        <v>497.66400000000004</v>
      </c>
      <c r="T18" s="21">
        <v>427.68</v>
      </c>
      <c r="U18" s="21">
        <v>444.08249999999992</v>
      </c>
      <c r="V18" s="6"/>
      <c r="W18" s="21"/>
      <c r="X18" s="6"/>
    </row>
    <row r="19" spans="1:24" x14ac:dyDescent="0.2">
      <c r="A19" s="6" t="s">
        <v>13</v>
      </c>
      <c r="B19" s="18" t="s">
        <v>49</v>
      </c>
      <c r="C19" s="24">
        <v>0.15</v>
      </c>
      <c r="D19" s="21">
        <v>36</v>
      </c>
      <c r="E19" s="21">
        <v>331.12800000000004</v>
      </c>
      <c r="F19" s="21">
        <v>488.01600000000002</v>
      </c>
      <c r="G19" s="21">
        <v>616.68000000000006</v>
      </c>
      <c r="H19" s="21">
        <v>982.15200000000004</v>
      </c>
      <c r="I19" s="21">
        <v>1147.1760000000002</v>
      </c>
      <c r="J19" s="21">
        <v>1290.2400000000002</v>
      </c>
      <c r="K19" s="21">
        <v>955.51200000000006</v>
      </c>
      <c r="L19" s="21">
        <v>405.21600000000001</v>
      </c>
      <c r="M19" s="21">
        <v>258.33600000000001</v>
      </c>
      <c r="N19" s="21">
        <v>258.33600000000001</v>
      </c>
      <c r="O19" s="21">
        <v>206.66880000000003</v>
      </c>
      <c r="P19" s="21">
        <v>54</v>
      </c>
      <c r="Q19" s="21">
        <v>496.69200000000001</v>
      </c>
      <c r="R19" s="21">
        <v>732.024</v>
      </c>
      <c r="S19" s="21">
        <v>925.0200000000001</v>
      </c>
      <c r="T19" s="21">
        <v>1473.2280000000001</v>
      </c>
      <c r="U19" s="21">
        <v>1720.7639999999999</v>
      </c>
      <c r="V19" s="6"/>
      <c r="W19" s="21"/>
      <c r="X19" s="6"/>
    </row>
    <row r="20" spans="1:24" x14ac:dyDescent="0.2">
      <c r="A20" s="6" t="s">
        <v>20</v>
      </c>
      <c r="B20" s="18" t="s">
        <v>50</v>
      </c>
      <c r="C20" s="24">
        <v>0.2</v>
      </c>
      <c r="D20" s="21">
        <v>51.75</v>
      </c>
      <c r="E20" s="21">
        <v>102.33000000000001</v>
      </c>
      <c r="F20" s="21">
        <v>119.54249999999999</v>
      </c>
      <c r="G20" s="21">
        <v>189.94499999999996</v>
      </c>
      <c r="H20" s="21">
        <v>304.15500000000003</v>
      </c>
      <c r="I20" s="21">
        <v>367.67250000000001</v>
      </c>
      <c r="J20" s="21">
        <v>389.00249999999994</v>
      </c>
      <c r="K20" s="21">
        <v>287.48250000000002</v>
      </c>
      <c r="L20" s="21">
        <v>180.15749999999997</v>
      </c>
      <c r="M20" s="21">
        <v>118.5975</v>
      </c>
      <c r="N20" s="21">
        <v>118.5975</v>
      </c>
      <c r="O20" s="21">
        <v>94.878000000000014</v>
      </c>
      <c r="P20" s="21">
        <v>77.625</v>
      </c>
      <c r="Q20" s="21">
        <v>153.495</v>
      </c>
      <c r="R20" s="21">
        <v>179.31374999999997</v>
      </c>
      <c r="S20" s="21">
        <v>284.91750000000002</v>
      </c>
      <c r="T20" s="21">
        <v>456.23249999999996</v>
      </c>
      <c r="U20" s="21">
        <v>551.50874999999985</v>
      </c>
      <c r="V20" s="6"/>
      <c r="W20" s="21"/>
      <c r="X20" s="6"/>
    </row>
    <row r="21" spans="1:24" x14ac:dyDescent="0.2">
      <c r="A21" s="6"/>
      <c r="B21" s="6"/>
      <c r="C21" s="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6"/>
      <c r="X21" s="6"/>
    </row>
    <row r="22" spans="1:24" x14ac:dyDescent="0.2">
      <c r="A22" s="25"/>
      <c r="B22" s="25"/>
      <c r="C22" s="25" t="s">
        <v>35</v>
      </c>
      <c r="D22" s="26">
        <f>SUM(D7:D20)</f>
        <v>1400.4</v>
      </c>
      <c r="E22" s="26">
        <f>SUM(E7:E20)</f>
        <v>3505.4032499999998</v>
      </c>
      <c r="F22" s="26">
        <f t="shared" ref="F22:U22" si="0">SUM(F7:F20)</f>
        <v>5483.7787499999995</v>
      </c>
      <c r="G22" s="26">
        <f t="shared" si="0"/>
        <v>8309.0879999999997</v>
      </c>
      <c r="H22" s="26">
        <f t="shared" si="0"/>
        <v>10373.276250000001</v>
      </c>
      <c r="I22" s="26">
        <f t="shared" si="0"/>
        <v>10552.902750000001</v>
      </c>
      <c r="J22" s="26">
        <f t="shared" si="0"/>
        <v>10930.731750000001</v>
      </c>
      <c r="K22" s="26">
        <f t="shared" si="0"/>
        <v>9009.9022499999992</v>
      </c>
      <c r="L22" s="26">
        <f t="shared" si="0"/>
        <v>4462.2495000000008</v>
      </c>
      <c r="M22" s="26">
        <f t="shared" si="0"/>
        <v>3204.7717499999999</v>
      </c>
      <c r="N22" s="26">
        <f t="shared" si="0"/>
        <v>2808.3667500000001</v>
      </c>
      <c r="O22" s="26">
        <f t="shared" si="0"/>
        <v>2261.0934000000002</v>
      </c>
      <c r="P22" s="26">
        <f t="shared" si="0"/>
        <v>2109.6</v>
      </c>
      <c r="Q22" s="26">
        <f t="shared" si="0"/>
        <v>5258.104875</v>
      </c>
      <c r="R22" s="26">
        <f t="shared" si="0"/>
        <v>8180.6681250000011</v>
      </c>
      <c r="S22" s="26">
        <f t="shared" si="0"/>
        <v>12450.132000000001</v>
      </c>
      <c r="T22" s="26">
        <f t="shared" si="0"/>
        <v>15510.414375000002</v>
      </c>
      <c r="U22" s="26">
        <f t="shared" si="0"/>
        <v>15766.354125</v>
      </c>
      <c r="V22" s="26"/>
      <c r="W22" s="25"/>
      <c r="X22" s="25"/>
    </row>
    <row r="23" spans="1:24" x14ac:dyDescent="0.2">
      <c r="A23" s="6"/>
      <c r="B23" s="6"/>
      <c r="C23" s="25" t="s">
        <v>54</v>
      </c>
      <c r="D23" s="26">
        <f>SUMPRODUCT($C7:$C18,D7:D18)</f>
        <v>268.11</v>
      </c>
      <c r="E23" s="26">
        <f t="shared" ref="E23:U23" si="1">SUMPRODUCT($C7:$C18,E7:E18)</f>
        <v>625.90578749999997</v>
      </c>
      <c r="F23" s="26">
        <f t="shared" si="1"/>
        <v>1018.4529375000001</v>
      </c>
      <c r="G23" s="26">
        <f t="shared" si="1"/>
        <v>1626.48675</v>
      </c>
      <c r="H23" s="26">
        <f t="shared" si="1"/>
        <v>1874.8546875000002</v>
      </c>
      <c r="I23" s="26">
        <f t="shared" si="1"/>
        <v>1813.8490874999998</v>
      </c>
      <c r="J23" s="26">
        <f t="shared" si="1"/>
        <v>1862.8266375000003</v>
      </c>
      <c r="K23" s="26">
        <f t="shared" si="1"/>
        <v>1562.2912125</v>
      </c>
      <c r="L23" s="26">
        <f t="shared" si="1"/>
        <v>765.77714999999989</v>
      </c>
      <c r="M23" s="26">
        <f t="shared" si="1"/>
        <v>608.56908749999991</v>
      </c>
      <c r="N23" s="26">
        <f t="shared" si="1"/>
        <v>496.84758749999997</v>
      </c>
      <c r="O23" s="26">
        <f t="shared" si="1"/>
        <v>398.91807000000006</v>
      </c>
      <c r="P23" s="26">
        <f t="shared" si="1"/>
        <v>403.06500000000005</v>
      </c>
      <c r="Q23" s="26">
        <f t="shared" si="1"/>
        <v>938.85868125000013</v>
      </c>
      <c r="R23" s="26">
        <f t="shared" si="1"/>
        <v>1523.1794062500001</v>
      </c>
      <c r="S23" s="26">
        <f t="shared" si="1"/>
        <v>2438.3801249999997</v>
      </c>
      <c r="T23" s="26">
        <f t="shared" si="1"/>
        <v>2807.3320312500005</v>
      </c>
      <c r="U23" s="26">
        <f t="shared" si="1"/>
        <v>2714.4736312499995</v>
      </c>
      <c r="V23" s="26"/>
      <c r="W23" s="6"/>
      <c r="X23" s="6"/>
    </row>
    <row r="24" spans="1:24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2">
      <c r="A25" s="6" t="s">
        <v>67</v>
      </c>
      <c r="B25" s="6"/>
      <c r="C25" s="25">
        <v>1.05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6"/>
    </row>
    <row r="26" spans="1:24" x14ac:dyDescent="0.2">
      <c r="A26" s="6"/>
      <c r="B26" s="6"/>
      <c r="C26" s="25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6"/>
      <c r="X26" s="6"/>
    </row>
    <row r="27" spans="1:24" x14ac:dyDescent="0.2">
      <c r="A27" s="15" t="s">
        <v>24</v>
      </c>
      <c r="B27" s="15" t="s">
        <v>52</v>
      </c>
      <c r="C27" s="15" t="s">
        <v>53</v>
      </c>
      <c r="D27" s="2">
        <v>44256</v>
      </c>
      <c r="E27" s="2">
        <v>44287</v>
      </c>
      <c r="F27" s="2">
        <v>44317</v>
      </c>
      <c r="G27" s="2">
        <v>44348</v>
      </c>
      <c r="H27" s="2">
        <v>44378</v>
      </c>
      <c r="I27" s="2">
        <v>44409</v>
      </c>
      <c r="J27" s="2">
        <v>44440</v>
      </c>
      <c r="K27" s="2">
        <v>44470</v>
      </c>
      <c r="L27" s="2">
        <v>44501</v>
      </c>
      <c r="M27" s="2">
        <v>44531</v>
      </c>
      <c r="N27" s="2">
        <v>44562</v>
      </c>
      <c r="O27" s="2">
        <v>44593</v>
      </c>
      <c r="P27" s="2">
        <v>44621</v>
      </c>
      <c r="Q27" s="2">
        <v>44652</v>
      </c>
      <c r="R27" s="2">
        <v>44682</v>
      </c>
      <c r="S27" s="2">
        <v>44713</v>
      </c>
      <c r="T27" s="2">
        <v>44743</v>
      </c>
      <c r="U27" s="2">
        <v>44774</v>
      </c>
    </row>
    <row r="28" spans="1:24" x14ac:dyDescent="0.2">
      <c r="A28" s="6" t="s">
        <v>27</v>
      </c>
      <c r="B28" s="6" t="s">
        <v>21</v>
      </c>
      <c r="C28" s="18" t="s">
        <v>37</v>
      </c>
      <c r="D28" s="32">
        <f>$C$25*$C7*D7</f>
        <v>46.777500000000003</v>
      </c>
      <c r="E28" s="32">
        <f t="shared" ref="E28:U28" si="2">$C$25*$C7*E7</f>
        <v>69.241331250000002</v>
      </c>
      <c r="F28" s="32">
        <f t="shared" si="2"/>
        <v>100.65667500000001</v>
      </c>
      <c r="G28" s="32">
        <f t="shared" si="2"/>
        <v>161.76510000000002</v>
      </c>
      <c r="H28" s="32">
        <f t="shared" si="2"/>
        <v>140.97037499999999</v>
      </c>
      <c r="I28" s="32">
        <f t="shared" si="2"/>
        <v>137.43016875000001</v>
      </c>
      <c r="J28" s="32">
        <f t="shared" si="2"/>
        <v>212.85888750000004</v>
      </c>
      <c r="K28" s="32">
        <f t="shared" si="2"/>
        <v>213.2416125</v>
      </c>
      <c r="L28" s="32">
        <f t="shared" si="2"/>
        <v>90.004162500000007</v>
      </c>
      <c r="M28" s="32">
        <f t="shared" si="2"/>
        <v>48.2871375</v>
      </c>
      <c r="N28" s="32">
        <f t="shared" si="2"/>
        <v>48.2871375</v>
      </c>
      <c r="O28" s="32">
        <f t="shared" si="2"/>
        <v>38.62971000000001</v>
      </c>
      <c r="P28" s="32">
        <f t="shared" si="2"/>
        <v>70.166250000000005</v>
      </c>
      <c r="Q28" s="32">
        <f t="shared" si="2"/>
        <v>103.86199687500003</v>
      </c>
      <c r="R28" s="32">
        <f t="shared" si="2"/>
        <v>150.98501250000001</v>
      </c>
      <c r="S28" s="32">
        <f t="shared" si="2"/>
        <v>242.64765</v>
      </c>
      <c r="T28" s="32">
        <f t="shared" si="2"/>
        <v>211.45556250000004</v>
      </c>
      <c r="U28" s="32">
        <f t="shared" si="2"/>
        <v>206.14525312500001</v>
      </c>
    </row>
    <row r="29" spans="1:24" x14ac:dyDescent="0.2">
      <c r="A29" s="6" t="s">
        <v>27</v>
      </c>
      <c r="B29" s="6" t="s">
        <v>10</v>
      </c>
      <c r="C29" s="6" t="s">
        <v>38</v>
      </c>
      <c r="D29" s="32">
        <f t="shared" ref="D29:U29" si="3">$C$25*$C8*D8</f>
        <v>3.7800000000000002</v>
      </c>
      <c r="E29" s="32">
        <f t="shared" si="3"/>
        <v>3.7800000000000002</v>
      </c>
      <c r="F29" s="32">
        <f t="shared" si="3"/>
        <v>5.6700000000000008</v>
      </c>
      <c r="G29" s="32">
        <f t="shared" si="3"/>
        <v>2.8350000000000004</v>
      </c>
      <c r="H29" s="32">
        <f t="shared" si="3"/>
        <v>4.7250000000000005</v>
      </c>
      <c r="I29" s="32">
        <f t="shared" si="3"/>
        <v>5.6700000000000008</v>
      </c>
      <c r="J29" s="32">
        <f t="shared" si="3"/>
        <v>9.4500000000000011</v>
      </c>
      <c r="K29" s="32">
        <f t="shared" si="3"/>
        <v>14.175000000000001</v>
      </c>
      <c r="L29" s="32">
        <f t="shared" si="3"/>
        <v>14.175000000000001</v>
      </c>
      <c r="M29" s="32">
        <f t="shared" si="3"/>
        <v>11.340000000000002</v>
      </c>
      <c r="N29" s="32">
        <f t="shared" si="3"/>
        <v>7.5600000000000005</v>
      </c>
      <c r="O29" s="32">
        <f t="shared" si="3"/>
        <v>7.5600000000000005</v>
      </c>
      <c r="P29" s="32">
        <f t="shared" si="3"/>
        <v>6.6150000000000002</v>
      </c>
      <c r="Q29" s="32">
        <f t="shared" si="3"/>
        <v>5.6700000000000008</v>
      </c>
      <c r="R29" s="32">
        <f t="shared" si="3"/>
        <v>3.7800000000000002</v>
      </c>
      <c r="S29" s="32">
        <f t="shared" si="3"/>
        <v>2.8350000000000004</v>
      </c>
      <c r="T29" s="32">
        <f t="shared" si="3"/>
        <v>1.8900000000000001</v>
      </c>
      <c r="U29" s="32">
        <f t="shared" si="3"/>
        <v>1.8900000000000001</v>
      </c>
    </row>
    <row r="30" spans="1:24" x14ac:dyDescent="0.2">
      <c r="A30" s="6" t="s">
        <v>27</v>
      </c>
      <c r="B30" s="6" t="s">
        <v>23</v>
      </c>
      <c r="C30" s="18" t="s">
        <v>39</v>
      </c>
      <c r="D30" s="32">
        <f t="shared" ref="D30:U30" si="4">$C$25*$C9*D9</f>
        <v>12.190499999999998</v>
      </c>
      <c r="E30" s="32">
        <f t="shared" si="4"/>
        <v>30.629340000000003</v>
      </c>
      <c r="F30" s="32">
        <f t="shared" si="4"/>
        <v>44.316719999999997</v>
      </c>
      <c r="G30" s="32">
        <f t="shared" si="4"/>
        <v>63.175139999999992</v>
      </c>
      <c r="H30" s="32">
        <f t="shared" si="4"/>
        <v>96.820920000000001</v>
      </c>
      <c r="I30" s="32">
        <f t="shared" si="4"/>
        <v>130.25124000000002</v>
      </c>
      <c r="J30" s="32">
        <f t="shared" si="4"/>
        <v>107.80938000000002</v>
      </c>
      <c r="K30" s="32">
        <f t="shared" si="4"/>
        <v>80.479979999999998</v>
      </c>
      <c r="L30" s="32">
        <f t="shared" si="4"/>
        <v>38.850839999999998</v>
      </c>
      <c r="M30" s="32">
        <f t="shared" si="4"/>
        <v>22.351140000000001</v>
      </c>
      <c r="N30" s="32">
        <f t="shared" si="4"/>
        <v>22.351140000000001</v>
      </c>
      <c r="O30" s="32">
        <f t="shared" si="4"/>
        <v>17.880912000000002</v>
      </c>
      <c r="P30" s="32">
        <f t="shared" si="4"/>
        <v>18.28575</v>
      </c>
      <c r="Q30" s="32">
        <f t="shared" si="4"/>
        <v>45.944009999999999</v>
      </c>
      <c r="R30" s="32">
        <f t="shared" si="4"/>
        <v>66.475080000000005</v>
      </c>
      <c r="S30" s="32">
        <f t="shared" si="4"/>
        <v>94.762709999999998</v>
      </c>
      <c r="T30" s="32">
        <f t="shared" si="4"/>
        <v>145.23138</v>
      </c>
      <c r="U30" s="32">
        <f t="shared" si="4"/>
        <v>195.37685999999997</v>
      </c>
    </row>
    <row r="31" spans="1:24" x14ac:dyDescent="0.2">
      <c r="A31" s="6" t="s">
        <v>27</v>
      </c>
      <c r="B31" s="6" t="s">
        <v>14</v>
      </c>
      <c r="C31" s="18" t="s">
        <v>40</v>
      </c>
      <c r="D31" s="32">
        <f t="shared" ref="D31:U31" si="5">$C$25*$C10*D10</f>
        <v>23.247</v>
      </c>
      <c r="E31" s="32">
        <f t="shared" si="5"/>
        <v>33.657119999999999</v>
      </c>
      <c r="F31" s="32">
        <f t="shared" si="5"/>
        <v>94.099320000000006</v>
      </c>
      <c r="G31" s="32">
        <f t="shared" si="5"/>
        <v>177.67511999999999</v>
      </c>
      <c r="H31" s="32">
        <f t="shared" si="5"/>
        <v>93.985919999999993</v>
      </c>
      <c r="I31" s="32">
        <f t="shared" si="5"/>
        <v>69.650280000000009</v>
      </c>
      <c r="J31" s="32">
        <f t="shared" si="5"/>
        <v>66.066839999999999</v>
      </c>
      <c r="K31" s="32">
        <f t="shared" si="5"/>
        <v>54.908280000000005</v>
      </c>
      <c r="L31" s="32">
        <f t="shared" si="5"/>
        <v>24.959340000000001</v>
      </c>
      <c r="M31" s="32">
        <f t="shared" si="5"/>
        <v>18.189359999999997</v>
      </c>
      <c r="N31" s="32">
        <f t="shared" si="5"/>
        <v>18.189359999999997</v>
      </c>
      <c r="O31" s="32">
        <f t="shared" si="5"/>
        <v>14.551488000000003</v>
      </c>
      <c r="P31" s="32">
        <f t="shared" si="5"/>
        <v>34.8705</v>
      </c>
      <c r="Q31" s="32">
        <f t="shared" si="5"/>
        <v>50.485679999999995</v>
      </c>
      <c r="R31" s="32">
        <f t="shared" si="5"/>
        <v>141.14897999999999</v>
      </c>
      <c r="S31" s="32">
        <f t="shared" si="5"/>
        <v>266.51268000000005</v>
      </c>
      <c r="T31" s="32">
        <f t="shared" si="5"/>
        <v>140.97888</v>
      </c>
      <c r="U31" s="32">
        <f t="shared" si="5"/>
        <v>104.47541999999999</v>
      </c>
    </row>
    <row r="32" spans="1:24" x14ac:dyDescent="0.2">
      <c r="A32" s="6" t="s">
        <v>27</v>
      </c>
      <c r="B32" s="6" t="s">
        <v>11</v>
      </c>
      <c r="C32" s="18" t="s">
        <v>41</v>
      </c>
      <c r="D32" s="32">
        <f t="shared" ref="D32:U32" si="6">$C$25*$C11*D11</f>
        <v>45.36</v>
      </c>
      <c r="E32" s="32">
        <f t="shared" si="6"/>
        <v>77.422078124999999</v>
      </c>
      <c r="F32" s="32">
        <f t="shared" si="6"/>
        <v>95.378259374999999</v>
      </c>
      <c r="G32" s="32">
        <f t="shared" si="6"/>
        <v>147.85942499999999</v>
      </c>
      <c r="H32" s="32">
        <f t="shared" si="6"/>
        <v>185.82893437500002</v>
      </c>
      <c r="I32" s="32">
        <f t="shared" si="6"/>
        <v>186.69006562499996</v>
      </c>
      <c r="J32" s="32">
        <f t="shared" si="6"/>
        <v>152.65943437499999</v>
      </c>
      <c r="K32" s="32">
        <f t="shared" si="6"/>
        <v>148.73650312500001</v>
      </c>
      <c r="L32" s="32">
        <f t="shared" si="6"/>
        <v>90.323099999999982</v>
      </c>
      <c r="M32" s="32">
        <f t="shared" si="6"/>
        <v>50.982159374999995</v>
      </c>
      <c r="N32" s="32">
        <f t="shared" si="6"/>
        <v>50.982159374999995</v>
      </c>
      <c r="O32" s="32">
        <f t="shared" si="6"/>
        <v>40.7857275</v>
      </c>
      <c r="P32" s="32">
        <f t="shared" si="6"/>
        <v>68.040000000000006</v>
      </c>
      <c r="Q32" s="32">
        <f t="shared" si="6"/>
        <v>116.13311718749999</v>
      </c>
      <c r="R32" s="32">
        <f t="shared" si="6"/>
        <v>143.06738906249998</v>
      </c>
      <c r="S32" s="32">
        <f t="shared" si="6"/>
        <v>221.78913749999995</v>
      </c>
      <c r="T32" s="32">
        <f t="shared" si="6"/>
        <v>278.74340156250003</v>
      </c>
      <c r="U32" s="32">
        <f t="shared" si="6"/>
        <v>280.03509843749998</v>
      </c>
    </row>
    <row r="33" spans="1:21" x14ac:dyDescent="0.2">
      <c r="A33" s="6" t="s">
        <v>27</v>
      </c>
      <c r="B33" s="27" t="s">
        <v>15</v>
      </c>
      <c r="C33" s="28" t="s">
        <v>42</v>
      </c>
      <c r="D33" s="32">
        <f t="shared" ref="D33:U33" si="7">$C$25*$C12*D12</f>
        <v>50.557500000000005</v>
      </c>
      <c r="E33" s="32">
        <f t="shared" si="7"/>
        <v>128.48220000000003</v>
      </c>
      <c r="F33" s="32">
        <f t="shared" si="7"/>
        <v>177.18750000000003</v>
      </c>
      <c r="G33" s="32">
        <f t="shared" si="7"/>
        <v>253.88370000000003</v>
      </c>
      <c r="H33" s="32">
        <f t="shared" si="7"/>
        <v>362.78550000000001</v>
      </c>
      <c r="I33" s="32">
        <f t="shared" si="7"/>
        <v>398.7333000000001</v>
      </c>
      <c r="J33" s="32">
        <f t="shared" si="7"/>
        <v>433.39590000000004</v>
      </c>
      <c r="K33" s="32">
        <f t="shared" si="7"/>
        <v>329.10570000000007</v>
      </c>
      <c r="L33" s="32">
        <f t="shared" si="7"/>
        <v>152.06940000000003</v>
      </c>
      <c r="M33" s="32">
        <f t="shared" si="7"/>
        <v>77.565600000000018</v>
      </c>
      <c r="N33" s="32">
        <f t="shared" si="7"/>
        <v>77.565600000000018</v>
      </c>
      <c r="O33" s="32">
        <f t="shared" si="7"/>
        <v>62.052480000000017</v>
      </c>
      <c r="P33" s="32">
        <f t="shared" si="7"/>
        <v>75.836250000000007</v>
      </c>
      <c r="Q33" s="32">
        <f t="shared" si="7"/>
        <v>192.72330000000002</v>
      </c>
      <c r="R33" s="32">
        <f t="shared" si="7"/>
        <v>265.78125</v>
      </c>
      <c r="S33" s="32">
        <f t="shared" si="7"/>
        <v>380.82555000000013</v>
      </c>
      <c r="T33" s="32">
        <f t="shared" si="7"/>
        <v>544.17825000000016</v>
      </c>
      <c r="U33" s="32">
        <f t="shared" si="7"/>
        <v>598.09995000000015</v>
      </c>
    </row>
    <row r="34" spans="1:21" x14ac:dyDescent="0.2">
      <c r="A34" s="6" t="s">
        <v>27</v>
      </c>
      <c r="B34" s="6" t="s">
        <v>12</v>
      </c>
      <c r="C34" s="18" t="s">
        <v>43</v>
      </c>
      <c r="D34" s="32">
        <f t="shared" ref="D34:U34" si="8">$C$25*$C13*D13</f>
        <v>3.3075000000000001</v>
      </c>
      <c r="E34" s="32">
        <f t="shared" si="8"/>
        <v>8.1081000000000021</v>
      </c>
      <c r="F34" s="32">
        <f t="shared" si="8"/>
        <v>18.106200000000005</v>
      </c>
      <c r="G34" s="32">
        <f t="shared" si="8"/>
        <v>17.964450000000003</v>
      </c>
      <c r="H34" s="32">
        <f t="shared" si="8"/>
        <v>22.387050000000002</v>
      </c>
      <c r="I34" s="32">
        <f t="shared" si="8"/>
        <v>26.838000000000001</v>
      </c>
      <c r="J34" s="32">
        <f t="shared" si="8"/>
        <v>31.666950000000007</v>
      </c>
      <c r="K34" s="32">
        <f t="shared" si="8"/>
        <v>41.287050000000008</v>
      </c>
      <c r="L34" s="32">
        <f t="shared" si="8"/>
        <v>17.794350000000005</v>
      </c>
      <c r="M34" s="32">
        <f t="shared" si="8"/>
        <v>11.916450000000003</v>
      </c>
      <c r="N34" s="32">
        <f t="shared" si="8"/>
        <v>11.916450000000003</v>
      </c>
      <c r="O34" s="32">
        <f t="shared" si="8"/>
        <v>9.5331600000000005</v>
      </c>
      <c r="P34" s="32">
        <f t="shared" si="8"/>
        <v>4.9612500000000006</v>
      </c>
      <c r="Q34" s="32">
        <f t="shared" si="8"/>
        <v>12.162150000000002</v>
      </c>
      <c r="R34" s="32">
        <f t="shared" si="8"/>
        <v>27.159300000000005</v>
      </c>
      <c r="S34" s="32">
        <f t="shared" si="8"/>
        <v>26.946675000000006</v>
      </c>
      <c r="T34" s="32">
        <f t="shared" si="8"/>
        <v>33.58057500000001</v>
      </c>
      <c r="U34" s="32">
        <f t="shared" si="8"/>
        <v>40.257000000000005</v>
      </c>
    </row>
    <row r="35" spans="1:21" x14ac:dyDescent="0.2">
      <c r="A35" s="6" t="s">
        <v>27</v>
      </c>
      <c r="B35" s="6" t="s">
        <v>19</v>
      </c>
      <c r="C35" s="18" t="s">
        <v>44</v>
      </c>
      <c r="D35" s="32">
        <f t="shared" ref="D35:U35" si="9">$C$25*$C14*D14</f>
        <v>4.8194999999999997</v>
      </c>
      <c r="E35" s="32">
        <f t="shared" si="9"/>
        <v>5.3751600000000002</v>
      </c>
      <c r="F35" s="32">
        <f t="shared" si="9"/>
        <v>4.2354899999999995</v>
      </c>
      <c r="G35" s="32">
        <f t="shared" si="9"/>
        <v>5.4687149999999995</v>
      </c>
      <c r="H35" s="32">
        <f t="shared" si="9"/>
        <v>7.7650649999999999</v>
      </c>
      <c r="I35" s="32">
        <f t="shared" si="9"/>
        <v>9.3725100000000001</v>
      </c>
      <c r="J35" s="32">
        <f t="shared" si="9"/>
        <v>8.1137699999999988</v>
      </c>
      <c r="K35" s="32">
        <f t="shared" si="9"/>
        <v>14.47551</v>
      </c>
      <c r="L35" s="32">
        <f t="shared" si="9"/>
        <v>13.607999999999999</v>
      </c>
      <c r="M35" s="32">
        <f t="shared" si="9"/>
        <v>9.2789549999999998</v>
      </c>
      <c r="N35" s="32">
        <f t="shared" si="9"/>
        <v>9.2789549999999998</v>
      </c>
      <c r="O35" s="32">
        <f t="shared" si="9"/>
        <v>7.4231639999999999</v>
      </c>
      <c r="P35" s="32">
        <f t="shared" si="9"/>
        <v>7.2292499999999995</v>
      </c>
      <c r="Q35" s="32">
        <f t="shared" si="9"/>
        <v>8.0627400000000016</v>
      </c>
      <c r="R35" s="32">
        <f t="shared" si="9"/>
        <v>6.3532350000000006</v>
      </c>
      <c r="S35" s="32">
        <f t="shared" si="9"/>
        <v>8.2030724999999993</v>
      </c>
      <c r="T35" s="32">
        <f t="shared" si="9"/>
        <v>11.6475975</v>
      </c>
      <c r="U35" s="32">
        <f t="shared" si="9"/>
        <v>14.058765000000003</v>
      </c>
    </row>
    <row r="36" spans="1:21" x14ac:dyDescent="0.2">
      <c r="A36" s="6" t="s">
        <v>27</v>
      </c>
      <c r="B36" s="27" t="s">
        <v>16</v>
      </c>
      <c r="C36" s="28" t="s">
        <v>45</v>
      </c>
      <c r="D36" s="32">
        <f t="shared" ref="D36:U36" si="10">$C$25*$C15*D15</f>
        <v>16.632000000000001</v>
      </c>
      <c r="E36" s="32">
        <f t="shared" si="10"/>
        <v>109.03410000000002</v>
      </c>
      <c r="F36" s="32">
        <f t="shared" si="10"/>
        <v>208.18539000000001</v>
      </c>
      <c r="G36" s="32">
        <f t="shared" si="10"/>
        <v>318.66534000000001</v>
      </c>
      <c r="H36" s="32">
        <f t="shared" si="10"/>
        <v>375.37668000000002</v>
      </c>
      <c r="I36" s="32">
        <f t="shared" si="10"/>
        <v>310.70465999999999</v>
      </c>
      <c r="J36" s="32">
        <f t="shared" si="10"/>
        <v>294.05187000000006</v>
      </c>
      <c r="K36" s="32">
        <f t="shared" si="10"/>
        <v>246.33882</v>
      </c>
      <c r="L36" s="32">
        <f t="shared" si="10"/>
        <v>112.36805999999999</v>
      </c>
      <c r="M36" s="32">
        <f t="shared" si="10"/>
        <v>64.706040000000016</v>
      </c>
      <c r="N36" s="32">
        <f t="shared" si="10"/>
        <v>64.706040000000016</v>
      </c>
      <c r="O36" s="32">
        <f t="shared" si="10"/>
        <v>51.764832000000013</v>
      </c>
      <c r="P36" s="32">
        <f t="shared" si="10"/>
        <v>24.948</v>
      </c>
      <c r="Q36" s="32">
        <f t="shared" si="10"/>
        <v>163.55115000000001</v>
      </c>
      <c r="R36" s="32">
        <f t="shared" si="10"/>
        <v>312.27808500000003</v>
      </c>
      <c r="S36" s="32">
        <f t="shared" si="10"/>
        <v>477.99801000000008</v>
      </c>
      <c r="T36" s="32">
        <f t="shared" si="10"/>
        <v>563.06502000000012</v>
      </c>
      <c r="U36" s="32">
        <f t="shared" si="10"/>
        <v>466.05699000000004</v>
      </c>
    </row>
    <row r="37" spans="1:21" x14ac:dyDescent="0.2">
      <c r="A37" s="6" t="s">
        <v>27</v>
      </c>
      <c r="B37" s="27" t="s">
        <v>17</v>
      </c>
      <c r="C37" s="28" t="s">
        <v>46</v>
      </c>
      <c r="D37" s="32">
        <f t="shared" ref="D37:U37" si="11">$C$25*$C16*D16</f>
        <v>12.474</v>
      </c>
      <c r="E37" s="32">
        <f t="shared" si="11"/>
        <v>40.652482499999998</v>
      </c>
      <c r="F37" s="32">
        <f t="shared" si="11"/>
        <v>62.333145000000002</v>
      </c>
      <c r="G37" s="32">
        <f t="shared" si="11"/>
        <v>78.735037500000004</v>
      </c>
      <c r="H37" s="32">
        <f t="shared" si="11"/>
        <v>151.88370750000001</v>
      </c>
      <c r="I37" s="32">
        <f t="shared" si="11"/>
        <v>168.9107175</v>
      </c>
      <c r="J37" s="32">
        <f t="shared" si="11"/>
        <v>201.13899749999999</v>
      </c>
      <c r="K37" s="32">
        <f t="shared" si="11"/>
        <v>121.18349250000001</v>
      </c>
      <c r="L37" s="32">
        <f t="shared" si="11"/>
        <v>60.209730000000008</v>
      </c>
      <c r="M37" s="32">
        <f t="shared" si="11"/>
        <v>41.853105000000006</v>
      </c>
      <c r="N37" s="32">
        <f t="shared" si="11"/>
        <v>41.853105000000006</v>
      </c>
      <c r="O37" s="32">
        <f t="shared" si="11"/>
        <v>33.482484000000007</v>
      </c>
      <c r="P37" s="32">
        <f t="shared" si="11"/>
        <v>18.710999999999999</v>
      </c>
      <c r="Q37" s="32">
        <f t="shared" si="11"/>
        <v>60.978723750000007</v>
      </c>
      <c r="R37" s="32">
        <f t="shared" si="11"/>
        <v>93.499717500000017</v>
      </c>
      <c r="S37" s="32">
        <f t="shared" si="11"/>
        <v>118.10255625000001</v>
      </c>
      <c r="T37" s="32">
        <f t="shared" si="11"/>
        <v>227.82556125000002</v>
      </c>
      <c r="U37" s="32">
        <f t="shared" si="11"/>
        <v>253.36607625000005</v>
      </c>
    </row>
    <row r="38" spans="1:21" x14ac:dyDescent="0.2">
      <c r="A38" s="6" t="s">
        <v>27</v>
      </c>
      <c r="B38" s="27" t="s">
        <v>18</v>
      </c>
      <c r="C38" s="28" t="s">
        <v>47</v>
      </c>
      <c r="D38" s="32">
        <f t="shared" ref="D38:U38" si="12">$C$25*$C17*D17</f>
        <v>48.195</v>
      </c>
      <c r="E38" s="32">
        <f t="shared" si="12"/>
        <v>117.87929999999999</v>
      </c>
      <c r="F38" s="32">
        <f t="shared" si="12"/>
        <v>206.74804499999999</v>
      </c>
      <c r="G38" s="32">
        <f t="shared" si="12"/>
        <v>375.27462000000008</v>
      </c>
      <c r="H38" s="32">
        <f t="shared" si="12"/>
        <v>436.25547000000006</v>
      </c>
      <c r="I38" s="32">
        <f t="shared" si="12"/>
        <v>367.03327499999989</v>
      </c>
      <c r="J38" s="32">
        <f t="shared" si="12"/>
        <v>332.99626499999994</v>
      </c>
      <c r="K38" s="32">
        <f t="shared" si="12"/>
        <v>312.48220499999996</v>
      </c>
      <c r="L38" s="32">
        <f t="shared" si="12"/>
        <v>155.02914000000001</v>
      </c>
      <c r="M38" s="32">
        <f t="shared" si="12"/>
        <v>255.27757499999996</v>
      </c>
      <c r="N38" s="32">
        <f t="shared" si="12"/>
        <v>141.75</v>
      </c>
      <c r="O38" s="32">
        <f t="shared" si="12"/>
        <v>113.4</v>
      </c>
      <c r="P38" s="32">
        <f t="shared" si="12"/>
        <v>72.292500000000004</v>
      </c>
      <c r="Q38" s="32">
        <f t="shared" si="12"/>
        <v>176.81895</v>
      </c>
      <c r="R38" s="32">
        <f t="shared" si="12"/>
        <v>310.12206750000001</v>
      </c>
      <c r="S38" s="32">
        <f t="shared" si="12"/>
        <v>562.91192999999998</v>
      </c>
      <c r="T38" s="32">
        <f t="shared" si="12"/>
        <v>654.38320500000009</v>
      </c>
      <c r="U38" s="32">
        <f t="shared" si="12"/>
        <v>550.5499125</v>
      </c>
    </row>
    <row r="39" spans="1:21" x14ac:dyDescent="0.2">
      <c r="A39" s="6" t="s">
        <v>27</v>
      </c>
      <c r="B39" s="6" t="s">
        <v>22</v>
      </c>
      <c r="C39" s="6" t="s">
        <v>48</v>
      </c>
      <c r="D39" s="32">
        <f t="shared" ref="D39:U39" si="13">$C$25*$C18*D18</f>
        <v>14.175000000000001</v>
      </c>
      <c r="E39" s="32">
        <f t="shared" si="13"/>
        <v>32.939864999999998</v>
      </c>
      <c r="F39" s="32">
        <f t="shared" si="13"/>
        <v>52.458839999999995</v>
      </c>
      <c r="G39" s="32">
        <f t="shared" si="13"/>
        <v>104.50943999999998</v>
      </c>
      <c r="H39" s="32">
        <f t="shared" si="13"/>
        <v>89.812799999999996</v>
      </c>
      <c r="I39" s="32">
        <f t="shared" si="13"/>
        <v>93.25732499999998</v>
      </c>
      <c r="J39" s="32">
        <f t="shared" si="13"/>
        <v>105.759675</v>
      </c>
      <c r="K39" s="32">
        <f t="shared" si="13"/>
        <v>63.991619999999998</v>
      </c>
      <c r="L39" s="32">
        <f t="shared" si="13"/>
        <v>34.674884999999996</v>
      </c>
      <c r="M39" s="32">
        <f t="shared" si="13"/>
        <v>27.250019999999996</v>
      </c>
      <c r="N39" s="32">
        <f t="shared" si="13"/>
        <v>27.250019999999996</v>
      </c>
      <c r="O39" s="32">
        <f t="shared" si="13"/>
        <v>21.800015999999999</v>
      </c>
      <c r="P39" s="32">
        <f t="shared" si="13"/>
        <v>21.262499999999999</v>
      </c>
      <c r="Q39" s="32">
        <f t="shared" si="13"/>
        <v>49.409797499999996</v>
      </c>
      <c r="R39" s="32">
        <f t="shared" si="13"/>
        <v>78.68826</v>
      </c>
      <c r="S39" s="32">
        <f t="shared" si="13"/>
        <v>156.76416</v>
      </c>
      <c r="T39" s="32">
        <f t="shared" si="13"/>
        <v>134.7192</v>
      </c>
      <c r="U39" s="32">
        <f t="shared" si="13"/>
        <v>139.88598749999997</v>
      </c>
    </row>
    <row r="40" spans="1:21" x14ac:dyDescent="0.2">
      <c r="A40" s="6" t="s">
        <v>27</v>
      </c>
      <c r="B40" s="6" t="s">
        <v>13</v>
      </c>
      <c r="C40" s="18" t="s">
        <v>49</v>
      </c>
      <c r="D40" s="32">
        <f t="shared" ref="D40:U40" si="14">$C$25*$C19*D19</f>
        <v>5.67</v>
      </c>
      <c r="E40" s="32">
        <f t="shared" si="14"/>
        <v>52.152660000000004</v>
      </c>
      <c r="F40" s="32">
        <f t="shared" si="14"/>
        <v>76.862520000000004</v>
      </c>
      <c r="G40" s="32">
        <f t="shared" si="14"/>
        <v>97.127100000000013</v>
      </c>
      <c r="H40" s="32">
        <f t="shared" si="14"/>
        <v>154.68894</v>
      </c>
      <c r="I40" s="32">
        <f t="shared" si="14"/>
        <v>180.68022000000002</v>
      </c>
      <c r="J40" s="32">
        <f t="shared" si="14"/>
        <v>203.21280000000004</v>
      </c>
      <c r="K40" s="32">
        <f t="shared" si="14"/>
        <v>150.49314000000001</v>
      </c>
      <c r="L40" s="32">
        <f t="shared" si="14"/>
        <v>63.82152</v>
      </c>
      <c r="M40" s="32">
        <f t="shared" si="14"/>
        <v>40.687920000000005</v>
      </c>
      <c r="N40" s="32">
        <f t="shared" si="14"/>
        <v>40.687920000000005</v>
      </c>
      <c r="O40" s="32">
        <f t="shared" si="14"/>
        <v>32.550336000000009</v>
      </c>
      <c r="P40" s="32">
        <f t="shared" si="14"/>
        <v>8.5050000000000008</v>
      </c>
      <c r="Q40" s="32">
        <f t="shared" si="14"/>
        <v>78.228989999999996</v>
      </c>
      <c r="R40" s="32">
        <f t="shared" si="14"/>
        <v>115.29378</v>
      </c>
      <c r="S40" s="32">
        <f t="shared" si="14"/>
        <v>145.69065000000001</v>
      </c>
      <c r="T40" s="32">
        <f t="shared" si="14"/>
        <v>232.03341</v>
      </c>
      <c r="U40" s="32">
        <f t="shared" si="14"/>
        <v>271.02033</v>
      </c>
    </row>
    <row r="41" spans="1:21" x14ac:dyDescent="0.2">
      <c r="A41" s="6" t="s">
        <v>27</v>
      </c>
      <c r="B41" s="27" t="s">
        <v>20</v>
      </c>
      <c r="C41" s="28" t="s">
        <v>50</v>
      </c>
      <c r="D41" s="32">
        <f t="shared" ref="D41:U41" si="15">$C$25*$C20*D20</f>
        <v>10.867500000000001</v>
      </c>
      <c r="E41" s="32">
        <f t="shared" si="15"/>
        <v>21.489300000000004</v>
      </c>
      <c r="F41" s="32">
        <f t="shared" si="15"/>
        <v>25.103925</v>
      </c>
      <c r="G41" s="32">
        <f t="shared" si="15"/>
        <v>39.888449999999999</v>
      </c>
      <c r="H41" s="32">
        <f t="shared" si="15"/>
        <v>63.872550000000011</v>
      </c>
      <c r="I41" s="32">
        <f t="shared" si="15"/>
        <v>77.211225000000013</v>
      </c>
      <c r="J41" s="32">
        <f t="shared" si="15"/>
        <v>81.690524999999994</v>
      </c>
      <c r="K41" s="32">
        <f t="shared" si="15"/>
        <v>60.371325000000006</v>
      </c>
      <c r="L41" s="32">
        <f t="shared" si="15"/>
        <v>37.833075000000001</v>
      </c>
      <c r="M41" s="32">
        <f t="shared" si="15"/>
        <v>24.905475000000003</v>
      </c>
      <c r="N41" s="32">
        <f t="shared" si="15"/>
        <v>24.905475000000003</v>
      </c>
      <c r="O41" s="32">
        <f t="shared" si="15"/>
        <v>19.924380000000006</v>
      </c>
      <c r="P41" s="32">
        <f t="shared" si="15"/>
        <v>16.301250000000003</v>
      </c>
      <c r="Q41" s="32">
        <f t="shared" si="15"/>
        <v>32.233950000000007</v>
      </c>
      <c r="R41" s="32">
        <f t="shared" si="15"/>
        <v>37.655887499999999</v>
      </c>
      <c r="S41" s="32">
        <f t="shared" si="15"/>
        <v>59.832675000000009</v>
      </c>
      <c r="T41" s="32">
        <f t="shared" si="15"/>
        <v>95.808824999999999</v>
      </c>
      <c r="U41" s="32">
        <f t="shared" si="15"/>
        <v>115.81683749999998</v>
      </c>
    </row>
    <row r="42" spans="1:21" x14ac:dyDescent="0.2">
      <c r="A42" s="6" t="s">
        <v>28</v>
      </c>
      <c r="B42" s="6" t="s">
        <v>21</v>
      </c>
      <c r="C42" s="18" t="s">
        <v>37</v>
      </c>
      <c r="D42" s="32">
        <f>$C$25*(1-$C7)*D7</f>
        <v>140.33250000000004</v>
      </c>
      <c r="E42" s="32">
        <f t="shared" ref="E42:U42" si="16">$C$25*(1-$C7)*E7</f>
        <v>207.72399375000003</v>
      </c>
      <c r="F42" s="32">
        <f t="shared" si="16"/>
        <v>301.97002500000002</v>
      </c>
      <c r="G42" s="32">
        <f t="shared" si="16"/>
        <v>485.29530000000011</v>
      </c>
      <c r="H42" s="32">
        <f t="shared" si="16"/>
        <v>422.91112500000003</v>
      </c>
      <c r="I42" s="32">
        <f t="shared" si="16"/>
        <v>412.29050625000002</v>
      </c>
      <c r="J42" s="32">
        <f t="shared" si="16"/>
        <v>638.57666250000011</v>
      </c>
      <c r="K42" s="32">
        <f t="shared" si="16"/>
        <v>639.72483750000004</v>
      </c>
      <c r="L42" s="32">
        <f t="shared" si="16"/>
        <v>270.01248750000002</v>
      </c>
      <c r="M42" s="32">
        <f t="shared" si="16"/>
        <v>144.8614125</v>
      </c>
      <c r="N42" s="32">
        <f t="shared" si="16"/>
        <v>144.8614125</v>
      </c>
      <c r="O42" s="32">
        <f t="shared" si="16"/>
        <v>115.88913000000004</v>
      </c>
      <c r="P42" s="32">
        <f t="shared" si="16"/>
        <v>210.49875000000003</v>
      </c>
      <c r="Q42" s="32">
        <f t="shared" si="16"/>
        <v>311.58599062500008</v>
      </c>
      <c r="R42" s="32">
        <f t="shared" si="16"/>
        <v>452.95503750000006</v>
      </c>
      <c r="S42" s="32">
        <f t="shared" si="16"/>
        <v>727.94295</v>
      </c>
      <c r="T42" s="32">
        <f t="shared" si="16"/>
        <v>634.36668750000013</v>
      </c>
      <c r="U42" s="32">
        <f t="shared" si="16"/>
        <v>618.43575937500009</v>
      </c>
    </row>
    <row r="43" spans="1:21" x14ac:dyDescent="0.2">
      <c r="A43" s="6" t="s">
        <v>28</v>
      </c>
      <c r="B43" s="6" t="s">
        <v>10</v>
      </c>
      <c r="C43" s="6" t="s">
        <v>38</v>
      </c>
      <c r="D43" s="32">
        <f t="shared" ref="D43:U43" si="17">$C$25*(1-$C8)*D8</f>
        <v>34.020000000000003</v>
      </c>
      <c r="E43" s="32">
        <f t="shared" si="17"/>
        <v>34.020000000000003</v>
      </c>
      <c r="F43" s="32">
        <f t="shared" si="17"/>
        <v>51.03</v>
      </c>
      <c r="G43" s="32">
        <f t="shared" si="17"/>
        <v>25.515000000000001</v>
      </c>
      <c r="H43" s="32">
        <f t="shared" si="17"/>
        <v>42.525000000000006</v>
      </c>
      <c r="I43" s="32">
        <f t="shared" si="17"/>
        <v>51.03</v>
      </c>
      <c r="J43" s="32">
        <f t="shared" si="17"/>
        <v>85.050000000000011</v>
      </c>
      <c r="K43" s="32">
        <f t="shared" si="17"/>
        <v>127.575</v>
      </c>
      <c r="L43" s="32">
        <f t="shared" si="17"/>
        <v>127.575</v>
      </c>
      <c r="M43" s="32">
        <f t="shared" si="17"/>
        <v>102.06</v>
      </c>
      <c r="N43" s="32">
        <f t="shared" si="17"/>
        <v>68.040000000000006</v>
      </c>
      <c r="O43" s="32">
        <f t="shared" si="17"/>
        <v>68.040000000000006</v>
      </c>
      <c r="P43" s="32">
        <f t="shared" si="17"/>
        <v>59.535000000000004</v>
      </c>
      <c r="Q43" s="32">
        <f t="shared" si="17"/>
        <v>51.03</v>
      </c>
      <c r="R43" s="32">
        <f t="shared" si="17"/>
        <v>34.020000000000003</v>
      </c>
      <c r="S43" s="32">
        <f t="shared" si="17"/>
        <v>25.515000000000001</v>
      </c>
      <c r="T43" s="32">
        <f t="shared" si="17"/>
        <v>17.010000000000002</v>
      </c>
      <c r="U43" s="32">
        <f t="shared" si="17"/>
        <v>17.010000000000002</v>
      </c>
    </row>
    <row r="44" spans="1:21" x14ac:dyDescent="0.2">
      <c r="A44" s="6" t="s">
        <v>28</v>
      </c>
      <c r="B44" s="6" t="s">
        <v>23</v>
      </c>
      <c r="C44" s="18" t="s">
        <v>39</v>
      </c>
      <c r="D44" s="32">
        <f t="shared" ref="D44:U44" si="18">$C$25*(1-$C9)*D9</f>
        <v>69.079499999999996</v>
      </c>
      <c r="E44" s="32">
        <f t="shared" si="18"/>
        <v>173.56626</v>
      </c>
      <c r="F44" s="32">
        <f t="shared" si="18"/>
        <v>251.12807999999995</v>
      </c>
      <c r="G44" s="32">
        <f t="shared" si="18"/>
        <v>357.99245999999994</v>
      </c>
      <c r="H44" s="32">
        <f t="shared" si="18"/>
        <v>548.65188000000001</v>
      </c>
      <c r="I44" s="32">
        <f t="shared" si="18"/>
        <v>738.09036000000003</v>
      </c>
      <c r="J44" s="32">
        <f t="shared" si="18"/>
        <v>610.91982000000007</v>
      </c>
      <c r="K44" s="32">
        <f t="shared" si="18"/>
        <v>456.05321999999995</v>
      </c>
      <c r="L44" s="32">
        <f t="shared" si="18"/>
        <v>220.15475999999995</v>
      </c>
      <c r="M44" s="32">
        <f t="shared" si="18"/>
        <v>126.65646</v>
      </c>
      <c r="N44" s="32">
        <f t="shared" si="18"/>
        <v>126.65646</v>
      </c>
      <c r="O44" s="32">
        <f t="shared" si="18"/>
        <v>101.32516799999999</v>
      </c>
      <c r="P44" s="32">
        <f t="shared" si="18"/>
        <v>103.61925000000001</v>
      </c>
      <c r="Q44" s="32">
        <f t="shared" si="18"/>
        <v>260.34938999999997</v>
      </c>
      <c r="R44" s="32">
        <f t="shared" si="18"/>
        <v>376.69211999999999</v>
      </c>
      <c r="S44" s="32">
        <f t="shared" si="18"/>
        <v>536.98869000000002</v>
      </c>
      <c r="T44" s="32">
        <f t="shared" si="18"/>
        <v>822.97781999999995</v>
      </c>
      <c r="U44" s="32">
        <f t="shared" si="18"/>
        <v>1107.1355399999998</v>
      </c>
    </row>
    <row r="45" spans="1:21" x14ac:dyDescent="0.2">
      <c r="A45" s="6" t="s">
        <v>28</v>
      </c>
      <c r="B45" s="6" t="s">
        <v>14</v>
      </c>
      <c r="C45" s="18" t="s">
        <v>40</v>
      </c>
      <c r="D45" s="32">
        <f t="shared" ref="D45:U45" si="19">$C$25*(1-$C10)*D10</f>
        <v>54.242999999999995</v>
      </c>
      <c r="E45" s="32">
        <f t="shared" si="19"/>
        <v>78.533280000000005</v>
      </c>
      <c r="F45" s="32">
        <f t="shared" si="19"/>
        <v>219.56507999999999</v>
      </c>
      <c r="G45" s="32">
        <f t="shared" si="19"/>
        <v>414.57528000000002</v>
      </c>
      <c r="H45" s="32">
        <f t="shared" si="19"/>
        <v>219.30047999999999</v>
      </c>
      <c r="I45" s="32">
        <f t="shared" si="19"/>
        <v>162.51732000000001</v>
      </c>
      <c r="J45" s="32">
        <f t="shared" si="19"/>
        <v>154.15595999999999</v>
      </c>
      <c r="K45" s="32">
        <f t="shared" si="19"/>
        <v>128.11932000000002</v>
      </c>
      <c r="L45" s="32">
        <f t="shared" si="19"/>
        <v>58.238460000000003</v>
      </c>
      <c r="M45" s="32">
        <f t="shared" si="19"/>
        <v>42.441839999999992</v>
      </c>
      <c r="N45" s="32">
        <f t="shared" si="19"/>
        <v>42.441839999999992</v>
      </c>
      <c r="O45" s="32">
        <f t="shared" si="19"/>
        <v>33.953472000000005</v>
      </c>
      <c r="P45" s="32">
        <f t="shared" si="19"/>
        <v>81.364500000000007</v>
      </c>
      <c r="Q45" s="32">
        <f t="shared" si="19"/>
        <v>117.79991999999999</v>
      </c>
      <c r="R45" s="32">
        <f t="shared" si="19"/>
        <v>329.34762000000001</v>
      </c>
      <c r="S45" s="32">
        <f t="shared" si="19"/>
        <v>621.86292000000003</v>
      </c>
      <c r="T45" s="32">
        <f t="shared" si="19"/>
        <v>328.95071999999999</v>
      </c>
      <c r="U45" s="32">
        <f t="shared" si="19"/>
        <v>243.77597999999995</v>
      </c>
    </row>
    <row r="46" spans="1:21" x14ac:dyDescent="0.2">
      <c r="A46" s="6" t="s">
        <v>28</v>
      </c>
      <c r="B46" s="6" t="s">
        <v>11</v>
      </c>
      <c r="C46" s="18" t="s">
        <v>41</v>
      </c>
      <c r="D46" s="32">
        <f t="shared" ref="D46:U46" si="20">$C$25*(1-$C11)*D11</f>
        <v>257.03999999999996</v>
      </c>
      <c r="E46" s="32">
        <f t="shared" si="20"/>
        <v>438.72510937499993</v>
      </c>
      <c r="F46" s="32">
        <f t="shared" si="20"/>
        <v>540.47680312499995</v>
      </c>
      <c r="G46" s="32">
        <f t="shared" si="20"/>
        <v>837.87007499999982</v>
      </c>
      <c r="H46" s="32">
        <f t="shared" si="20"/>
        <v>1053.030628125</v>
      </c>
      <c r="I46" s="32">
        <f t="shared" si="20"/>
        <v>1057.9103718749998</v>
      </c>
      <c r="J46" s="32">
        <f t="shared" si="20"/>
        <v>865.07012812499988</v>
      </c>
      <c r="K46" s="32">
        <f t="shared" si="20"/>
        <v>842.84018437499992</v>
      </c>
      <c r="L46" s="32">
        <f t="shared" si="20"/>
        <v>511.83089999999987</v>
      </c>
      <c r="M46" s="32">
        <f t="shared" si="20"/>
        <v>288.89890312499995</v>
      </c>
      <c r="N46" s="32">
        <f t="shared" si="20"/>
        <v>288.89890312499995</v>
      </c>
      <c r="O46" s="32">
        <f t="shared" si="20"/>
        <v>231.11912249999997</v>
      </c>
      <c r="P46" s="32">
        <f t="shared" si="20"/>
        <v>385.56</v>
      </c>
      <c r="Q46" s="32">
        <f t="shared" si="20"/>
        <v>658.08766406249993</v>
      </c>
      <c r="R46" s="32">
        <f t="shared" si="20"/>
        <v>810.71520468749986</v>
      </c>
      <c r="S46" s="32">
        <f t="shared" si="20"/>
        <v>1256.8051124999997</v>
      </c>
      <c r="T46" s="32">
        <f t="shared" si="20"/>
        <v>1579.5459421875</v>
      </c>
      <c r="U46" s="32">
        <f t="shared" si="20"/>
        <v>1586.8655578124999</v>
      </c>
    </row>
    <row r="47" spans="1:21" x14ac:dyDescent="0.2">
      <c r="A47" s="6" t="s">
        <v>28</v>
      </c>
      <c r="B47" s="27" t="s">
        <v>15</v>
      </c>
      <c r="C47" s="28" t="s">
        <v>42</v>
      </c>
      <c r="D47" s="32">
        <f t="shared" ref="D47:U47" si="21">$C$25*(1-$C12)*D12</f>
        <v>202.23000000000002</v>
      </c>
      <c r="E47" s="32">
        <f t="shared" si="21"/>
        <v>513.92880000000014</v>
      </c>
      <c r="F47" s="32">
        <f t="shared" si="21"/>
        <v>708.75000000000011</v>
      </c>
      <c r="G47" s="32">
        <f t="shared" si="21"/>
        <v>1015.5348000000001</v>
      </c>
      <c r="H47" s="32">
        <f t="shared" si="21"/>
        <v>1451.1420000000001</v>
      </c>
      <c r="I47" s="32">
        <f t="shared" si="21"/>
        <v>1594.9332000000004</v>
      </c>
      <c r="J47" s="32">
        <f t="shared" si="21"/>
        <v>1733.5836000000002</v>
      </c>
      <c r="K47" s="32">
        <f t="shared" si="21"/>
        <v>1316.4228000000003</v>
      </c>
      <c r="L47" s="32">
        <f t="shared" si="21"/>
        <v>608.27760000000012</v>
      </c>
      <c r="M47" s="32">
        <f t="shared" si="21"/>
        <v>310.26240000000007</v>
      </c>
      <c r="N47" s="32">
        <f t="shared" si="21"/>
        <v>310.26240000000007</v>
      </c>
      <c r="O47" s="32">
        <f t="shared" si="21"/>
        <v>248.20992000000007</v>
      </c>
      <c r="P47" s="32">
        <f t="shared" si="21"/>
        <v>303.34500000000003</v>
      </c>
      <c r="Q47" s="32">
        <f t="shared" si="21"/>
        <v>770.89320000000009</v>
      </c>
      <c r="R47" s="32">
        <f t="shared" si="21"/>
        <v>1063.125</v>
      </c>
      <c r="S47" s="32">
        <f t="shared" si="21"/>
        <v>1523.3022000000005</v>
      </c>
      <c r="T47" s="32">
        <f t="shared" si="21"/>
        <v>2176.7130000000006</v>
      </c>
      <c r="U47" s="32">
        <f t="shared" si="21"/>
        <v>2392.3998000000006</v>
      </c>
    </row>
    <row r="48" spans="1:21" x14ac:dyDescent="0.2">
      <c r="A48" s="6" t="s">
        <v>28</v>
      </c>
      <c r="B48" s="6" t="s">
        <v>12</v>
      </c>
      <c r="C48" s="18" t="s">
        <v>43</v>
      </c>
      <c r="D48" s="32">
        <f t="shared" ref="D48:U48" si="22">$C$25*(1-$C13)*D13</f>
        <v>29.767500000000002</v>
      </c>
      <c r="E48" s="32">
        <f t="shared" si="22"/>
        <v>72.972900000000024</v>
      </c>
      <c r="F48" s="32">
        <f t="shared" si="22"/>
        <v>162.95580000000004</v>
      </c>
      <c r="G48" s="32">
        <f t="shared" si="22"/>
        <v>161.68005000000002</v>
      </c>
      <c r="H48" s="32">
        <f t="shared" si="22"/>
        <v>201.48345000000003</v>
      </c>
      <c r="I48" s="32">
        <f t="shared" si="22"/>
        <v>241.542</v>
      </c>
      <c r="J48" s="32">
        <f t="shared" si="22"/>
        <v>285.00255000000004</v>
      </c>
      <c r="K48" s="32">
        <f t="shared" si="22"/>
        <v>371.58345000000008</v>
      </c>
      <c r="L48" s="32">
        <f t="shared" si="22"/>
        <v>160.14915000000005</v>
      </c>
      <c r="M48" s="32">
        <f t="shared" si="22"/>
        <v>107.24805000000002</v>
      </c>
      <c r="N48" s="32">
        <f t="shared" si="22"/>
        <v>107.24805000000002</v>
      </c>
      <c r="O48" s="32">
        <f t="shared" si="22"/>
        <v>85.798440000000014</v>
      </c>
      <c r="P48" s="32">
        <f t="shared" si="22"/>
        <v>44.651250000000005</v>
      </c>
      <c r="Q48" s="32">
        <f t="shared" si="22"/>
        <v>109.45935000000001</v>
      </c>
      <c r="R48" s="32">
        <f t="shared" si="22"/>
        <v>244.43370000000004</v>
      </c>
      <c r="S48" s="32">
        <f t="shared" si="22"/>
        <v>242.52007500000005</v>
      </c>
      <c r="T48" s="32">
        <f t="shared" si="22"/>
        <v>302.22517500000009</v>
      </c>
      <c r="U48" s="32">
        <f t="shared" si="22"/>
        <v>362.31300000000005</v>
      </c>
    </row>
    <row r="49" spans="1:21" x14ac:dyDescent="0.2">
      <c r="A49" s="6" t="s">
        <v>28</v>
      </c>
      <c r="B49" s="6" t="s">
        <v>19</v>
      </c>
      <c r="C49" s="18" t="s">
        <v>44</v>
      </c>
      <c r="D49" s="32">
        <f t="shared" ref="D49:U49" si="23">$C$25*(1-$C14)*D14</f>
        <v>27.310499999999998</v>
      </c>
      <c r="E49" s="32">
        <f t="shared" si="23"/>
        <v>30.459239999999998</v>
      </c>
      <c r="F49" s="32">
        <f t="shared" si="23"/>
        <v>24.001109999999997</v>
      </c>
      <c r="G49" s="32">
        <f t="shared" si="23"/>
        <v>30.989384999999995</v>
      </c>
      <c r="H49" s="32">
        <f t="shared" si="23"/>
        <v>44.002034999999999</v>
      </c>
      <c r="I49" s="32">
        <f t="shared" si="23"/>
        <v>53.110889999999998</v>
      </c>
      <c r="J49" s="32">
        <f t="shared" si="23"/>
        <v>45.97802999999999</v>
      </c>
      <c r="K49" s="32">
        <f t="shared" si="23"/>
        <v>82.027889999999999</v>
      </c>
      <c r="L49" s="32">
        <f t="shared" si="23"/>
        <v>77.111999999999995</v>
      </c>
      <c r="M49" s="32">
        <f t="shared" si="23"/>
        <v>52.580744999999993</v>
      </c>
      <c r="N49" s="32">
        <f t="shared" si="23"/>
        <v>52.580744999999993</v>
      </c>
      <c r="O49" s="32">
        <f t="shared" si="23"/>
        <v>42.064595999999995</v>
      </c>
      <c r="P49" s="32">
        <f t="shared" si="23"/>
        <v>40.96575</v>
      </c>
      <c r="Q49" s="32">
        <f t="shared" si="23"/>
        <v>45.688860000000005</v>
      </c>
      <c r="R49" s="32">
        <f t="shared" si="23"/>
        <v>36.001665000000003</v>
      </c>
      <c r="S49" s="32">
        <f t="shared" si="23"/>
        <v>46.484077499999998</v>
      </c>
      <c r="T49" s="32">
        <f t="shared" si="23"/>
        <v>66.003052499999995</v>
      </c>
      <c r="U49" s="32">
        <f t="shared" si="23"/>
        <v>79.666335000000004</v>
      </c>
    </row>
    <row r="50" spans="1:21" x14ac:dyDescent="0.2">
      <c r="A50" s="6" t="s">
        <v>28</v>
      </c>
      <c r="B50" s="27" t="s">
        <v>16</v>
      </c>
      <c r="C50" s="28" t="s">
        <v>45</v>
      </c>
      <c r="D50" s="32">
        <f t="shared" ref="D50:U50" si="24">$C$25*(1-$C15)*D15</f>
        <v>66.528000000000006</v>
      </c>
      <c r="E50" s="32">
        <f t="shared" si="24"/>
        <v>436.13640000000009</v>
      </c>
      <c r="F50" s="32">
        <f t="shared" si="24"/>
        <v>832.74156000000005</v>
      </c>
      <c r="G50" s="32">
        <f t="shared" si="24"/>
        <v>1274.6613600000001</v>
      </c>
      <c r="H50" s="32">
        <f t="shared" si="24"/>
        <v>1501.5067200000001</v>
      </c>
      <c r="I50" s="32">
        <f t="shared" si="24"/>
        <v>1242.81864</v>
      </c>
      <c r="J50" s="32">
        <f t="shared" si="24"/>
        <v>1176.2074800000003</v>
      </c>
      <c r="K50" s="32">
        <f t="shared" si="24"/>
        <v>985.35527999999999</v>
      </c>
      <c r="L50" s="32">
        <f t="shared" si="24"/>
        <v>449.47223999999994</v>
      </c>
      <c r="M50" s="32">
        <f t="shared" si="24"/>
        <v>258.82416000000006</v>
      </c>
      <c r="N50" s="32">
        <f t="shared" si="24"/>
        <v>258.82416000000006</v>
      </c>
      <c r="O50" s="32">
        <f t="shared" si="24"/>
        <v>207.05932800000005</v>
      </c>
      <c r="P50" s="32">
        <f t="shared" si="24"/>
        <v>99.792000000000002</v>
      </c>
      <c r="Q50" s="32">
        <f t="shared" si="24"/>
        <v>654.20460000000003</v>
      </c>
      <c r="R50" s="32">
        <f t="shared" si="24"/>
        <v>1249.1123400000001</v>
      </c>
      <c r="S50" s="32">
        <f t="shared" si="24"/>
        <v>1911.9920400000003</v>
      </c>
      <c r="T50" s="32">
        <f t="shared" si="24"/>
        <v>2252.2600800000005</v>
      </c>
      <c r="U50" s="32">
        <f t="shared" si="24"/>
        <v>1864.2279600000002</v>
      </c>
    </row>
    <row r="51" spans="1:21" x14ac:dyDescent="0.2">
      <c r="A51" s="6" t="s">
        <v>28</v>
      </c>
      <c r="B51" s="27" t="s">
        <v>17</v>
      </c>
      <c r="C51" s="28" t="s">
        <v>46</v>
      </c>
      <c r="D51" s="32">
        <f t="shared" ref="D51:U51" si="25">$C$25*(1-$C16)*D16</f>
        <v>70.685999999999993</v>
      </c>
      <c r="E51" s="32">
        <f t="shared" si="25"/>
        <v>230.36406749999998</v>
      </c>
      <c r="F51" s="32">
        <f t="shared" si="25"/>
        <v>353.22115500000001</v>
      </c>
      <c r="G51" s="32">
        <f t="shared" si="25"/>
        <v>446.1652125</v>
      </c>
      <c r="H51" s="32">
        <f t="shared" si="25"/>
        <v>860.67434249999997</v>
      </c>
      <c r="I51" s="32">
        <f t="shared" si="25"/>
        <v>957.16073249999999</v>
      </c>
      <c r="J51" s="32">
        <f t="shared" si="25"/>
        <v>1139.7876524999999</v>
      </c>
      <c r="K51" s="32">
        <f t="shared" si="25"/>
        <v>686.70645750000006</v>
      </c>
      <c r="L51" s="32">
        <f t="shared" si="25"/>
        <v>341.18847000000005</v>
      </c>
      <c r="M51" s="32">
        <f t="shared" si="25"/>
        <v>237.16759500000003</v>
      </c>
      <c r="N51" s="32">
        <f t="shared" si="25"/>
        <v>237.16759500000003</v>
      </c>
      <c r="O51" s="32">
        <f t="shared" si="25"/>
        <v>189.73407600000004</v>
      </c>
      <c r="P51" s="32">
        <f t="shared" si="25"/>
        <v>106.029</v>
      </c>
      <c r="Q51" s="32">
        <f t="shared" si="25"/>
        <v>345.54610125000005</v>
      </c>
      <c r="R51" s="32">
        <f t="shared" si="25"/>
        <v>529.83173250000004</v>
      </c>
      <c r="S51" s="32">
        <f t="shared" si="25"/>
        <v>669.24781875000008</v>
      </c>
      <c r="T51" s="32">
        <f t="shared" si="25"/>
        <v>1291.0115137499999</v>
      </c>
      <c r="U51" s="32">
        <f t="shared" si="25"/>
        <v>1435.7410987500002</v>
      </c>
    </row>
    <row r="52" spans="1:21" x14ac:dyDescent="0.2">
      <c r="A52" s="6" t="s">
        <v>28</v>
      </c>
      <c r="B52" s="27" t="s">
        <v>18</v>
      </c>
      <c r="C52" s="28" t="s">
        <v>47</v>
      </c>
      <c r="D52" s="32">
        <f t="shared" ref="D52:U52" si="26">$C$25*(1-$C17)*D17</f>
        <v>112.455</v>
      </c>
      <c r="E52" s="32">
        <f t="shared" si="26"/>
        <v>275.05169999999998</v>
      </c>
      <c r="F52" s="32">
        <f t="shared" si="26"/>
        <v>482.41210499999994</v>
      </c>
      <c r="G52" s="32">
        <f t="shared" si="26"/>
        <v>875.64078000000006</v>
      </c>
      <c r="H52" s="32">
        <f t="shared" si="26"/>
        <v>1017.92943</v>
      </c>
      <c r="I52" s="32">
        <f t="shared" si="26"/>
        <v>856.41097499999978</v>
      </c>
      <c r="J52" s="32">
        <f t="shared" si="26"/>
        <v>776.99128499999983</v>
      </c>
      <c r="K52" s="32">
        <f t="shared" si="26"/>
        <v>729.12514499999997</v>
      </c>
      <c r="L52" s="32">
        <f t="shared" si="26"/>
        <v>361.73466000000002</v>
      </c>
      <c r="M52" s="32">
        <f t="shared" si="26"/>
        <v>595.64767499999994</v>
      </c>
      <c r="N52" s="32">
        <f t="shared" si="26"/>
        <v>330.75</v>
      </c>
      <c r="O52" s="32">
        <f t="shared" si="26"/>
        <v>264.60000000000002</v>
      </c>
      <c r="P52" s="32">
        <f t="shared" si="26"/>
        <v>168.6825</v>
      </c>
      <c r="Q52" s="32">
        <f t="shared" si="26"/>
        <v>412.57755000000003</v>
      </c>
      <c r="R52" s="32">
        <f t="shared" si="26"/>
        <v>723.61815749999994</v>
      </c>
      <c r="S52" s="32">
        <f t="shared" si="26"/>
        <v>1313.46117</v>
      </c>
      <c r="T52" s="32">
        <f t="shared" si="26"/>
        <v>1526.894145</v>
      </c>
      <c r="U52" s="32">
        <f t="shared" si="26"/>
        <v>1284.6164624999999</v>
      </c>
    </row>
    <row r="53" spans="1:21" x14ac:dyDescent="0.2">
      <c r="A53" s="6" t="s">
        <v>28</v>
      </c>
      <c r="B53" s="6" t="s">
        <v>22</v>
      </c>
      <c r="C53" s="6" t="s">
        <v>48</v>
      </c>
      <c r="D53" s="32">
        <f t="shared" ref="D53:U53" si="27">$C$25*(1-$C18)*D18</f>
        <v>33.075000000000003</v>
      </c>
      <c r="E53" s="32">
        <f t="shared" si="27"/>
        <v>76.859684999999999</v>
      </c>
      <c r="F53" s="32">
        <f t="shared" si="27"/>
        <v>122.40395999999998</v>
      </c>
      <c r="G53" s="32">
        <f t="shared" si="27"/>
        <v>243.85535999999996</v>
      </c>
      <c r="H53" s="32">
        <f t="shared" si="27"/>
        <v>209.56319999999999</v>
      </c>
      <c r="I53" s="32">
        <f t="shared" si="27"/>
        <v>217.60042499999997</v>
      </c>
      <c r="J53" s="32">
        <f t="shared" si="27"/>
        <v>246.77257499999999</v>
      </c>
      <c r="K53" s="32">
        <f t="shared" si="27"/>
        <v>149.31378000000001</v>
      </c>
      <c r="L53" s="32">
        <f t="shared" si="27"/>
        <v>80.908064999999993</v>
      </c>
      <c r="M53" s="32">
        <f t="shared" si="27"/>
        <v>63.583379999999984</v>
      </c>
      <c r="N53" s="32">
        <f t="shared" si="27"/>
        <v>63.583379999999984</v>
      </c>
      <c r="O53" s="32">
        <f t="shared" si="27"/>
        <v>50.866703999999999</v>
      </c>
      <c r="P53" s="32">
        <f t="shared" si="27"/>
        <v>49.612499999999997</v>
      </c>
      <c r="Q53" s="32">
        <f t="shared" si="27"/>
        <v>115.28952749999999</v>
      </c>
      <c r="R53" s="32">
        <f t="shared" si="27"/>
        <v>183.60594</v>
      </c>
      <c r="S53" s="32">
        <f t="shared" si="27"/>
        <v>365.78304000000003</v>
      </c>
      <c r="T53" s="32">
        <f t="shared" si="27"/>
        <v>314.34480000000002</v>
      </c>
      <c r="U53" s="32">
        <f t="shared" si="27"/>
        <v>326.40063749999996</v>
      </c>
    </row>
    <row r="54" spans="1:21" x14ac:dyDescent="0.2">
      <c r="A54" s="6" t="s">
        <v>28</v>
      </c>
      <c r="B54" s="6" t="s">
        <v>13</v>
      </c>
      <c r="C54" s="18" t="s">
        <v>49</v>
      </c>
      <c r="D54" s="32">
        <f t="shared" ref="D54:U54" si="28">$C$25*(1-$C19)*D19</f>
        <v>32.129999999999995</v>
      </c>
      <c r="E54" s="32">
        <f t="shared" si="28"/>
        <v>295.53174000000001</v>
      </c>
      <c r="F54" s="32">
        <f t="shared" si="28"/>
        <v>435.55428000000001</v>
      </c>
      <c r="G54" s="32">
        <f t="shared" si="28"/>
        <v>550.38690000000008</v>
      </c>
      <c r="H54" s="32">
        <f t="shared" si="28"/>
        <v>876.57065999999998</v>
      </c>
      <c r="I54" s="32">
        <f t="shared" si="28"/>
        <v>1023.8545800000001</v>
      </c>
      <c r="J54" s="32">
        <f t="shared" si="28"/>
        <v>1151.5392000000002</v>
      </c>
      <c r="K54" s="32">
        <f t="shared" si="28"/>
        <v>852.79445999999996</v>
      </c>
      <c r="L54" s="32">
        <f t="shared" si="28"/>
        <v>361.65528</v>
      </c>
      <c r="M54" s="32">
        <f t="shared" si="28"/>
        <v>230.56487999999999</v>
      </c>
      <c r="N54" s="32">
        <f t="shared" si="28"/>
        <v>230.56487999999999</v>
      </c>
      <c r="O54" s="32">
        <f t="shared" si="28"/>
        <v>184.45190400000001</v>
      </c>
      <c r="P54" s="32">
        <f t="shared" si="28"/>
        <v>48.195</v>
      </c>
      <c r="Q54" s="32">
        <f t="shared" si="28"/>
        <v>443.29760999999996</v>
      </c>
      <c r="R54" s="32">
        <f t="shared" si="28"/>
        <v>653.33141999999998</v>
      </c>
      <c r="S54" s="32">
        <f t="shared" si="28"/>
        <v>825.58035000000007</v>
      </c>
      <c r="T54" s="32">
        <f t="shared" si="28"/>
        <v>1314.85599</v>
      </c>
      <c r="U54" s="32">
        <f t="shared" si="28"/>
        <v>1535.7818699999998</v>
      </c>
    </row>
    <row r="55" spans="1:21" x14ac:dyDescent="0.2">
      <c r="A55" s="6" t="s">
        <v>28</v>
      </c>
      <c r="B55" s="27" t="s">
        <v>20</v>
      </c>
      <c r="C55" s="28" t="s">
        <v>50</v>
      </c>
      <c r="D55" s="32">
        <f t="shared" ref="D55:U55" si="29">$C$25*(1-$C20)*D20</f>
        <v>43.470000000000006</v>
      </c>
      <c r="E55" s="32">
        <f t="shared" si="29"/>
        <v>85.957200000000014</v>
      </c>
      <c r="F55" s="32">
        <f t="shared" si="29"/>
        <v>100.4157</v>
      </c>
      <c r="G55" s="32">
        <f t="shared" si="29"/>
        <v>159.5538</v>
      </c>
      <c r="H55" s="32">
        <f t="shared" si="29"/>
        <v>255.49020000000004</v>
      </c>
      <c r="I55" s="32">
        <f t="shared" si="29"/>
        <v>308.84490000000005</v>
      </c>
      <c r="J55" s="32">
        <f t="shared" si="29"/>
        <v>326.76209999999998</v>
      </c>
      <c r="K55" s="32">
        <f t="shared" si="29"/>
        <v>241.48530000000002</v>
      </c>
      <c r="L55" s="32">
        <f t="shared" si="29"/>
        <v>151.3323</v>
      </c>
      <c r="M55" s="32">
        <f t="shared" si="29"/>
        <v>99.621900000000011</v>
      </c>
      <c r="N55" s="32">
        <f t="shared" si="29"/>
        <v>99.621900000000011</v>
      </c>
      <c r="O55" s="32">
        <f t="shared" si="29"/>
        <v>79.697520000000026</v>
      </c>
      <c r="P55" s="32">
        <f t="shared" si="29"/>
        <v>65.205000000000013</v>
      </c>
      <c r="Q55" s="32">
        <f t="shared" si="29"/>
        <v>128.93580000000003</v>
      </c>
      <c r="R55" s="32">
        <f t="shared" si="29"/>
        <v>150.62354999999999</v>
      </c>
      <c r="S55" s="32">
        <f t="shared" si="29"/>
        <v>239.33070000000004</v>
      </c>
      <c r="T55" s="32">
        <f t="shared" si="29"/>
        <v>383.2353</v>
      </c>
      <c r="U55" s="32">
        <f t="shared" si="29"/>
        <v>463.26734999999991</v>
      </c>
    </row>
    <row r="56" spans="1:21" x14ac:dyDescent="0.2">
      <c r="D56" s="2">
        <v>44256</v>
      </c>
      <c r="E56" s="2">
        <v>44287</v>
      </c>
      <c r="F56" s="2">
        <v>44317</v>
      </c>
      <c r="G56" s="2">
        <v>44348</v>
      </c>
      <c r="H56" s="2">
        <v>44378</v>
      </c>
      <c r="I56" s="2">
        <v>44409</v>
      </c>
      <c r="J56" s="2">
        <v>44440</v>
      </c>
      <c r="K56" s="2">
        <v>44470</v>
      </c>
      <c r="L56" s="2">
        <v>44501</v>
      </c>
      <c r="M56" s="2">
        <v>44531</v>
      </c>
      <c r="N56" s="2">
        <v>44562</v>
      </c>
      <c r="O56" s="2">
        <v>44593</v>
      </c>
      <c r="P56" s="2">
        <v>44621</v>
      </c>
      <c r="Q56" s="2">
        <v>44652</v>
      </c>
      <c r="R56" s="2">
        <v>44682</v>
      </c>
      <c r="S56" s="2">
        <v>44713</v>
      </c>
      <c r="T56" s="2">
        <v>44743</v>
      </c>
      <c r="U56" s="2">
        <v>44774</v>
      </c>
    </row>
    <row r="57" spans="1:21" x14ac:dyDescent="0.2">
      <c r="C57" s="28" t="s">
        <v>27</v>
      </c>
      <c r="D57" s="32">
        <f>SUM(D28:D41)</f>
        <v>298.05300000000005</v>
      </c>
      <c r="E57" s="32">
        <f t="shared" ref="E57:K57" si="30">SUM(E28:E41)</f>
        <v>730.84303687500005</v>
      </c>
      <c r="F57" s="32">
        <f t="shared" si="30"/>
        <v>1171.342029375</v>
      </c>
      <c r="G57" s="32">
        <f t="shared" si="30"/>
        <v>1844.8266375000003</v>
      </c>
      <c r="H57" s="32">
        <f t="shared" si="30"/>
        <v>2187.1589118749998</v>
      </c>
      <c r="I57" s="32">
        <f t="shared" si="30"/>
        <v>2162.4329868750001</v>
      </c>
      <c r="J57" s="32">
        <f t="shared" si="30"/>
        <v>2240.8712943750002</v>
      </c>
      <c r="K57" s="32">
        <f t="shared" si="30"/>
        <v>1851.2702381250003</v>
      </c>
      <c r="L57" s="32">
        <f t="shared" ref="L57:U57" si="31">SUM(L28:L41)</f>
        <v>905.72060250000004</v>
      </c>
      <c r="M57" s="32">
        <f t="shared" si="31"/>
        <v>704.59093687500001</v>
      </c>
      <c r="N57" s="32">
        <f t="shared" si="31"/>
        <v>587.28336187499997</v>
      </c>
      <c r="O57" s="32">
        <f t="shared" si="31"/>
        <v>471.33868950000004</v>
      </c>
      <c r="P57" s="32">
        <f t="shared" si="31"/>
        <v>448.02449999999999</v>
      </c>
      <c r="Q57" s="32">
        <f t="shared" si="31"/>
        <v>1096.2645553125001</v>
      </c>
      <c r="R57" s="32">
        <f t="shared" si="31"/>
        <v>1752.2880440625001</v>
      </c>
      <c r="S57" s="32">
        <f t="shared" si="31"/>
        <v>2765.8224562500004</v>
      </c>
      <c r="T57" s="32">
        <f t="shared" si="31"/>
        <v>3275.5408678125009</v>
      </c>
      <c r="U57" s="32">
        <f t="shared" si="31"/>
        <v>3237.0344803124999</v>
      </c>
    </row>
    <row r="58" spans="1:21" x14ac:dyDescent="0.2">
      <c r="C58" s="28" t="s">
        <v>28</v>
      </c>
      <c r="D58" s="32">
        <f>SUM(D42:D55)</f>
        <v>1172.3670000000004</v>
      </c>
      <c r="E58" s="32">
        <f t="shared" ref="E58:K58" si="32">SUM(E42:E55)</f>
        <v>2949.8303756249998</v>
      </c>
      <c r="F58" s="32">
        <f t="shared" si="32"/>
        <v>4586.625658125</v>
      </c>
      <c r="G58" s="32">
        <f t="shared" si="32"/>
        <v>6879.7157624999991</v>
      </c>
      <c r="H58" s="32">
        <f t="shared" si="32"/>
        <v>8704.781150625</v>
      </c>
      <c r="I58" s="32">
        <f t="shared" si="32"/>
        <v>8918.1149006249998</v>
      </c>
      <c r="J58" s="32">
        <f t="shared" si="32"/>
        <v>9236.3970431250018</v>
      </c>
      <c r="K58" s="32">
        <f t="shared" si="32"/>
        <v>7609.1271243750016</v>
      </c>
      <c r="L58" s="32">
        <f t="shared" ref="L58:U58" si="33">SUM(L42:L55)</f>
        <v>3779.6413725000002</v>
      </c>
      <c r="M58" s="32">
        <f t="shared" si="33"/>
        <v>2660.419400625</v>
      </c>
      <c r="N58" s="32">
        <f t="shared" si="33"/>
        <v>2361.5017256250003</v>
      </c>
      <c r="O58" s="32">
        <f t="shared" si="33"/>
        <v>1902.8093805000001</v>
      </c>
      <c r="P58" s="32">
        <f t="shared" si="33"/>
        <v>1767.0554999999999</v>
      </c>
      <c r="Q58" s="32">
        <f t="shared" si="33"/>
        <v>4424.7455634375001</v>
      </c>
      <c r="R58" s="32">
        <f t="shared" si="33"/>
        <v>6837.4134871874994</v>
      </c>
      <c r="S58" s="32">
        <f t="shared" si="33"/>
        <v>10306.816143750002</v>
      </c>
      <c r="T58" s="32">
        <f t="shared" si="33"/>
        <v>13010.394225937504</v>
      </c>
      <c r="U58" s="32">
        <f t="shared" si="33"/>
        <v>13317.637350937503</v>
      </c>
    </row>
    <row r="59" spans="1:21" x14ac:dyDescent="0.2">
      <c r="C59" s="28" t="s">
        <v>35</v>
      </c>
      <c r="D59" s="32">
        <f>D57+D58</f>
        <v>1470.4200000000005</v>
      </c>
      <c r="E59" s="32">
        <f t="shared" ref="E59:U59" si="34">E57+E58</f>
        <v>3680.6734124999998</v>
      </c>
      <c r="F59" s="32">
        <f t="shared" si="34"/>
        <v>5757.9676875000005</v>
      </c>
      <c r="G59" s="32">
        <f t="shared" si="34"/>
        <v>8724.5423999999985</v>
      </c>
      <c r="H59" s="32">
        <f t="shared" si="34"/>
        <v>10891.9400625</v>
      </c>
      <c r="I59" s="32">
        <f t="shared" si="34"/>
        <v>11080.547887500001</v>
      </c>
      <c r="J59" s="32">
        <f t="shared" si="34"/>
        <v>11477.268337500002</v>
      </c>
      <c r="K59" s="32">
        <f t="shared" si="34"/>
        <v>9460.3973625000017</v>
      </c>
      <c r="L59" s="32">
        <f t="shared" si="34"/>
        <v>4685.3619749999998</v>
      </c>
      <c r="M59" s="32">
        <f t="shared" si="34"/>
        <v>3365.0103374999999</v>
      </c>
      <c r="N59" s="32">
        <f t="shared" si="34"/>
        <v>2948.7850875000004</v>
      </c>
      <c r="O59" s="32">
        <f t="shared" si="34"/>
        <v>2374.1480700000002</v>
      </c>
      <c r="P59" s="32">
        <f t="shared" si="34"/>
        <v>2215.08</v>
      </c>
      <c r="Q59" s="32">
        <f t="shared" si="34"/>
        <v>5521.0101187500004</v>
      </c>
      <c r="R59" s="32">
        <f t="shared" si="34"/>
        <v>8589.7015312499989</v>
      </c>
      <c r="S59" s="32">
        <f t="shared" si="34"/>
        <v>13072.638600000002</v>
      </c>
      <c r="T59" s="32">
        <f t="shared" si="34"/>
        <v>16285.935093750004</v>
      </c>
      <c r="U59" s="32">
        <f t="shared" si="34"/>
        <v>16554.671831250002</v>
      </c>
    </row>
    <row r="93" spans="3:21" x14ac:dyDescent="0.2">
      <c r="D93" s="2">
        <v>44256</v>
      </c>
      <c r="E93" s="2">
        <v>44287</v>
      </c>
      <c r="F93" s="2">
        <v>44317</v>
      </c>
      <c r="G93" s="2">
        <v>44348</v>
      </c>
      <c r="H93" s="2">
        <v>44378</v>
      </c>
      <c r="I93" s="2">
        <v>44409</v>
      </c>
      <c r="J93" s="2">
        <v>44440</v>
      </c>
      <c r="K93" s="2">
        <v>44470</v>
      </c>
      <c r="L93" s="2">
        <v>44501</v>
      </c>
      <c r="M93" s="2">
        <v>44531</v>
      </c>
      <c r="N93" s="2">
        <v>44562</v>
      </c>
      <c r="O93" s="2">
        <v>44593</v>
      </c>
      <c r="P93" s="2">
        <v>44621</v>
      </c>
      <c r="Q93" s="2">
        <v>44652</v>
      </c>
      <c r="R93" s="2">
        <v>44682</v>
      </c>
      <c r="S93" s="2">
        <v>44713</v>
      </c>
      <c r="T93" s="2">
        <v>44743</v>
      </c>
      <c r="U93" s="2">
        <v>44774</v>
      </c>
    </row>
    <row r="94" spans="3:21" x14ac:dyDescent="0.2">
      <c r="C94" t="s">
        <v>106</v>
      </c>
      <c r="D94" s="69">
        <f>SUM('Planning Model'!E219:E226)</f>
        <v>7980</v>
      </c>
      <c r="E94" s="69">
        <f>SUM('Planning Model'!F219:F226)</f>
        <v>7980</v>
      </c>
      <c r="F94" s="69">
        <f>SUM('Planning Model'!G219:G226)</f>
        <v>7480</v>
      </c>
      <c r="G94" s="69">
        <f>SUM('Planning Model'!H219:H226)</f>
        <v>7480</v>
      </c>
      <c r="H94" s="69">
        <f>SUM('Planning Model'!I219:I226)</f>
        <v>7480</v>
      </c>
      <c r="I94" s="69">
        <f>SUM('Planning Model'!J219:J226)</f>
        <v>7980</v>
      </c>
      <c r="J94" s="69">
        <f>SUM('Planning Model'!K219:K226)</f>
        <v>7980</v>
      </c>
      <c r="K94" s="69">
        <f>SUM('Planning Model'!L219:L226)</f>
        <v>7760</v>
      </c>
      <c r="L94" s="69">
        <f>SUM('Planning Model'!M219:M226)</f>
        <v>5235</v>
      </c>
      <c r="M94" s="69">
        <f>SUM('Planning Model'!N219:N226)</f>
        <v>4235</v>
      </c>
      <c r="N94" s="69">
        <f>SUM('Planning Model'!O219:O226)</f>
        <v>3535</v>
      </c>
      <c r="O94" s="69">
        <f>SUM('Planning Model'!P219:P226)</f>
        <v>3535</v>
      </c>
      <c r="P94" s="69">
        <f>SUM('Planning Model'!Q219:Q226)</f>
        <v>3975</v>
      </c>
      <c r="Q94" s="69">
        <f>SUM('Planning Model'!R219:R226)</f>
        <v>10260</v>
      </c>
      <c r="R94" s="69">
        <f>SUM('Planning Model'!S219:S226)</f>
        <v>10260</v>
      </c>
      <c r="S94" s="69">
        <f>SUM('Planning Model'!T219:T226)</f>
        <v>10260</v>
      </c>
      <c r="T94" s="69">
        <f>SUM('Planning Model'!U219:U226)</f>
        <v>10260</v>
      </c>
      <c r="U94" s="69">
        <f>SUM('Planning Model'!V219:V226)</f>
        <v>10760</v>
      </c>
    </row>
    <row r="95" spans="3:21" x14ac:dyDescent="0.2">
      <c r="C95" t="s">
        <v>107</v>
      </c>
      <c r="D95" s="69">
        <f>SUM('Planning Model'!E208:E215)</f>
        <v>5870</v>
      </c>
      <c r="E95" s="69">
        <f>SUM('Planning Model'!F208:F215)</f>
        <v>5870</v>
      </c>
      <c r="F95" s="69">
        <f>SUM('Planning Model'!G208:G215)</f>
        <v>5620</v>
      </c>
      <c r="G95" s="69">
        <f>SUM('Planning Model'!H208:H215)</f>
        <v>5620</v>
      </c>
      <c r="H95" s="69">
        <f>SUM('Planning Model'!I208:I215)</f>
        <v>5620</v>
      </c>
      <c r="I95" s="69">
        <f>SUM('Planning Model'!J208:J215)</f>
        <v>6070</v>
      </c>
      <c r="J95" s="69">
        <f>SUM('Planning Model'!K208:K215)</f>
        <v>6070</v>
      </c>
      <c r="K95" s="69">
        <f>SUM('Planning Model'!L208:L215)</f>
        <v>5890</v>
      </c>
      <c r="L95" s="69">
        <f>SUM('Planning Model'!M208:M215)</f>
        <v>3840</v>
      </c>
      <c r="M95" s="69">
        <f>SUM('Planning Model'!N208:N215)</f>
        <v>2940</v>
      </c>
      <c r="N95" s="69">
        <f>SUM('Planning Model'!O208:O215)</f>
        <v>2590</v>
      </c>
      <c r="O95" s="69">
        <f>SUM('Planning Model'!P208:P215)</f>
        <v>2590</v>
      </c>
      <c r="P95" s="69">
        <f>SUM('Planning Model'!Q208:Q215)</f>
        <v>2950</v>
      </c>
      <c r="Q95" s="69">
        <f>SUM('Planning Model'!R208:R215)</f>
        <v>7625</v>
      </c>
      <c r="R95" s="69">
        <f>SUM('Planning Model'!S208:S215)</f>
        <v>7625</v>
      </c>
      <c r="S95" s="69">
        <f>SUM('Planning Model'!T208:T215)</f>
        <v>7625</v>
      </c>
      <c r="T95" s="69">
        <f>SUM('Planning Model'!U208:U215)</f>
        <v>7625</v>
      </c>
      <c r="U95" s="69">
        <f>SUM('Planning Model'!V208:V215)</f>
        <v>8075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Planning Model</vt:lpstr>
      <vt:lpstr>RegionalDemand</vt:lpstr>
      <vt:lpstr>'Planning Model'!Flow0._1</vt:lpstr>
      <vt:lpstr>'Planning Model'!Flow0._2</vt:lpstr>
      <vt:lpstr>'Planning Model'!Flow0._3</vt:lpstr>
      <vt:lpstr>'Planning Model'!Flow1._1</vt:lpstr>
      <vt:lpstr>'Planning Model'!Flow2._1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2022-04-13T11:41:33Z</dcterms:modified>
</cp:coreProperties>
</file>