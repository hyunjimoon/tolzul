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p/Dropbox (MIT)/_Teaching/Courses/15.763/Spring 2022/Class 12 - Big Fig Part 02/___GroupExercise/"/>
    </mc:Choice>
  </mc:AlternateContent>
  <xr:revisionPtr revIDLastSave="0" documentId="13_ncr:1_{B423A2D4-0CB2-D34D-8D8D-56C5EAE5A60A}" xr6:coauthVersionLast="47" xr6:coauthVersionMax="47" xr10:uidLastSave="{00000000-0000-0000-0000-000000000000}"/>
  <bookViews>
    <workbookView xWindow="7360" yWindow="1580" windowWidth="25660" windowHeight="18600" xr2:uid="{00000000-000D-0000-FFFF-FFFF00000000}"/>
  </bookViews>
  <sheets>
    <sheet name="BaseCase" sheetId="12" r:id="rId1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OpenSolver_UpdateSensitivity" localSheetId="0" hidden="1">1</definedName>
    <definedName name="solver_adj" localSheetId="0" hidden="1">BaseCase!$C$18:$H$37,BaseCase!$C$6,BaseCase!$D$6,BaseCase!$E$6,BaseCase!$F$6,BaseCase!$G$6,BaseCase!$H$6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BaseCase!$C$11</definedName>
    <definedName name="solver_lhs2" localSheetId="0" hidden="1">BaseCase!$C$38:$H$38</definedName>
    <definedName name="solver_lhs3" localSheetId="0" hidden="1">BaseCase!$C$6:$H$6</definedName>
    <definedName name="solver_lhs4" localSheetId="0" hidden="1">BaseCase!$I$18:$I$37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BaseCase!$H$14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5</definedName>
    <definedName name="solver_rel4" localSheetId="0" hidden="1">3</definedName>
    <definedName name="solver_rhs1" localSheetId="0" hidden="1">BaseCase!$C$12</definedName>
    <definedName name="solver_rhs2" localSheetId="0" hidden="1">BaseCase!$C$8:$H$8</definedName>
    <definedName name="solver_rhs3" localSheetId="0" hidden="1">binary</definedName>
    <definedName name="solver_rhs4" localSheetId="0" hidden="1">BaseCase!$B$18:$B$37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2" l="1"/>
  <c r="T37" i="12" l="1"/>
  <c r="S37" i="12"/>
  <c r="R37" i="12"/>
  <c r="Q37" i="12"/>
  <c r="P37" i="12"/>
  <c r="O37" i="12"/>
  <c r="T36" i="12"/>
  <c r="S36" i="12"/>
  <c r="R36" i="12"/>
  <c r="Q36" i="12"/>
  <c r="P36" i="12"/>
  <c r="O36" i="12"/>
  <c r="T35" i="12"/>
  <c r="S35" i="12"/>
  <c r="R35" i="12"/>
  <c r="Q35" i="12"/>
  <c r="P35" i="12"/>
  <c r="O35" i="12"/>
  <c r="T34" i="12"/>
  <c r="S34" i="12"/>
  <c r="R34" i="12"/>
  <c r="Q34" i="12"/>
  <c r="P34" i="12"/>
  <c r="O34" i="12"/>
  <c r="T33" i="12"/>
  <c r="S33" i="12"/>
  <c r="R33" i="12"/>
  <c r="Q33" i="12"/>
  <c r="P33" i="12"/>
  <c r="O33" i="12"/>
  <c r="T32" i="12"/>
  <c r="S32" i="12"/>
  <c r="R32" i="12"/>
  <c r="Q32" i="12"/>
  <c r="P32" i="12"/>
  <c r="O32" i="12"/>
  <c r="T31" i="12"/>
  <c r="S31" i="12"/>
  <c r="R31" i="12"/>
  <c r="Q31" i="12"/>
  <c r="P31" i="12"/>
  <c r="O31" i="12"/>
  <c r="T30" i="12"/>
  <c r="S30" i="12"/>
  <c r="R30" i="12"/>
  <c r="Q30" i="12"/>
  <c r="P30" i="12"/>
  <c r="O30" i="12"/>
  <c r="T29" i="12"/>
  <c r="S29" i="12"/>
  <c r="R29" i="12"/>
  <c r="Q29" i="12"/>
  <c r="P29" i="12"/>
  <c r="O29" i="12"/>
  <c r="T28" i="12"/>
  <c r="S28" i="12"/>
  <c r="R28" i="12"/>
  <c r="Q28" i="12"/>
  <c r="P28" i="12"/>
  <c r="O28" i="12"/>
  <c r="T27" i="12"/>
  <c r="S27" i="12"/>
  <c r="R27" i="12"/>
  <c r="Q27" i="12"/>
  <c r="P27" i="12"/>
  <c r="O27" i="12"/>
  <c r="T26" i="12"/>
  <c r="S26" i="12"/>
  <c r="R26" i="12"/>
  <c r="Q26" i="12"/>
  <c r="P26" i="12"/>
  <c r="O26" i="12"/>
  <c r="T25" i="12"/>
  <c r="S25" i="12"/>
  <c r="R25" i="12"/>
  <c r="Q25" i="12"/>
  <c r="P25" i="12"/>
  <c r="O25" i="12"/>
  <c r="T24" i="12"/>
  <c r="S24" i="12"/>
  <c r="R24" i="12"/>
  <c r="Q24" i="12"/>
  <c r="P24" i="12"/>
  <c r="O24" i="12"/>
  <c r="T23" i="12"/>
  <c r="S23" i="12"/>
  <c r="R23" i="12"/>
  <c r="Q23" i="12"/>
  <c r="P23" i="12"/>
  <c r="O23" i="12"/>
  <c r="T22" i="12"/>
  <c r="S22" i="12"/>
  <c r="R22" i="12"/>
  <c r="Q22" i="12"/>
  <c r="P22" i="12"/>
  <c r="O22" i="12"/>
  <c r="T21" i="12"/>
  <c r="S21" i="12"/>
  <c r="R21" i="12"/>
  <c r="Q21" i="12"/>
  <c r="P21" i="12"/>
  <c r="O21" i="12"/>
  <c r="T20" i="12"/>
  <c r="S20" i="12"/>
  <c r="R20" i="12"/>
  <c r="Q20" i="12"/>
  <c r="P20" i="12"/>
  <c r="O20" i="12"/>
  <c r="T19" i="12"/>
  <c r="S19" i="12"/>
  <c r="R19" i="12"/>
  <c r="Q19" i="12"/>
  <c r="P19" i="12"/>
  <c r="O19" i="12"/>
  <c r="T18" i="12"/>
  <c r="S18" i="12"/>
  <c r="R18" i="12"/>
  <c r="Q18" i="12"/>
  <c r="P18" i="12"/>
  <c r="O18" i="12"/>
  <c r="T9" i="12"/>
  <c r="S9" i="12"/>
  <c r="R9" i="12"/>
  <c r="Q9" i="12"/>
  <c r="P9" i="12"/>
  <c r="O9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18" i="12"/>
  <c r="H38" i="12"/>
  <c r="H9" i="12" s="1"/>
  <c r="H8" i="12"/>
  <c r="G38" i="12"/>
  <c r="G9" i="12" s="1"/>
  <c r="F38" i="12"/>
  <c r="F9" i="12" s="1"/>
  <c r="E38" i="12"/>
  <c r="E9" i="12" s="1"/>
  <c r="D38" i="12"/>
  <c r="D9" i="12" s="1"/>
  <c r="C38" i="12"/>
  <c r="C9" i="12" s="1"/>
  <c r="G8" i="12"/>
  <c r="F8" i="12"/>
  <c r="E8" i="12"/>
  <c r="D8" i="12"/>
  <c r="C8" i="12"/>
  <c r="F13" i="12" l="1"/>
  <c r="G13" i="12" s="1"/>
  <c r="F12" i="12"/>
  <c r="G12" i="12" s="1"/>
  <c r="H13" i="12"/>
  <c r="H14" i="12" l="1"/>
</calcChain>
</file>

<file path=xl/sharedStrings.xml><?xml version="1.0" encoding="utf-8"?>
<sst xmlns="http://schemas.openxmlformats.org/spreadsheetml/2006/main" count="53" uniqueCount="32">
  <si>
    <t>Open/Close Decision Variables</t>
  </si>
  <si>
    <t>Theoretical capacity available (cases)</t>
  </si>
  <si>
    <t>Actual capacity available (cases)</t>
  </si>
  <si>
    <t>Total plants open</t>
  </si>
  <si>
    <t>Maximum plants open</t>
  </si>
  <si>
    <t>Total cases shipped from plant</t>
  </si>
  <si>
    <t>Total cases supplied</t>
  </si>
  <si>
    <t>Plant01</t>
  </si>
  <si>
    <t>Plant02</t>
  </si>
  <si>
    <t>Plant03</t>
  </si>
  <si>
    <t>Plant 04</t>
  </si>
  <si>
    <t>Plant06</t>
  </si>
  <si>
    <t>Plant05</t>
  </si>
  <si>
    <t>Demand</t>
  </si>
  <si>
    <t>x coord</t>
  </si>
  <si>
    <t>y coord</t>
  </si>
  <si>
    <t>Origin</t>
  </si>
  <si>
    <t>Customer</t>
  </si>
  <si>
    <t>cost basis</t>
  </si>
  <si>
    <t>Actual cases shipped from plant</t>
  </si>
  <si>
    <t>Origin to plant</t>
  </si>
  <si>
    <t>Plant to customer</t>
  </si>
  <si>
    <t>Cost/case-mile</t>
  </si>
  <si>
    <t>Origin to plants</t>
  </si>
  <si>
    <t>Plants to customers</t>
  </si>
  <si>
    <t>Miles</t>
  </si>
  <si>
    <t>Plant cost</t>
  </si>
  <si>
    <t>Mile cost</t>
  </si>
  <si>
    <t>Total cost</t>
  </si>
  <si>
    <t>Total</t>
  </si>
  <si>
    <t>What are the core tradeoffs your model is making?  How would you present these trade-offs to the company?</t>
  </si>
  <si>
    <t>Plant costs $1,500, How many plants do you recommend?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</si>
</sst>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0" xfId="0" applyBorder="1"/>
    <xf numFmtId="0" fontId="0" fillId="0" borderId="0" xfId="0" applyAlignment="1">
      <alignment horizontal="right"/>
    </xf>
    <xf numFmtId="1" fontId="0" fillId="0" borderId="1" xfId="0" applyNumberFormat="1" applyBorder="1"/>
    <xf numFmtId="1" fontId="0" fillId="0" borderId="0" xfId="0" applyNumberFormat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EA5F-9F95-1B4B-B73F-E8B29481D4EB}">
  <dimension ref="A1:T41"/>
  <sheetViews>
    <sheetView showGridLines="0" tabSelected="1" zoomScaleNormal="100" workbookViewId="0">
      <selection activeCell="A2" sqref="A2"/>
    </sheetView>
  </sheetViews>
  <sheetFormatPr baseColWidth="10" defaultRowHeight="16" x14ac:dyDescent="0.2"/>
  <cols>
    <col min="1" max="1" width="19.33203125" customWidth="1"/>
    <col min="2" max="2" width="16.1640625" customWidth="1"/>
    <col min="3" max="8" width="8.83203125" customWidth="1"/>
    <col min="9" max="9" width="9.33203125" customWidth="1"/>
    <col min="10" max="10" width="10.83203125" customWidth="1"/>
    <col min="12" max="12" width="9.33203125" customWidth="1"/>
    <col min="13" max="20" width="8.83203125" customWidth="1"/>
  </cols>
  <sheetData>
    <row r="1" spans="1:20" x14ac:dyDescent="0.2">
      <c r="A1" t="s">
        <v>31</v>
      </c>
    </row>
    <row r="2" spans="1:20" x14ac:dyDescent="0.2">
      <c r="A2" t="s">
        <v>30</v>
      </c>
    </row>
    <row r="3" spans="1:20" x14ac:dyDescent="0.2">
      <c r="B3" t="s">
        <v>0</v>
      </c>
    </row>
    <row r="5" spans="1:20" x14ac:dyDescent="0.2">
      <c r="C5" t="s">
        <v>7</v>
      </c>
      <c r="D5" t="s">
        <v>8</v>
      </c>
      <c r="E5" t="s">
        <v>9</v>
      </c>
      <c r="F5" t="s">
        <v>10</v>
      </c>
      <c r="G5" t="s">
        <v>12</v>
      </c>
      <c r="H5" t="s">
        <v>11</v>
      </c>
      <c r="M5" t="s">
        <v>22</v>
      </c>
    </row>
    <row r="6" spans="1:20" x14ac:dyDescent="0.2"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L6" s="4" t="s">
        <v>20</v>
      </c>
      <c r="M6" s="1">
        <v>1</v>
      </c>
    </row>
    <row r="7" spans="1:20" x14ac:dyDescent="0.2">
      <c r="B7" s="4" t="s">
        <v>1</v>
      </c>
      <c r="C7" s="1">
        <v>5000</v>
      </c>
      <c r="D7" s="1">
        <v>5000</v>
      </c>
      <c r="E7" s="1">
        <v>5000</v>
      </c>
      <c r="F7" s="1">
        <v>5000</v>
      </c>
      <c r="G7" s="1">
        <v>5000</v>
      </c>
      <c r="H7" s="1">
        <v>5000</v>
      </c>
      <c r="L7" s="4" t="s">
        <v>21</v>
      </c>
      <c r="M7" s="1">
        <v>4</v>
      </c>
    </row>
    <row r="8" spans="1:20" x14ac:dyDescent="0.2">
      <c r="B8" s="4" t="s">
        <v>2</v>
      </c>
      <c r="C8" s="1">
        <f t="shared" ref="C8:H8" si="0">C6*C7</f>
        <v>5000</v>
      </c>
      <c r="D8" s="1">
        <f t="shared" si="0"/>
        <v>5000</v>
      </c>
      <c r="E8" s="1">
        <f t="shared" si="0"/>
        <v>5000</v>
      </c>
      <c r="F8" s="1">
        <f t="shared" si="0"/>
        <v>5000</v>
      </c>
      <c r="G8" s="1">
        <f t="shared" si="0"/>
        <v>5000</v>
      </c>
      <c r="H8" s="1">
        <f t="shared" si="0"/>
        <v>5000</v>
      </c>
      <c r="O8" t="s">
        <v>7</v>
      </c>
      <c r="P8" t="s">
        <v>8</v>
      </c>
      <c r="Q8" t="s">
        <v>9</v>
      </c>
      <c r="R8" t="s">
        <v>10</v>
      </c>
      <c r="S8" t="s">
        <v>12</v>
      </c>
      <c r="T8" t="s">
        <v>11</v>
      </c>
    </row>
    <row r="9" spans="1:20" x14ac:dyDescent="0.2">
      <c r="B9" s="4" t="s">
        <v>19</v>
      </c>
      <c r="C9" s="1">
        <f t="shared" ref="C9:H9" si="1">C38</f>
        <v>309</v>
      </c>
      <c r="D9" s="1">
        <f t="shared" si="1"/>
        <v>314</v>
      </c>
      <c r="E9" s="1">
        <f t="shared" si="1"/>
        <v>221</v>
      </c>
      <c r="F9" s="1">
        <f t="shared" si="1"/>
        <v>672</v>
      </c>
      <c r="G9" s="1">
        <f t="shared" si="1"/>
        <v>574</v>
      </c>
      <c r="H9" s="1">
        <f t="shared" si="1"/>
        <v>2090</v>
      </c>
      <c r="N9" t="s">
        <v>16</v>
      </c>
      <c r="O9" s="1">
        <f t="shared" ref="O9:T9" si="2">ROUND(SQRT(O10^2+O11^2),2)</f>
        <v>4.47</v>
      </c>
      <c r="P9" s="1">
        <f t="shared" si="2"/>
        <v>4.47</v>
      </c>
      <c r="Q9" s="1">
        <f t="shared" si="2"/>
        <v>5.66</v>
      </c>
      <c r="R9" s="1">
        <f t="shared" si="2"/>
        <v>8.94</v>
      </c>
      <c r="S9" s="1">
        <f t="shared" si="2"/>
        <v>6.32</v>
      </c>
      <c r="T9" s="1">
        <f t="shared" si="2"/>
        <v>22.63</v>
      </c>
    </row>
    <row r="10" spans="1:20" x14ac:dyDescent="0.2">
      <c r="N10" t="s">
        <v>14</v>
      </c>
      <c r="O10" s="1">
        <v>4</v>
      </c>
      <c r="P10" s="1">
        <v>2</v>
      </c>
      <c r="Q10" s="1">
        <v>4</v>
      </c>
      <c r="R10" s="1">
        <v>8</v>
      </c>
      <c r="S10" s="1">
        <v>2</v>
      </c>
      <c r="T10" s="1">
        <v>16</v>
      </c>
    </row>
    <row r="11" spans="1:20" x14ac:dyDescent="0.2">
      <c r="B11" s="4" t="s">
        <v>3</v>
      </c>
      <c r="C11" s="1">
        <f>SUM(C6:H6)</f>
        <v>6</v>
      </c>
      <c r="F11" t="s">
        <v>25</v>
      </c>
      <c r="G11" t="s">
        <v>27</v>
      </c>
      <c r="H11" t="s">
        <v>26</v>
      </c>
      <c r="I11" t="s">
        <v>28</v>
      </c>
      <c r="N11" t="s">
        <v>15</v>
      </c>
      <c r="O11" s="1">
        <v>2</v>
      </c>
      <c r="P11" s="1">
        <v>4</v>
      </c>
      <c r="Q11" s="1">
        <v>4</v>
      </c>
      <c r="R11" s="1">
        <v>4</v>
      </c>
      <c r="S11" s="1">
        <v>6</v>
      </c>
      <c r="T11" s="1">
        <v>16</v>
      </c>
    </row>
    <row r="12" spans="1:20" x14ac:dyDescent="0.2">
      <c r="B12" s="4" t="s">
        <v>4</v>
      </c>
      <c r="C12" s="1">
        <v>6</v>
      </c>
      <c r="E12" s="4" t="s">
        <v>23</v>
      </c>
      <c r="F12" s="5">
        <f>SUMPRODUCT(C9:H9,O9:T9)</f>
        <v>60967.729999999996</v>
      </c>
      <c r="G12" s="5">
        <f>F12*M6</f>
        <v>60967.729999999996</v>
      </c>
      <c r="H12" s="5"/>
      <c r="K12" s="3"/>
      <c r="N12" t="s">
        <v>18</v>
      </c>
      <c r="O12" s="1">
        <v>6</v>
      </c>
      <c r="P12" s="1">
        <v>5</v>
      </c>
      <c r="Q12" s="1">
        <v>4</v>
      </c>
      <c r="R12" s="1">
        <v>3</v>
      </c>
      <c r="S12" s="1">
        <v>2</v>
      </c>
      <c r="T12" s="1">
        <v>1</v>
      </c>
    </row>
    <row r="13" spans="1:20" x14ac:dyDescent="0.2">
      <c r="E13" s="4" t="s">
        <v>24</v>
      </c>
      <c r="F13" s="5">
        <f>SUMPRODUCT(C18:H37,O18:T37)</f>
        <v>6851.0499999999993</v>
      </c>
      <c r="G13" s="5">
        <f>F13*M7</f>
        <v>27404.199999999997</v>
      </c>
      <c r="H13" s="5">
        <f>SUMPRODUCT(C38:H38,O12:T12)</f>
        <v>9562</v>
      </c>
      <c r="K13" s="3"/>
    </row>
    <row r="14" spans="1:20" x14ac:dyDescent="0.2">
      <c r="E14" s="4" t="s">
        <v>29</v>
      </c>
      <c r="H14" s="6">
        <f>SUM(G12:H13)</f>
        <v>97933.93</v>
      </c>
    </row>
    <row r="17" spans="1:20" x14ac:dyDescent="0.2">
      <c r="A17" t="s">
        <v>17</v>
      </c>
      <c r="B17" t="s">
        <v>13</v>
      </c>
      <c r="C17" t="s">
        <v>7</v>
      </c>
      <c r="D17" t="s">
        <v>8</v>
      </c>
      <c r="E17" t="s">
        <v>9</v>
      </c>
      <c r="F17" t="s">
        <v>10</v>
      </c>
      <c r="G17" t="s">
        <v>12</v>
      </c>
      <c r="H17" t="s">
        <v>11</v>
      </c>
      <c r="I17" t="s">
        <v>6</v>
      </c>
      <c r="L17" t="s">
        <v>17</v>
      </c>
      <c r="M17" t="s">
        <v>14</v>
      </c>
      <c r="N17" t="s">
        <v>15</v>
      </c>
      <c r="O17" t="s">
        <v>7</v>
      </c>
      <c r="P17" t="s">
        <v>8</v>
      </c>
      <c r="Q17" t="s">
        <v>9</v>
      </c>
      <c r="R17" t="s">
        <v>10</v>
      </c>
      <c r="S17" t="s">
        <v>12</v>
      </c>
      <c r="T17" t="s">
        <v>11</v>
      </c>
    </row>
    <row r="18" spans="1:20" x14ac:dyDescent="0.2">
      <c r="A18" s="1">
        <v>1</v>
      </c>
      <c r="B18" s="1">
        <v>101</v>
      </c>
      <c r="C18" s="1">
        <v>0</v>
      </c>
      <c r="D18" s="1">
        <v>101</v>
      </c>
      <c r="E18" s="1">
        <v>0</v>
      </c>
      <c r="F18" s="1">
        <v>0</v>
      </c>
      <c r="G18" s="1">
        <v>0</v>
      </c>
      <c r="H18" s="1">
        <v>0</v>
      </c>
      <c r="I18">
        <f>SUM(C18:H18)</f>
        <v>101</v>
      </c>
      <c r="L18" s="1">
        <v>1</v>
      </c>
      <c r="M18" s="1">
        <v>1</v>
      </c>
      <c r="N18" s="1">
        <v>1</v>
      </c>
      <c r="O18" s="1">
        <f>ROUND(SQRT((M18-O10)^2+(N18-O11)^2),2)</f>
        <v>3.16</v>
      </c>
      <c r="P18" s="1">
        <f>ROUND(SQRT((M18-P10)^2+(N18-P11)^2),2)</f>
        <v>3.16</v>
      </c>
      <c r="Q18" s="1">
        <f>ROUND(SQRT((M18-Q10)^2+(N18-Q11)^2),2)</f>
        <v>4.24</v>
      </c>
      <c r="R18" s="1">
        <f>ROUND(SQRT((M18-R10)^2+(N18-R11)^2),2)</f>
        <v>7.62</v>
      </c>
      <c r="S18" s="1">
        <f>ROUND(SQRT((M18-S10)^2+(N18-S11)^2),2)</f>
        <v>5.0999999999999996</v>
      </c>
      <c r="T18" s="1">
        <f>ROUND(SQRT((M18-T10)^2+(N18-T11)^2),2)</f>
        <v>21.21</v>
      </c>
    </row>
    <row r="19" spans="1:20" x14ac:dyDescent="0.2">
      <c r="A19" s="1">
        <v>2</v>
      </c>
      <c r="B19" s="1">
        <v>102</v>
      </c>
      <c r="C19" s="1">
        <v>102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>
        <f t="shared" ref="I19:I37" si="3">SUM(C19:H19)</f>
        <v>102</v>
      </c>
      <c r="L19" s="1">
        <v>2</v>
      </c>
      <c r="M19" s="1">
        <v>3</v>
      </c>
      <c r="N19" s="1">
        <v>1</v>
      </c>
      <c r="O19" s="1">
        <f>ROUND(SQRT((M19-O10)^2+(N19-O11)^2),2)</f>
        <v>1.41</v>
      </c>
      <c r="P19" s="1">
        <f>ROUND(SQRT((M19-P10)^2+(N19-P11)^2),2)</f>
        <v>3.16</v>
      </c>
      <c r="Q19" s="1">
        <f>ROUND(SQRT((M19-Q10)^2+(N19-Q11)^2),2)</f>
        <v>3.16</v>
      </c>
      <c r="R19" s="1">
        <f>ROUND(SQRT((M19-R10)^2+(N19-R11)^2),2)</f>
        <v>5.83</v>
      </c>
      <c r="S19" s="1">
        <f>ROUND(SQRT((M19-S10)^2+(N19-S11)^2),2)</f>
        <v>5.0999999999999996</v>
      </c>
      <c r="T19" s="1">
        <f>ROUND(SQRT((M19-T10)^2+(N19-T11)^2),2)</f>
        <v>19.850000000000001</v>
      </c>
    </row>
    <row r="20" spans="1:20" x14ac:dyDescent="0.2">
      <c r="A20" s="1">
        <v>3</v>
      </c>
      <c r="B20" s="1">
        <v>103</v>
      </c>
      <c r="C20" s="1">
        <v>103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>
        <f t="shared" si="3"/>
        <v>103</v>
      </c>
      <c r="L20" s="1">
        <v>3</v>
      </c>
      <c r="M20" s="1">
        <v>5</v>
      </c>
      <c r="N20" s="1">
        <v>1</v>
      </c>
      <c r="O20" s="1">
        <f>ROUND(SQRT((M20-O10)^2+(N20-O11)^2),2)</f>
        <v>1.41</v>
      </c>
      <c r="P20" s="1">
        <f>ROUND(SQRT((M20-P10)^2+(N20-P11)^2),2)</f>
        <v>4.24</v>
      </c>
      <c r="Q20" s="1">
        <f>ROUND(SQRT((M20-Q10)^2+(N20-Q11)^2),2)</f>
        <v>3.16</v>
      </c>
      <c r="R20" s="1">
        <f>ROUND(SQRT((M20-R10)^2+(N20-R11)^2),2)</f>
        <v>4.24</v>
      </c>
      <c r="S20" s="1">
        <f>ROUND(SQRT((M20-S10)^2+(N20-S11)^2),2)</f>
        <v>5.83</v>
      </c>
      <c r="T20" s="1">
        <f>ROUND(SQRT((M20-T10)^2+(N20-T11)^2),2)</f>
        <v>18.600000000000001</v>
      </c>
    </row>
    <row r="21" spans="1:20" x14ac:dyDescent="0.2">
      <c r="A21" s="1">
        <v>4</v>
      </c>
      <c r="B21" s="1">
        <v>104</v>
      </c>
      <c r="C21" s="1">
        <v>104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>
        <f t="shared" si="3"/>
        <v>104</v>
      </c>
      <c r="L21" s="1">
        <v>4</v>
      </c>
      <c r="M21" s="1">
        <v>7</v>
      </c>
      <c r="N21" s="1">
        <v>1</v>
      </c>
      <c r="O21" s="1">
        <f>ROUND(SQRT((M21-O10)^2+(N21-O11)^2),2)</f>
        <v>3.16</v>
      </c>
      <c r="P21" s="1">
        <f>ROUND(SQRT((M21-P10)^2+(N21-P11)^2),2)</f>
        <v>5.83</v>
      </c>
      <c r="Q21" s="1">
        <f>ROUND(SQRT((M21-Q10)^2+(N21-Q11)^2),2)</f>
        <v>4.24</v>
      </c>
      <c r="R21" s="1">
        <f>ROUND(SQRT((M21-R10)^2+(N21-R11)^2),2)</f>
        <v>3.16</v>
      </c>
      <c r="S21" s="1">
        <f>ROUND(SQRT((M21-S10)^2+(N21-S11)^2),2)</f>
        <v>7.07</v>
      </c>
      <c r="T21" s="1">
        <f>ROUND(SQRT((M21-T10)^2+(N21-T11)^2),2)</f>
        <v>17.489999999999998</v>
      </c>
    </row>
    <row r="22" spans="1:20" x14ac:dyDescent="0.2">
      <c r="A22" s="1">
        <v>5</v>
      </c>
      <c r="B22" s="1">
        <v>105</v>
      </c>
      <c r="C22" s="1">
        <v>0</v>
      </c>
      <c r="D22" s="1">
        <v>0</v>
      </c>
      <c r="E22" s="1">
        <v>0</v>
      </c>
      <c r="F22" s="1">
        <v>105</v>
      </c>
      <c r="G22" s="1">
        <v>0</v>
      </c>
      <c r="H22" s="1">
        <v>0</v>
      </c>
      <c r="I22">
        <f t="shared" si="3"/>
        <v>105</v>
      </c>
      <c r="L22" s="1">
        <v>5</v>
      </c>
      <c r="M22" s="1">
        <v>9</v>
      </c>
      <c r="N22" s="1">
        <v>1</v>
      </c>
      <c r="O22" s="1">
        <f>ROUND(SQRT((M22-O10)^2+(N22-O11)^2),2)</f>
        <v>5.0999999999999996</v>
      </c>
      <c r="P22" s="1">
        <f>ROUND(SQRT((M22-P10)^2+(N22-P11)^2),2)</f>
        <v>7.62</v>
      </c>
      <c r="Q22" s="1">
        <f>ROUND(SQRT((M22-Q10)^2+(N22-Q11)^2),2)</f>
        <v>5.83</v>
      </c>
      <c r="R22" s="1">
        <f>ROUND(SQRT((M22-R10)^2+(N22-R11)^2),2)</f>
        <v>3.16</v>
      </c>
      <c r="S22" s="1">
        <f>ROUND(SQRT((M22-S10)^2+(N22-S11)^2),2)</f>
        <v>8.6</v>
      </c>
      <c r="T22" s="1">
        <f>ROUND(SQRT((M22-T10)^2+(N22-T11)^2),2)</f>
        <v>16.55</v>
      </c>
    </row>
    <row r="23" spans="1:20" x14ac:dyDescent="0.2">
      <c r="A23" s="1">
        <v>6</v>
      </c>
      <c r="B23" s="1">
        <v>106</v>
      </c>
      <c r="C23" s="1">
        <v>0</v>
      </c>
      <c r="D23" s="1">
        <v>106</v>
      </c>
      <c r="E23" s="1">
        <v>0</v>
      </c>
      <c r="F23" s="1">
        <v>0</v>
      </c>
      <c r="G23" s="1">
        <v>0</v>
      </c>
      <c r="H23" s="1">
        <v>0</v>
      </c>
      <c r="I23">
        <f t="shared" si="3"/>
        <v>106</v>
      </c>
      <c r="L23" s="1">
        <v>6</v>
      </c>
      <c r="M23" s="1">
        <v>1</v>
      </c>
      <c r="N23" s="1">
        <v>3</v>
      </c>
      <c r="O23" s="1">
        <f>ROUND(SQRT((M23-O10)^2+(N23-O11)^2),2)</f>
        <v>3.16</v>
      </c>
      <c r="P23" s="1">
        <f>ROUND(SQRT((M23-P10)^2+(N23-P11)^2),2)</f>
        <v>1.41</v>
      </c>
      <c r="Q23" s="1">
        <f>ROUND(SQRT((M23-Q10)^2+(N23-Q11)^2),2)</f>
        <v>3.16</v>
      </c>
      <c r="R23" s="1">
        <f>ROUND(SQRT((M23-R10)^2+(N23-R11)^2),2)</f>
        <v>7.07</v>
      </c>
      <c r="S23" s="1">
        <f>ROUND(SQRT((M23-S10)^2+(N23-S11)^2),2)</f>
        <v>3.16</v>
      </c>
      <c r="T23" s="1">
        <f>ROUND(SQRT((M23-T10)^2+(N23-T11)^2),2)</f>
        <v>19.850000000000001</v>
      </c>
    </row>
    <row r="24" spans="1:20" x14ac:dyDescent="0.2">
      <c r="A24" s="1">
        <v>7</v>
      </c>
      <c r="B24" s="1">
        <v>107</v>
      </c>
      <c r="C24" s="1">
        <v>0</v>
      </c>
      <c r="D24" s="1">
        <v>107</v>
      </c>
      <c r="E24" s="1">
        <v>0</v>
      </c>
      <c r="F24" s="1">
        <v>0</v>
      </c>
      <c r="G24" s="1">
        <v>0</v>
      </c>
      <c r="H24" s="1">
        <v>0</v>
      </c>
      <c r="I24">
        <f t="shared" si="3"/>
        <v>107</v>
      </c>
      <c r="L24" s="1">
        <v>7</v>
      </c>
      <c r="M24" s="1">
        <v>3</v>
      </c>
      <c r="N24" s="1">
        <v>3</v>
      </c>
      <c r="O24" s="1">
        <f>ROUND(SQRT((M24-O10)^2+(N24-O11)^2),2)</f>
        <v>1.41</v>
      </c>
      <c r="P24" s="1">
        <f>ROUND(SQRT((M24-P10)^2+(N24-P11)^2),2)</f>
        <v>1.41</v>
      </c>
      <c r="Q24" s="1">
        <f>ROUND(SQRT((M24-Q10)^2+(N24-Q11)^2),2)</f>
        <v>1.41</v>
      </c>
      <c r="R24" s="1">
        <f>ROUND(SQRT((M24-R10)^2+(N24-R11)^2),2)</f>
        <v>5.0999999999999996</v>
      </c>
      <c r="S24" s="1">
        <f>ROUND(SQRT((M24-S10)^2+(N24-S11)^2),2)</f>
        <v>3.16</v>
      </c>
      <c r="T24" s="1">
        <f>ROUND(SQRT((M24-T10)^2+(N24-T11)^2),2)</f>
        <v>18.38</v>
      </c>
    </row>
    <row r="25" spans="1:20" x14ac:dyDescent="0.2">
      <c r="A25" s="1">
        <v>8</v>
      </c>
      <c r="B25" s="1">
        <v>108</v>
      </c>
      <c r="C25" s="1">
        <v>0</v>
      </c>
      <c r="D25" s="1">
        <v>0</v>
      </c>
      <c r="E25" s="1">
        <v>108</v>
      </c>
      <c r="F25" s="1">
        <v>0</v>
      </c>
      <c r="G25" s="1">
        <v>0</v>
      </c>
      <c r="H25" s="1">
        <v>0</v>
      </c>
      <c r="I25">
        <f t="shared" si="3"/>
        <v>108</v>
      </c>
      <c r="L25" s="1">
        <v>8</v>
      </c>
      <c r="M25" s="1">
        <v>5</v>
      </c>
      <c r="N25" s="1">
        <v>3</v>
      </c>
      <c r="O25" s="1">
        <f>ROUND(SQRT((M25-O10)^2+(N25-O11)^2),2)</f>
        <v>1.41</v>
      </c>
      <c r="P25" s="1">
        <f>ROUND(SQRT((M25-P10)^2+(N25-P11)^2),2)</f>
        <v>3.16</v>
      </c>
      <c r="Q25" s="1">
        <f>ROUND(SQRT((M25-Q10)^2+(N25-Q11)^2),2)</f>
        <v>1.41</v>
      </c>
      <c r="R25" s="1">
        <f>ROUND(SQRT((M25-R10)^2+(N25-R11)^2),2)</f>
        <v>3.16</v>
      </c>
      <c r="S25" s="1">
        <f>ROUND(SQRT((M25-S10)^2+(N25-S11)^2),2)</f>
        <v>4.24</v>
      </c>
      <c r="T25" s="1">
        <f>ROUND(SQRT((M25-T10)^2+(N25-T11)^2),2)</f>
        <v>17.03</v>
      </c>
    </row>
    <row r="26" spans="1:20" x14ac:dyDescent="0.2">
      <c r="A26" s="1">
        <v>9</v>
      </c>
      <c r="B26" s="1">
        <v>109</v>
      </c>
      <c r="C26" s="1">
        <v>0</v>
      </c>
      <c r="D26" s="1">
        <v>0</v>
      </c>
      <c r="E26" s="1">
        <v>0</v>
      </c>
      <c r="F26" s="1">
        <v>109</v>
      </c>
      <c r="G26" s="1">
        <v>0</v>
      </c>
      <c r="H26" s="1">
        <v>0</v>
      </c>
      <c r="I26">
        <f t="shared" si="3"/>
        <v>109</v>
      </c>
      <c r="L26" s="1">
        <v>9</v>
      </c>
      <c r="M26" s="1">
        <v>7</v>
      </c>
      <c r="N26" s="1">
        <v>3</v>
      </c>
      <c r="O26" s="1">
        <f>ROUND(SQRT((M26-O10)^2+(N26-O11)^2),2)</f>
        <v>3.16</v>
      </c>
      <c r="P26" s="1">
        <f>ROUND(SQRT((M26-P10)^2+(N26-P11)^2),2)</f>
        <v>5.0999999999999996</v>
      </c>
      <c r="Q26" s="1">
        <f>ROUND(SQRT((M26-Q10)^2+(N26-Q11)^2),2)</f>
        <v>3.16</v>
      </c>
      <c r="R26" s="1">
        <f>ROUND(SQRT((M26-R10)^2+(N26-R11)^2),2)</f>
        <v>1.41</v>
      </c>
      <c r="S26" s="1">
        <f>ROUND(SQRT((M26-S10)^2+(N26-S11)^2),2)</f>
        <v>5.83</v>
      </c>
      <c r="T26" s="1">
        <f>ROUND(SQRT((M26-T10)^2+(N26-T11)^2),2)</f>
        <v>15.81</v>
      </c>
    </row>
    <row r="27" spans="1:20" x14ac:dyDescent="0.2">
      <c r="A27" s="1">
        <v>10</v>
      </c>
      <c r="B27" s="1">
        <v>110</v>
      </c>
      <c r="C27" s="1">
        <v>0</v>
      </c>
      <c r="D27" s="1">
        <v>0</v>
      </c>
      <c r="E27" s="1">
        <v>0</v>
      </c>
      <c r="F27" s="1">
        <v>110</v>
      </c>
      <c r="G27" s="1">
        <v>0</v>
      </c>
      <c r="H27" s="1">
        <v>0</v>
      </c>
      <c r="I27">
        <f t="shared" si="3"/>
        <v>110</v>
      </c>
      <c r="L27" s="1">
        <v>10</v>
      </c>
      <c r="M27" s="1">
        <v>9</v>
      </c>
      <c r="N27" s="1">
        <v>3</v>
      </c>
      <c r="O27" s="1">
        <f>ROUND(SQRT((M27-O10)^2+(N27-O11)^2),2)</f>
        <v>5.0999999999999996</v>
      </c>
      <c r="P27" s="1">
        <f>ROUND(SQRT((M27-P10)^2+(N27-P11)^2),2)</f>
        <v>7.07</v>
      </c>
      <c r="Q27" s="1">
        <f>ROUND(SQRT((M27-Q10)^2+(N27-Q11)^2),2)</f>
        <v>5.0999999999999996</v>
      </c>
      <c r="R27" s="1">
        <f>ROUND(SQRT((M27-R10)^2+(N27-R11)^2),2)</f>
        <v>1.41</v>
      </c>
      <c r="S27" s="1">
        <f>ROUND(SQRT((M27-S10)^2+(N27-S11)^2),2)</f>
        <v>7.62</v>
      </c>
      <c r="T27" s="1">
        <f>ROUND(SQRT((M27-T10)^2+(N27-T11)^2),2)</f>
        <v>14.76</v>
      </c>
    </row>
    <row r="28" spans="1:20" x14ac:dyDescent="0.2">
      <c r="A28" s="1">
        <v>11</v>
      </c>
      <c r="B28" s="1">
        <v>111</v>
      </c>
      <c r="C28" s="1">
        <v>0</v>
      </c>
      <c r="D28" s="1">
        <v>0</v>
      </c>
      <c r="E28" s="1">
        <v>0</v>
      </c>
      <c r="F28" s="1">
        <v>0</v>
      </c>
      <c r="G28" s="1">
        <v>111</v>
      </c>
      <c r="H28" s="1">
        <v>0</v>
      </c>
      <c r="I28">
        <f t="shared" si="3"/>
        <v>111</v>
      </c>
      <c r="L28" s="1">
        <v>11</v>
      </c>
      <c r="M28" s="1">
        <v>1</v>
      </c>
      <c r="N28" s="1">
        <v>5</v>
      </c>
      <c r="O28" s="1">
        <f>ROUND(SQRT((M28-O10)^2+(N28-O11)^2),2)</f>
        <v>4.24</v>
      </c>
      <c r="P28" s="1">
        <f>ROUND(SQRT((M28-P10)^2+(N28-P11)^2),2)</f>
        <v>1.41</v>
      </c>
      <c r="Q28" s="1">
        <f>ROUND(SQRT((M28-Q10)^2+(N28-Q11)^2),2)</f>
        <v>3.16</v>
      </c>
      <c r="R28" s="1">
        <f>ROUND(SQRT((M28-R10)^2+(N28-R11)^2),2)</f>
        <v>7.07</v>
      </c>
      <c r="S28" s="1">
        <f>ROUND(SQRT((M28-S10)^2+(N28-S11)^2),2)</f>
        <v>1.41</v>
      </c>
      <c r="T28" s="1">
        <f>ROUND(SQRT((M28-T10)^2+(N28-T11)^2),2)</f>
        <v>18.600000000000001</v>
      </c>
    </row>
    <row r="29" spans="1:20" x14ac:dyDescent="0.2">
      <c r="A29" s="1">
        <v>12</v>
      </c>
      <c r="B29" s="1">
        <v>112</v>
      </c>
      <c r="C29" s="1">
        <v>0</v>
      </c>
      <c r="D29" s="1">
        <v>0</v>
      </c>
      <c r="E29" s="1">
        <v>0</v>
      </c>
      <c r="F29" s="1">
        <v>0</v>
      </c>
      <c r="G29" s="1">
        <v>112</v>
      </c>
      <c r="H29" s="1">
        <v>0</v>
      </c>
      <c r="I29">
        <f t="shared" si="3"/>
        <v>112</v>
      </c>
      <c r="L29" s="1">
        <v>12</v>
      </c>
      <c r="M29" s="1">
        <v>3</v>
      </c>
      <c r="N29" s="1">
        <v>5</v>
      </c>
      <c r="O29" s="1">
        <f>ROUND(SQRT((M29-O10)^2+(N29-O11)^2),2)</f>
        <v>3.16</v>
      </c>
      <c r="P29" s="1">
        <f>ROUND(SQRT((M29-P10)^2+(N29-P11)^2),2)</f>
        <v>1.41</v>
      </c>
      <c r="Q29" s="1">
        <f>ROUND(SQRT((M29-Q10)^2+(N29-Q11)^2),2)</f>
        <v>1.41</v>
      </c>
      <c r="R29" s="1">
        <f>ROUND(SQRT((M29-R10)^2+(N29-R11)^2),2)</f>
        <v>5.0999999999999996</v>
      </c>
      <c r="S29" s="1">
        <f>ROUND(SQRT((M29-S10)^2+(N29-S11)^2),2)</f>
        <v>1.41</v>
      </c>
      <c r="T29" s="1">
        <f>ROUND(SQRT((M29-T10)^2+(N29-T11)^2),2)</f>
        <v>17.03</v>
      </c>
    </row>
    <row r="30" spans="1:20" x14ac:dyDescent="0.2">
      <c r="A30" s="1">
        <v>13</v>
      </c>
      <c r="B30" s="1">
        <v>113</v>
      </c>
      <c r="C30" s="1">
        <v>0</v>
      </c>
      <c r="D30" s="1">
        <v>0</v>
      </c>
      <c r="E30" s="1">
        <v>113</v>
      </c>
      <c r="F30" s="1">
        <v>0</v>
      </c>
      <c r="G30" s="1">
        <v>0</v>
      </c>
      <c r="H30" s="1">
        <v>0</v>
      </c>
      <c r="I30">
        <f t="shared" si="3"/>
        <v>113</v>
      </c>
      <c r="L30" s="1">
        <v>13</v>
      </c>
      <c r="M30" s="1">
        <v>5</v>
      </c>
      <c r="N30" s="1">
        <v>5</v>
      </c>
      <c r="O30" s="1">
        <f>ROUND(SQRT((M30-O10)^2+(N30-O11)^2),2)</f>
        <v>3.16</v>
      </c>
      <c r="P30" s="1">
        <f>ROUND(SQRT((M30-P10)^2+(N30-P11)^2),2)</f>
        <v>3.16</v>
      </c>
      <c r="Q30" s="1">
        <f>ROUND(SQRT((M30-Q10)^2+(N30-Q11)^2),2)</f>
        <v>1.41</v>
      </c>
      <c r="R30" s="1">
        <f>ROUND(SQRT((M30-R10)^2+(N30-R11)^2),2)</f>
        <v>3.16</v>
      </c>
      <c r="S30" s="1">
        <f>ROUND(SQRT((M30-S10)^2+(N30-S11)^2),2)</f>
        <v>3.16</v>
      </c>
      <c r="T30" s="1">
        <f>ROUND(SQRT((M30-T10)^2+(N30-T11)^2),2)</f>
        <v>15.56</v>
      </c>
    </row>
    <row r="31" spans="1:20" x14ac:dyDescent="0.2">
      <c r="A31" s="1">
        <v>14</v>
      </c>
      <c r="B31" s="1">
        <v>114</v>
      </c>
      <c r="C31" s="1">
        <v>0</v>
      </c>
      <c r="D31" s="1">
        <v>0</v>
      </c>
      <c r="E31" s="1">
        <v>0</v>
      </c>
      <c r="F31" s="1">
        <v>114</v>
      </c>
      <c r="G31" s="1">
        <v>0</v>
      </c>
      <c r="H31" s="1">
        <v>0</v>
      </c>
      <c r="I31">
        <f t="shared" si="3"/>
        <v>114</v>
      </c>
      <c r="L31" s="1">
        <v>14</v>
      </c>
      <c r="M31" s="1">
        <v>7</v>
      </c>
      <c r="N31" s="1">
        <v>5</v>
      </c>
      <c r="O31" s="1">
        <f>ROUND(SQRT((M31-O10)^2+(N31-O11)^2),2)</f>
        <v>4.24</v>
      </c>
      <c r="P31" s="1">
        <f>ROUND(SQRT((M31-P10)^2+(N31-P11)^2),2)</f>
        <v>5.0999999999999996</v>
      </c>
      <c r="Q31" s="1">
        <f>ROUND(SQRT((M31-Q10)^2+(N31-Q11)^2),2)</f>
        <v>3.16</v>
      </c>
      <c r="R31" s="1">
        <f>ROUND(SQRT((M31-R10)^2+(N31-R11)^2),2)</f>
        <v>1.41</v>
      </c>
      <c r="S31" s="1">
        <f>ROUND(SQRT((M31-S10)^2+(N31-S11)^2),2)</f>
        <v>5.0999999999999996</v>
      </c>
      <c r="T31" s="1">
        <f>ROUND(SQRT((M31-T10)^2+(N31-T11)^2),2)</f>
        <v>14.21</v>
      </c>
    </row>
    <row r="32" spans="1:20" x14ac:dyDescent="0.2">
      <c r="A32" s="1">
        <v>15</v>
      </c>
      <c r="B32" s="1">
        <v>115</v>
      </c>
      <c r="C32" s="1">
        <v>0</v>
      </c>
      <c r="D32" s="1">
        <v>0</v>
      </c>
      <c r="E32" s="1">
        <v>0</v>
      </c>
      <c r="F32" s="1">
        <v>115</v>
      </c>
      <c r="G32" s="1">
        <v>0</v>
      </c>
      <c r="H32" s="1">
        <v>0</v>
      </c>
      <c r="I32">
        <f t="shared" si="3"/>
        <v>115</v>
      </c>
      <c r="L32" s="1">
        <v>15</v>
      </c>
      <c r="M32" s="1">
        <v>9</v>
      </c>
      <c r="N32" s="1">
        <v>5</v>
      </c>
      <c r="O32" s="1">
        <f>ROUND(SQRT((M32-O10)^2+(N32-O11)^2),2)</f>
        <v>5.83</v>
      </c>
      <c r="P32" s="1">
        <f>ROUND(SQRT((M32-P10)^2+(N32-P11)^2),2)</f>
        <v>7.07</v>
      </c>
      <c r="Q32" s="1">
        <f>ROUND(SQRT((M32-Q10)^2+(N32-Q11)^2),2)</f>
        <v>5.0999999999999996</v>
      </c>
      <c r="R32" s="1">
        <f>ROUND(SQRT((M32-R10)^2+(N32-R11)^2),2)</f>
        <v>1.41</v>
      </c>
      <c r="S32" s="1">
        <f>ROUND(SQRT((M32-S10)^2+(N32-S11)^2),2)</f>
        <v>7.07</v>
      </c>
      <c r="T32" s="1">
        <f>ROUND(SQRT((M32-T10)^2+(N32-T11)^2),2)</f>
        <v>13.04</v>
      </c>
    </row>
    <row r="33" spans="1:20" x14ac:dyDescent="0.2">
      <c r="A33" s="1">
        <v>16</v>
      </c>
      <c r="B33" s="1">
        <v>116</v>
      </c>
      <c r="C33" s="1">
        <v>0</v>
      </c>
      <c r="D33" s="1">
        <v>0</v>
      </c>
      <c r="E33" s="1">
        <v>0</v>
      </c>
      <c r="F33" s="1">
        <v>0</v>
      </c>
      <c r="G33" s="1">
        <v>116</v>
      </c>
      <c r="H33" s="1">
        <v>0</v>
      </c>
      <c r="I33">
        <f t="shared" si="3"/>
        <v>116</v>
      </c>
      <c r="L33" s="1">
        <v>16</v>
      </c>
      <c r="M33" s="1">
        <v>1</v>
      </c>
      <c r="N33" s="1">
        <v>7</v>
      </c>
      <c r="O33" s="1">
        <f>ROUND(SQRT((M33-O10)^2+(N33-O11)^2),2)</f>
        <v>5.83</v>
      </c>
      <c r="P33" s="1">
        <f>ROUND(SQRT((M33-P10)^2+(N33-P11)^2),2)</f>
        <v>3.16</v>
      </c>
      <c r="Q33" s="1">
        <f>ROUND(SQRT((M33-Q10)^2+(N33-Q11)^2),2)</f>
        <v>4.24</v>
      </c>
      <c r="R33" s="1">
        <f>ROUND(SQRT((M33-R10)^2+(N33-R11)^2),2)</f>
        <v>7.62</v>
      </c>
      <c r="S33" s="1">
        <f>ROUND(SQRT((M33-S10)^2+(N33-S11)^2),2)</f>
        <v>1.41</v>
      </c>
      <c r="T33" s="1">
        <f>ROUND(SQRT((M33-T10)^2+(N33-T11)^2),2)</f>
        <v>17.489999999999998</v>
      </c>
    </row>
    <row r="34" spans="1:20" x14ac:dyDescent="0.2">
      <c r="A34" s="1">
        <v>17</v>
      </c>
      <c r="B34" s="1">
        <v>117</v>
      </c>
      <c r="C34" s="1">
        <v>0</v>
      </c>
      <c r="D34" s="1">
        <v>0</v>
      </c>
      <c r="E34" s="1">
        <v>0</v>
      </c>
      <c r="F34" s="1">
        <v>0</v>
      </c>
      <c r="G34" s="1">
        <v>117</v>
      </c>
      <c r="H34" s="1">
        <v>0</v>
      </c>
      <c r="I34">
        <f t="shared" si="3"/>
        <v>117</v>
      </c>
      <c r="L34" s="1">
        <v>17</v>
      </c>
      <c r="M34" s="1">
        <v>3</v>
      </c>
      <c r="N34" s="1">
        <v>7</v>
      </c>
      <c r="O34" s="1">
        <f>ROUND(SQRT((M34-O10)^2+(N34-O11)^2),2)</f>
        <v>5.0999999999999996</v>
      </c>
      <c r="P34" s="1">
        <f>ROUND(SQRT((M34-P10)^2+(N34-P11)^2),2)</f>
        <v>3.16</v>
      </c>
      <c r="Q34" s="1">
        <f>ROUND(SQRT((M34-Q10)^2+(N34-Q11)^2),2)</f>
        <v>3.16</v>
      </c>
      <c r="R34" s="1">
        <f>ROUND(SQRT((M34-R10)^2+(N34-R11)^2),2)</f>
        <v>5.83</v>
      </c>
      <c r="S34" s="1">
        <f>ROUND(SQRT((M34-S10)^2+(N34-S11)^2),2)</f>
        <v>1.41</v>
      </c>
      <c r="T34" s="1">
        <f>ROUND(SQRT((M34-T10)^2+(N34-T11)^2),2)</f>
        <v>15.81</v>
      </c>
    </row>
    <row r="35" spans="1:20" x14ac:dyDescent="0.2">
      <c r="A35" s="1">
        <v>18</v>
      </c>
      <c r="B35" s="1">
        <v>118</v>
      </c>
      <c r="C35" s="1">
        <v>0</v>
      </c>
      <c r="D35" s="1">
        <v>0</v>
      </c>
      <c r="E35" s="1">
        <v>0</v>
      </c>
      <c r="F35" s="1">
        <v>0</v>
      </c>
      <c r="G35" s="1">
        <v>118</v>
      </c>
      <c r="H35" s="1">
        <v>0</v>
      </c>
      <c r="I35">
        <f t="shared" si="3"/>
        <v>118</v>
      </c>
      <c r="L35" s="1">
        <v>18</v>
      </c>
      <c r="M35" s="1">
        <v>5</v>
      </c>
      <c r="N35" s="1">
        <v>7</v>
      </c>
      <c r="O35" s="1">
        <f>ROUND(SQRT((M35-O10)^2+(N35-O11)^2),2)</f>
        <v>5.0999999999999996</v>
      </c>
      <c r="P35" s="1">
        <f>ROUND(SQRT((M35-P10)^2+(N35-P11)^2),2)</f>
        <v>4.24</v>
      </c>
      <c r="Q35" s="1">
        <f>ROUND(SQRT((M35-Q10)^2+(N35-Q11)^2),2)</f>
        <v>3.16</v>
      </c>
      <c r="R35" s="1">
        <f>ROUND(SQRT((M35-R10)^2+(N35-R11)^2),2)</f>
        <v>4.24</v>
      </c>
      <c r="S35" s="1">
        <f>ROUND(SQRT((M35-S10)^2+(N35-S11)^2),2)</f>
        <v>3.16</v>
      </c>
      <c r="T35" s="1">
        <f>ROUND(SQRT((M35-T10)^2+(N35-T11)^2),2)</f>
        <v>14.21</v>
      </c>
    </row>
    <row r="36" spans="1:20" x14ac:dyDescent="0.2">
      <c r="A36" s="1">
        <v>19</v>
      </c>
      <c r="B36" s="1">
        <v>119</v>
      </c>
      <c r="C36" s="1">
        <v>0</v>
      </c>
      <c r="D36" s="1">
        <v>0</v>
      </c>
      <c r="E36" s="1">
        <v>0</v>
      </c>
      <c r="F36" s="1">
        <v>119</v>
      </c>
      <c r="G36" s="1">
        <v>0</v>
      </c>
      <c r="H36" s="1">
        <v>0</v>
      </c>
      <c r="I36">
        <f t="shared" si="3"/>
        <v>119</v>
      </c>
      <c r="L36" s="1">
        <v>19</v>
      </c>
      <c r="M36" s="1">
        <v>7</v>
      </c>
      <c r="N36" s="1">
        <v>7</v>
      </c>
      <c r="O36" s="1">
        <f>ROUND(SQRT((M36-O10)^2+(N36-O11)^2),2)</f>
        <v>5.83</v>
      </c>
      <c r="P36" s="1">
        <f>ROUND(SQRT((M36-P10)^2+(N36-P11)^2),2)</f>
        <v>5.83</v>
      </c>
      <c r="Q36" s="1">
        <f>ROUND(SQRT((M36-Q10)^2+(N36-Q11)^2),2)</f>
        <v>4.24</v>
      </c>
      <c r="R36" s="1">
        <f>ROUND(SQRT((M36-R10)^2+(N36-R11)^2),2)</f>
        <v>3.16</v>
      </c>
      <c r="S36" s="1">
        <f>ROUND(SQRT((M36-S10)^2+(N36-S11)^2),2)</f>
        <v>5.0999999999999996</v>
      </c>
      <c r="T36" s="1">
        <f>ROUND(SQRT((M36-T10)^2+(N36-T11)^2),2)</f>
        <v>12.73</v>
      </c>
    </row>
    <row r="37" spans="1:20" x14ac:dyDescent="0.2">
      <c r="A37" s="1">
        <v>20</v>
      </c>
      <c r="B37" s="1">
        <v>2090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2090</v>
      </c>
      <c r="I37">
        <f t="shared" si="3"/>
        <v>2090</v>
      </c>
      <c r="L37" s="1">
        <v>20</v>
      </c>
      <c r="M37" s="1">
        <v>17</v>
      </c>
      <c r="N37" s="1">
        <v>17</v>
      </c>
      <c r="O37" s="1">
        <f>ROUND(SQRT((M37-O10)^2+(N37-O11)^2),2)</f>
        <v>19.850000000000001</v>
      </c>
      <c r="P37" s="1">
        <f>ROUND(SQRT((M37-P10)^2+(N37-P11)^2),2)</f>
        <v>19.850000000000001</v>
      </c>
      <c r="Q37" s="1">
        <f>ROUND(SQRT((M37-Q10)^2+(N37-Q11)^2),2)</f>
        <v>18.38</v>
      </c>
      <c r="R37" s="1">
        <f>ROUND(SQRT((M37-R10)^2+(N37-R11)^2),2)</f>
        <v>15.81</v>
      </c>
      <c r="S37" s="1">
        <f>ROUND(SQRT((M37-S10)^2+(N37-S11)^2),2)</f>
        <v>18.600000000000001</v>
      </c>
      <c r="T37" s="1">
        <f>ROUND(SQRT((M37-T10)^2+(N37-T11)^2),2)</f>
        <v>1.41</v>
      </c>
    </row>
    <row r="38" spans="1:20" x14ac:dyDescent="0.2">
      <c r="B38" s="4" t="s">
        <v>5</v>
      </c>
      <c r="C38">
        <f t="shared" ref="C38:H38" si="4">SUM(C18:C37)</f>
        <v>309</v>
      </c>
      <c r="D38">
        <f t="shared" si="4"/>
        <v>314</v>
      </c>
      <c r="E38">
        <f t="shared" si="4"/>
        <v>221</v>
      </c>
      <c r="F38">
        <f t="shared" si="4"/>
        <v>672</v>
      </c>
      <c r="G38">
        <f t="shared" si="4"/>
        <v>574</v>
      </c>
      <c r="H38">
        <f t="shared" si="4"/>
        <v>2090</v>
      </c>
    </row>
    <row r="41" spans="1:20" x14ac:dyDescent="0.2">
      <c r="P41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Microsoft Office User</cp:lastModifiedBy>
  <dcterms:created xsi:type="dcterms:W3CDTF">2018-04-29T18:03:23Z</dcterms:created>
  <dcterms:modified xsi:type="dcterms:W3CDTF">2022-05-09T12:10:45Z</dcterms:modified>
</cp:coreProperties>
</file>