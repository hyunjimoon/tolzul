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C:\Users\mmasuku\Desktop\Michelle's folders\2021 Quality assurance\Francois\MIT-BSC Evaluation\5. Module 4\2. Michelle R1 QA\Unit 3\4.9 Activity submission\"/>
    </mc:Choice>
  </mc:AlternateContent>
  <xr:revisionPtr revIDLastSave="0" documentId="13_ncr:1_{08B862D3-D9FA-40F4-8C7B-B170565E17B0}" xr6:coauthVersionLast="46" xr6:coauthVersionMax="46" xr10:uidLastSave="{00000000-0000-0000-0000-000000000000}"/>
  <bookViews>
    <workbookView xWindow="-20610" yWindow="2865" windowWidth="20730" windowHeight="11160" tabRatio="500" xr2:uid="{00000000-000D-0000-FFFF-FFFF00000000}"/>
  </bookViews>
  <sheets>
    <sheet name="Scenario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" i="3" l="1"/>
  <c r="F14" i="3"/>
  <c r="F15" i="3"/>
  <c r="G14" i="3"/>
  <c r="G15" i="3"/>
  <c r="H14" i="3"/>
  <c r="H15" i="3"/>
  <c r="J15" i="3"/>
  <c r="D14" i="3"/>
  <c r="D16" i="3"/>
  <c r="J18" i="3"/>
  <c r="J11" i="3"/>
  <c r="H5" i="3"/>
  <c r="I5" i="3"/>
  <c r="I3" i="3"/>
  <c r="C14" i="3"/>
  <c r="C16" i="3"/>
  <c r="C48" i="3"/>
  <c r="H48" i="3"/>
  <c r="F48" i="3"/>
  <c r="D48" i="3"/>
  <c r="E14" i="3"/>
  <c r="E16" i="3"/>
  <c r="E48" i="3"/>
  <c r="G48" i="3"/>
  <c r="D37" i="3"/>
  <c r="C43" i="3"/>
  <c r="O13" i="3"/>
  <c r="O12" i="3"/>
  <c r="I11" i="3"/>
  <c r="I12" i="3"/>
  <c r="J13" i="3"/>
  <c r="J16" i="3"/>
  <c r="J22" i="3"/>
  <c r="I29" i="3"/>
  <c r="D36" i="3"/>
  <c r="C45" i="3"/>
  <c r="O17" i="3"/>
  <c r="O16" i="3"/>
  <c r="J12" i="3"/>
  <c r="L12" i="3"/>
  <c r="J17" i="3"/>
  <c r="L3" i="3"/>
  <c r="I30" i="3"/>
  <c r="J20" i="3"/>
  <c r="L11" i="3"/>
  <c r="E47" i="3"/>
  <c r="H47" i="3"/>
  <c r="C47" i="3"/>
  <c r="G47" i="3"/>
  <c r="D47" i="3"/>
  <c r="F47" i="3"/>
  <c r="C37" i="3"/>
  <c r="B43" i="3"/>
  <c r="N13" i="3"/>
  <c r="N12" i="3"/>
  <c r="E49" i="3"/>
  <c r="H49" i="3"/>
  <c r="C49" i="3"/>
  <c r="F49" i="3"/>
  <c r="G49" i="3"/>
  <c r="D49" i="3"/>
  <c r="E37" i="3"/>
  <c r="D43" i="3"/>
  <c r="P13" i="3"/>
  <c r="P12" i="3"/>
  <c r="E50" i="3"/>
  <c r="H50" i="3"/>
  <c r="C50" i="3"/>
  <c r="F50" i="3"/>
  <c r="D50" i="3"/>
  <c r="G50" i="3"/>
  <c r="F37" i="3"/>
  <c r="E43" i="3"/>
  <c r="Q13" i="3"/>
  <c r="Q12" i="3"/>
  <c r="I31" i="3"/>
  <c r="F36" i="3"/>
  <c r="E45" i="3"/>
  <c r="Q17" i="3"/>
  <c r="Q16" i="3"/>
  <c r="E36" i="3"/>
  <c r="D45" i="3"/>
  <c r="P17" i="3"/>
  <c r="P16" i="3"/>
  <c r="L21" i="3"/>
  <c r="L20" i="3"/>
  <c r="I28" i="3"/>
  <c r="C36" i="3"/>
  <c r="B45" i="3"/>
  <c r="N17" i="3"/>
  <c r="N16" i="3"/>
  <c r="N42" i="3"/>
  <c r="S40" i="3"/>
  <c r="M42" i="3"/>
  <c r="R40" i="3"/>
  <c r="L42" i="3"/>
  <c r="Q40" i="3"/>
  <c r="S39" i="3"/>
  <c r="R39" i="3"/>
  <c r="Q39" i="3"/>
  <c r="K42" i="3"/>
  <c r="P40" i="3"/>
  <c r="P39" i="3"/>
  <c r="K41" i="3"/>
  <c r="L41" i="3"/>
  <c r="M41" i="3"/>
  <c r="N41" i="3"/>
  <c r="I34" i="3"/>
  <c r="L17" i="3"/>
  <c r="H51" i="3"/>
  <c r="G51" i="3"/>
  <c r="F51" i="3"/>
  <c r="E51" i="3"/>
  <c r="D51" i="3"/>
  <c r="C51" i="3"/>
  <c r="E42" i="3"/>
  <c r="D42" i="3"/>
  <c r="C42" i="3"/>
  <c r="B42" i="3"/>
</calcChain>
</file>

<file path=xl/sharedStrings.xml><?xml version="1.0" encoding="utf-8"?>
<sst xmlns="http://schemas.openxmlformats.org/spreadsheetml/2006/main" count="111" uniqueCount="78">
  <si>
    <t>Total m2</t>
  </si>
  <si>
    <t>People living and working</t>
  </si>
  <si>
    <t>22x22m</t>
  </si>
  <si>
    <t>Total interactive area of Volpe</t>
  </si>
  <si>
    <t>O M Bricks</t>
  </si>
  <si>
    <t>O L Bricks</t>
  </si>
  <si>
    <t>O S Bricks</t>
  </si>
  <si>
    <t>R M Bricks</t>
  </si>
  <si>
    <t>R L Bricks</t>
  </si>
  <si>
    <t>R S Bricks</t>
  </si>
  <si>
    <t>OK</t>
  </si>
  <si>
    <t>Out of legislation</t>
  </si>
  <si>
    <t xml:space="preserve">OK </t>
  </si>
  <si>
    <t>Outputs</t>
  </si>
  <si>
    <t>Out of plot area</t>
  </si>
  <si>
    <t xml:space="preserve">Number of new people living </t>
  </si>
  <si>
    <t>Number of new people working</t>
  </si>
  <si>
    <t>m2 per unit</t>
  </si>
  <si>
    <t>m2 per person</t>
  </si>
  <si>
    <t>People living</t>
  </si>
  <si>
    <t>People Working</t>
  </si>
  <si>
    <t>Total people living and working</t>
  </si>
  <si>
    <t>Balance between commuters and people living</t>
  </si>
  <si>
    <t>You have empty houses</t>
  </si>
  <si>
    <t>Entrepreneurship</t>
  </si>
  <si>
    <t>Vibrant Community</t>
  </si>
  <si>
    <t>Sustainability</t>
  </si>
  <si>
    <t>Traffic</t>
  </si>
  <si>
    <t>Max</t>
  </si>
  <si>
    <t xml:space="preserve">Our </t>
  </si>
  <si>
    <t>Min</t>
  </si>
  <si>
    <t>Total new people</t>
  </si>
  <si>
    <t>Enterp</t>
  </si>
  <si>
    <t>Weights</t>
  </si>
  <si>
    <t>RADAR</t>
  </si>
  <si>
    <t>TOP LIMINT</t>
  </si>
  <si>
    <t>% Of Improvement</t>
  </si>
  <si>
    <t>Total number of brick units in Volpe</t>
  </si>
  <si>
    <t>Average number of floors</t>
  </si>
  <si>
    <t>Developer profits</t>
  </si>
  <si>
    <t>Entrepreneurship (Vibrant)</t>
  </si>
  <si>
    <t>OL OM OS RL RM RL</t>
  </si>
  <si>
    <t>OS RS</t>
  </si>
  <si>
    <t>OS RS OM RM OL RL</t>
  </si>
  <si>
    <r>
      <rPr>
        <b/>
        <sz val="12"/>
        <color theme="0"/>
        <rFont val="Helvetica Neue"/>
      </rPr>
      <t xml:space="preserve">11210 </t>
    </r>
    <r>
      <rPr>
        <sz val="12"/>
        <color theme="0"/>
        <rFont val="Helvetica Neue"/>
      </rPr>
      <t>people commuting</t>
    </r>
  </si>
  <si>
    <t>Medium office size</t>
  </si>
  <si>
    <t>Medium house size</t>
  </si>
  <si>
    <t>Large house size</t>
  </si>
  <si>
    <t>Total commuters</t>
  </si>
  <si>
    <t>Large office size</t>
  </si>
  <si>
    <t>Volpe urban area</t>
  </si>
  <si>
    <t>TOP LIMIT</t>
  </si>
  <si>
    <r>
      <rPr>
        <b/>
        <sz val="12"/>
        <color theme="1"/>
        <rFont val="Helvetica Neue"/>
      </rPr>
      <t>15000</t>
    </r>
    <r>
      <rPr>
        <sz val="12"/>
        <color theme="1"/>
        <rFont val="Helvetica Neue"/>
      </rPr>
      <t xml:space="preserve"> people living + working around Kendall Square</t>
    </r>
  </si>
  <si>
    <t>Bricks</t>
  </si>
  <si>
    <t>Max. number of floors</t>
  </si>
  <si>
    <t>CityScope radar plot - People living and working within a walkable distance</t>
  </si>
  <si>
    <t>Entrepreneurship (vibrant)</t>
  </si>
  <si>
    <r>
      <t>Volpe construction limit (m2):</t>
    </r>
    <r>
      <rPr>
        <b/>
        <sz val="12"/>
        <color theme="0"/>
        <rFont val="Helvetica Neue"/>
      </rPr>
      <t>15000</t>
    </r>
  </si>
  <si>
    <r>
      <t>Total m</t>
    </r>
    <r>
      <rPr>
        <b/>
        <sz val="12"/>
        <color theme="1"/>
        <rFont val="Calibri"/>
        <family val="2"/>
      </rPr>
      <t>²</t>
    </r>
    <r>
      <rPr>
        <b/>
        <sz val="12"/>
        <color theme="1"/>
        <rFont val="Helvetica Neue"/>
      </rPr>
      <t xml:space="preserve"> built</t>
    </r>
  </si>
  <si>
    <r>
      <t>Area of 1 brick (m</t>
    </r>
    <r>
      <rPr>
        <b/>
        <sz val="12"/>
        <color theme="1"/>
        <rFont val="Calibri"/>
        <family val="2"/>
      </rPr>
      <t>²</t>
    </r>
    <r>
      <rPr>
        <b/>
        <sz val="12"/>
        <color theme="1"/>
        <rFont val="Helvetica Neue"/>
      </rPr>
      <t>)</t>
    </r>
  </si>
  <si>
    <t>Number of bricks (484,00 m²)</t>
  </si>
  <si>
    <t>Number of floors (x484,00 m² per floor)</t>
  </si>
  <si>
    <t xml:space="preserve">Urban impact in Volpe and surroundings (1km²) </t>
  </si>
  <si>
    <t>Urban impact inside Volpe area only (41,140m²)</t>
  </si>
  <si>
    <t>Urban impact only inside of Volpe area (41140m²)</t>
  </si>
  <si>
    <r>
      <t xml:space="preserve">Current working population: </t>
    </r>
    <r>
      <rPr>
        <b/>
        <sz val="12"/>
        <color theme="1"/>
        <rFont val="Helvetica Neue"/>
      </rPr>
      <t>7000</t>
    </r>
  </si>
  <si>
    <t>Note: The data in this sheet is not fine-grained or accurate. This is a simplified version of the CityScope Volpe table.</t>
  </si>
  <si>
    <t>Sides of Lego brick</t>
  </si>
  <si>
    <t>OL Bricks</t>
  </si>
  <si>
    <t>OM Bricks</t>
  </si>
  <si>
    <t>OS Bricks</t>
  </si>
  <si>
    <t>RL Bricks</t>
  </si>
  <si>
    <t>RM Bricks</t>
  </si>
  <si>
    <t>RS Bricks</t>
  </si>
  <si>
    <t>Small / Co-working space</t>
  </si>
  <si>
    <t>Small / Micro-units</t>
  </si>
  <si>
    <t>Lego bricks left =</t>
  </si>
  <si>
    <t>Total Lego bricks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</si>
</sst>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0"/>
      <name val="Helvetica Neue"/>
    </font>
    <font>
      <sz val="12"/>
      <color theme="1"/>
      <name val="Helvetica Neue"/>
    </font>
    <font>
      <b/>
      <sz val="12"/>
      <color theme="1"/>
      <name val="Helvetica Neue"/>
    </font>
    <font>
      <sz val="12"/>
      <color rgb="FFFF0000"/>
      <name val="Helvetica Neue"/>
    </font>
    <font>
      <b/>
      <sz val="16"/>
      <color theme="0"/>
      <name val="Helvetica Neue"/>
    </font>
    <font>
      <b/>
      <sz val="12"/>
      <color theme="0"/>
      <name val="Helvetica Neue"/>
    </font>
    <font>
      <b/>
      <sz val="16"/>
      <color theme="9" tint="-0.249977111117893"/>
      <name val="Helvetica Neue"/>
    </font>
    <font>
      <b/>
      <sz val="12"/>
      <color rgb="FF0070C0"/>
      <name val="Helvetica Neue"/>
    </font>
    <font>
      <b/>
      <sz val="12"/>
      <color rgb="FF000000"/>
      <name val="Helvetica Neue"/>
    </font>
    <font>
      <b/>
      <sz val="16"/>
      <color rgb="FF0070C0"/>
      <name val="Helvetica Neue"/>
    </font>
    <font>
      <sz val="12"/>
      <color theme="1" tint="0.499984740745262"/>
      <name val="Helvetica Neue"/>
    </font>
    <font>
      <sz val="12"/>
      <name val="Helvetica Neue"/>
    </font>
    <font>
      <b/>
      <sz val="16"/>
      <color rgb="FF92D050"/>
      <name val="Helvetica Neue"/>
    </font>
    <font>
      <b/>
      <sz val="18"/>
      <color theme="0"/>
      <name val="Helvetica Neue"/>
    </font>
    <font>
      <b/>
      <sz val="14"/>
      <color theme="1"/>
      <name val="Helvetica Neue"/>
    </font>
    <font>
      <b/>
      <sz val="16"/>
      <color theme="1" tint="0.499984740745262"/>
      <name val="Helvetica Neue"/>
    </font>
    <font>
      <sz val="16"/>
      <color theme="1" tint="0.499984740745262"/>
      <name val="Helvetica Neue"/>
    </font>
    <font>
      <b/>
      <sz val="20"/>
      <color theme="0"/>
      <name val="Helvetica Neue"/>
    </font>
    <font>
      <sz val="3"/>
      <color theme="0"/>
      <name val="Helvetica Neue"/>
    </font>
    <font>
      <b/>
      <sz val="12"/>
      <color theme="3"/>
      <name val="Helvetica Neue"/>
    </font>
    <font>
      <sz val="9"/>
      <color theme="1"/>
      <name val="Helvetica Neue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7">
    <xf numFmtId="0" fontId="0" fillId="0" borderId="0" xfId="0"/>
    <xf numFmtId="2" fontId="3" fillId="2" borderId="0" xfId="0" applyNumberFormat="1" applyFont="1" applyFill="1" applyAlignment="1">
      <alignment wrapText="1"/>
    </xf>
    <xf numFmtId="2" fontId="4" fillId="2" borderId="0" xfId="0" applyNumberFormat="1" applyFont="1" applyFill="1" applyAlignment="1">
      <alignment wrapText="1"/>
    </xf>
    <xf numFmtId="2" fontId="4" fillId="3" borderId="0" xfId="0" applyNumberFormat="1" applyFont="1" applyFill="1" applyAlignment="1">
      <alignment wrapText="1"/>
    </xf>
    <xf numFmtId="2" fontId="4" fillId="0" borderId="0" xfId="0" applyNumberFormat="1" applyFont="1" applyAlignment="1">
      <alignment wrapText="1"/>
    </xf>
    <xf numFmtId="2" fontId="4" fillId="3" borderId="4" xfId="0" applyNumberFormat="1" applyFont="1" applyFill="1" applyBorder="1" applyAlignment="1">
      <alignment wrapText="1"/>
    </xf>
    <xf numFmtId="2" fontId="5" fillId="3" borderId="0" xfId="0" applyNumberFormat="1" applyFont="1" applyFill="1" applyAlignment="1">
      <alignment wrapText="1"/>
    </xf>
    <xf numFmtId="2" fontId="6" fillId="3" borderId="0" xfId="0" applyNumberFormat="1" applyFont="1" applyFill="1" applyAlignment="1">
      <alignment wrapText="1"/>
    </xf>
    <xf numFmtId="2" fontId="4" fillId="3" borderId="5" xfId="0" applyNumberFormat="1" applyFont="1" applyFill="1" applyBorder="1" applyAlignment="1">
      <alignment wrapText="1"/>
    </xf>
    <xf numFmtId="2" fontId="4" fillId="3" borderId="6" xfId="0" applyNumberFormat="1" applyFont="1" applyFill="1" applyBorder="1" applyAlignment="1">
      <alignment wrapText="1"/>
    </xf>
    <xf numFmtId="2" fontId="4" fillId="3" borderId="7" xfId="0" applyNumberFormat="1" applyFont="1" applyFill="1" applyBorder="1"/>
    <xf numFmtId="2" fontId="4" fillId="3" borderId="6" xfId="0" applyNumberFormat="1" applyFont="1" applyFill="1" applyBorder="1"/>
    <xf numFmtId="2" fontId="4" fillId="3" borderId="7" xfId="0" applyNumberFormat="1" applyFont="1" applyFill="1" applyBorder="1" applyAlignment="1">
      <alignment wrapText="1"/>
    </xf>
    <xf numFmtId="2" fontId="3" fillId="3" borderId="0" xfId="0" applyNumberFormat="1" applyFont="1" applyFill="1" applyAlignment="1">
      <alignment wrapText="1"/>
    </xf>
    <xf numFmtId="2" fontId="6" fillId="2" borderId="0" xfId="0" applyNumberFormat="1" applyFont="1" applyFill="1" applyAlignment="1">
      <alignment wrapText="1"/>
    </xf>
    <xf numFmtId="2" fontId="8" fillId="3" borderId="0" xfId="0" applyNumberFormat="1" applyFont="1" applyFill="1" applyAlignment="1">
      <alignment wrapText="1"/>
    </xf>
    <xf numFmtId="0" fontId="3" fillId="3" borderId="0" xfId="0" applyFont="1" applyFill="1" applyBorder="1" applyAlignment="1">
      <alignment vertical="center" wrapText="1"/>
    </xf>
    <xf numFmtId="2" fontId="3" fillId="3" borderId="0" xfId="0" applyNumberFormat="1" applyFont="1" applyFill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5" fillId="3" borderId="0" xfId="0" applyNumberFormat="1" applyFont="1" applyFill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center" wrapText="1"/>
    </xf>
    <xf numFmtId="2" fontId="8" fillId="3" borderId="0" xfId="0" applyNumberFormat="1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vertical="center" wrapText="1"/>
    </xf>
    <xf numFmtId="2" fontId="14" fillId="3" borderId="4" xfId="0" applyNumberFormat="1" applyFont="1" applyFill="1" applyBorder="1" applyAlignment="1">
      <alignment horizontal="center" vertical="center" wrapText="1"/>
    </xf>
    <xf numFmtId="2" fontId="4" fillId="3" borderId="4" xfId="0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2" fontId="14" fillId="3" borderId="5" xfId="0" applyNumberFormat="1" applyFont="1" applyFill="1" applyBorder="1" applyAlignment="1">
      <alignment horizontal="center" vertical="center" wrapText="1"/>
    </xf>
    <xf numFmtId="2" fontId="4" fillId="3" borderId="5" xfId="0" applyNumberFormat="1" applyFont="1" applyFill="1" applyBorder="1" applyAlignment="1">
      <alignment vertical="center" wrapText="1"/>
    </xf>
    <xf numFmtId="2" fontId="15" fillId="3" borderId="1" xfId="0" applyNumberFormat="1" applyFont="1" applyFill="1" applyBorder="1" applyAlignment="1">
      <alignment horizontal="center" vertical="center" wrapText="1"/>
    </xf>
    <xf numFmtId="2" fontId="3" fillId="3" borderId="0" xfId="0" applyNumberFormat="1" applyFont="1" applyFill="1" applyBorder="1" applyAlignment="1">
      <alignment wrapText="1"/>
    </xf>
    <xf numFmtId="2" fontId="7" fillId="3" borderId="0" xfId="0" applyNumberFormat="1" applyFont="1" applyFill="1" applyBorder="1" applyAlignment="1">
      <alignment horizontal="center" vertical="center" wrapText="1"/>
    </xf>
    <xf numFmtId="2" fontId="13" fillId="3" borderId="0" xfId="0" applyNumberFormat="1" applyFont="1" applyFill="1" applyBorder="1" applyAlignment="1">
      <alignment wrapText="1"/>
    </xf>
    <xf numFmtId="2" fontId="13" fillId="3" borderId="0" xfId="0" applyNumberFormat="1" applyFont="1" applyFill="1" applyAlignment="1">
      <alignment wrapText="1"/>
    </xf>
    <xf numFmtId="2" fontId="14" fillId="3" borderId="0" xfId="0" applyNumberFormat="1" applyFont="1" applyFill="1" applyAlignment="1">
      <alignment horizontal="center" vertical="center" wrapText="1"/>
    </xf>
    <xf numFmtId="2" fontId="4" fillId="3" borderId="0" xfId="0" applyNumberFormat="1" applyFont="1" applyFill="1" applyAlignment="1">
      <alignment vertical="center" wrapText="1"/>
    </xf>
    <xf numFmtId="2" fontId="5" fillId="0" borderId="0" xfId="0" applyNumberFormat="1" applyFont="1" applyAlignment="1">
      <alignment vertical="center" wrapText="1"/>
    </xf>
    <xf numFmtId="2" fontId="10" fillId="3" borderId="0" xfId="0" applyNumberFormat="1" applyFont="1" applyFill="1" applyBorder="1" applyAlignment="1">
      <alignment horizontal="center" vertical="center" wrapText="1"/>
    </xf>
    <xf numFmtId="2" fontId="8" fillId="3" borderId="0" xfId="0" applyNumberFormat="1" applyFont="1" applyFill="1" applyBorder="1" applyAlignment="1">
      <alignment vertical="center" wrapText="1"/>
    </xf>
    <xf numFmtId="2" fontId="16" fillId="3" borderId="0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wrapText="1"/>
    </xf>
    <xf numFmtId="0" fontId="8" fillId="3" borderId="0" xfId="0" applyFont="1" applyFill="1" applyBorder="1" applyAlignment="1">
      <alignment horizontal="center" vertical="center" wrapText="1"/>
    </xf>
    <xf numFmtId="2" fontId="8" fillId="3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3" borderId="0" xfId="0" applyFont="1" applyFill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2" fontId="17" fillId="0" borderId="3" xfId="0" applyNumberFormat="1" applyFont="1" applyBorder="1" applyAlignment="1">
      <alignment horizontal="center" vertical="center" wrapText="1"/>
    </xf>
    <xf numFmtId="2" fontId="17" fillId="0" borderId="2" xfId="0" applyNumberFormat="1" applyFont="1" applyBorder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 wrapText="1"/>
    </xf>
    <xf numFmtId="2" fontId="20" fillId="2" borderId="0" xfId="0" applyNumberFormat="1" applyFont="1" applyFill="1" applyAlignment="1">
      <alignment vertical="center" wrapText="1"/>
    </xf>
    <xf numFmtId="2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22" fillId="3" borderId="8" xfId="0" applyNumberFormat="1" applyFont="1" applyFill="1" applyBorder="1" applyAlignment="1">
      <alignment vertical="top" wrapText="1"/>
    </xf>
    <xf numFmtId="2" fontId="21" fillId="3" borderId="9" xfId="0" applyNumberFormat="1" applyFont="1" applyFill="1" applyBorder="1" applyAlignment="1">
      <alignment wrapText="1"/>
    </xf>
    <xf numFmtId="2" fontId="22" fillId="5" borderId="10" xfId="0" applyNumberFormat="1" applyFont="1" applyFill="1" applyBorder="1" applyAlignment="1">
      <alignment vertical="center" wrapText="1"/>
    </xf>
    <xf numFmtId="2" fontId="23" fillId="3" borderId="0" xfId="0" applyNumberFormat="1" applyFont="1" applyFill="1" applyAlignment="1">
      <alignment horizontal="left" vertical="center" wrapText="1"/>
    </xf>
    <xf numFmtId="2" fontId="5" fillId="3" borderId="11" xfId="0" applyNumberFormat="1" applyFont="1" applyFill="1" applyBorder="1" applyAlignment="1">
      <alignment vertical="center" wrapText="1"/>
    </xf>
    <xf numFmtId="2" fontId="5" fillId="3" borderId="12" xfId="0" applyNumberFormat="1" applyFont="1" applyFill="1" applyBorder="1" applyAlignment="1">
      <alignment vertical="center" wrapText="1"/>
    </xf>
    <xf numFmtId="2" fontId="5" fillId="3" borderId="14" xfId="0" applyNumberFormat="1" applyFont="1" applyFill="1" applyBorder="1"/>
    <xf numFmtId="2" fontId="3" fillId="3" borderId="13" xfId="0" applyNumberFormat="1" applyFont="1" applyFill="1" applyBorder="1" applyAlignment="1">
      <alignment wrapText="1"/>
    </xf>
    <xf numFmtId="2" fontId="18" fillId="3" borderId="4" xfId="0" applyNumberFormat="1" applyFont="1" applyFill="1" applyBorder="1" applyAlignment="1">
      <alignment horizontal="center" vertical="center" wrapText="1"/>
    </xf>
    <xf numFmtId="2" fontId="19" fillId="3" borderId="4" xfId="0" applyNumberFormat="1" applyFont="1" applyFill="1" applyBorder="1" applyAlignment="1">
      <alignment horizontal="center" vertical="center" wrapText="1"/>
    </xf>
    <xf numFmtId="2" fontId="20" fillId="2" borderId="0" xfId="0" applyNumberFormat="1" applyFont="1" applyFill="1" applyAlignment="1">
      <alignment horizontal="center" vertical="center" wrapText="1"/>
    </xf>
    <xf numFmtId="2" fontId="7" fillId="2" borderId="0" xfId="0" applyNumberFormat="1" applyFont="1" applyFill="1" applyAlignment="1">
      <alignment horizontal="left" wrapText="1"/>
    </xf>
    <xf numFmtId="2" fontId="8" fillId="2" borderId="0" xfId="0" applyNumberFormat="1" applyFont="1" applyFill="1" applyAlignment="1">
      <alignment horizontal="left" vertical="center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Neue" charset="0"/>
                <a:ea typeface="Helvetica Neue" charset="0"/>
                <a:cs typeface="Helvetica Neue" charset="0"/>
              </a:defRPr>
            </a:pPr>
            <a:r>
              <a:rPr lang="es-ES_tradnl" b="1">
                <a:latin typeface="Helvetica Neue" charset="0"/>
                <a:ea typeface="Helvetica Neue" charset="0"/>
                <a:cs typeface="Helvetica Neue" charset="0"/>
              </a:rPr>
              <a:t>RADAR</a:t>
            </a:r>
          </a:p>
        </c:rich>
      </c:tx>
      <c:layout>
        <c:manualLayout>
          <c:xMode val="edge"/>
          <c:yMode val="edge"/>
          <c:x val="0.83989790114254104"/>
          <c:y val="2.5841118975680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Neue" charset="0"/>
              <a:ea typeface="Helvetica Neue" charset="0"/>
              <a:cs typeface="Helvetica Neue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16883405467847"/>
          <c:y val="0.11278617264154783"/>
          <c:w val="0.74892726209698701"/>
          <c:h val="0.81642923946471102"/>
        </c:manualLayout>
      </c:layout>
      <c:radarChart>
        <c:radarStyle val="marker"/>
        <c:varyColors val="0"/>
        <c:ser>
          <c:idx val="0"/>
          <c:order val="0"/>
          <c:tx>
            <c:strRef>
              <c:f>Scenario!$O$40</c:f>
              <c:strCache>
                <c:ptCount val="1"/>
                <c:pt idx="0">
                  <c:v>TOP LIMIT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Scenario!$K$39:$N$39</c:f>
              <c:strCache>
                <c:ptCount val="4"/>
                <c:pt idx="0">
                  <c:v>Entrepreneurship</c:v>
                </c:pt>
                <c:pt idx="1">
                  <c:v>Developer profits</c:v>
                </c:pt>
                <c:pt idx="2">
                  <c:v>Sustainability</c:v>
                </c:pt>
                <c:pt idx="3">
                  <c:v>Traffic</c:v>
                </c:pt>
              </c:strCache>
            </c:strRef>
          </c:cat>
          <c:val>
            <c:numRef>
              <c:f>Scenario!$K$40:$N$40</c:f>
              <c:numCache>
                <c:formatCode>0.00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3-42D8-9052-F7B794F5E135}"/>
            </c:ext>
          </c:extLst>
        </c:ser>
        <c:ser>
          <c:idx val="2"/>
          <c:order val="1"/>
          <c:tx>
            <c:strRef>
              <c:f>Scenario!$N$10</c:f>
              <c:strCache>
                <c:ptCount val="1"/>
                <c:pt idx="0">
                  <c:v>Urban impact in Volpe and surroundings (1km²) </c:v>
                </c:pt>
              </c:strCache>
            </c:strRef>
          </c:tx>
          <c:spPr>
            <a:ln w="28575" cap="rnd">
              <a:solidFill>
                <a:srgbClr val="0070C0">
                  <a:alpha val="90000"/>
                </a:srgb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Scenario!$K$39:$N$39</c:f>
              <c:strCache>
                <c:ptCount val="4"/>
                <c:pt idx="0">
                  <c:v>Entrepreneurship</c:v>
                </c:pt>
                <c:pt idx="1">
                  <c:v>Developer profits</c:v>
                </c:pt>
                <c:pt idx="2">
                  <c:v>Sustainability</c:v>
                </c:pt>
                <c:pt idx="3">
                  <c:v>Traffic</c:v>
                </c:pt>
              </c:strCache>
            </c:strRef>
          </c:cat>
          <c:val>
            <c:numRef>
              <c:f>Scenario!$K$42:$N$42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3-42D8-9052-F7B794F5E135}"/>
            </c:ext>
          </c:extLst>
        </c:ser>
        <c:ser>
          <c:idx val="1"/>
          <c:order val="2"/>
          <c:tx>
            <c:strRef>
              <c:f>Scenario!$N$14</c:f>
              <c:strCache>
                <c:ptCount val="1"/>
                <c:pt idx="0">
                  <c:v>Urban impact inside Volpe area only (41,140m²)</c:v>
                </c:pt>
              </c:strCache>
            </c:strRef>
          </c:tx>
          <c:spPr>
            <a:ln w="28575" cap="rnd">
              <a:solidFill>
                <a:srgbClr val="92D050">
                  <a:alpha val="73000"/>
                </a:srgb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Scenario!$K$41:$N$41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3-42D8-9052-F7B794F5E1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2199800"/>
        <c:axId val="112194704"/>
      </c:radarChart>
      <c:catAx>
        <c:axId val="11219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4704"/>
        <c:crosses val="autoZero"/>
        <c:auto val="1"/>
        <c:lblAlgn val="ctr"/>
        <c:lblOffset val="100"/>
        <c:noMultiLvlLbl val="0"/>
      </c:catAx>
      <c:valAx>
        <c:axId val="1121947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1219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1146308591718902E-3"/>
          <c:y val="9.3235975483460506E-2"/>
          <c:w val="0.26666976292210298"/>
          <c:h val="0.200455171028815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Neue" charset="0"/>
              <a:ea typeface="Helvetica Neue" charset="0"/>
              <a:cs typeface="Helvetica Neue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 sz="1600" b="1"/>
              <a:t>% OF IMPROVEMENT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8963842987143"/>
          <c:y val="9.1320163132977902E-2"/>
          <c:w val="0.80456824860576104"/>
          <c:h val="0.70815940306454905"/>
        </c:manualLayout>
      </c:layout>
      <c:barChart>
        <c:barDir val="bar"/>
        <c:grouping val="clustered"/>
        <c:varyColors val="0"/>
        <c:ser>
          <c:idx val="0"/>
          <c:order val="0"/>
          <c:tx>
            <c:v>Top Limit</c:v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Scenario!$K$39:$N$39</c:f>
              <c:strCache>
                <c:ptCount val="4"/>
                <c:pt idx="0">
                  <c:v>Entrepreneurship</c:v>
                </c:pt>
                <c:pt idx="1">
                  <c:v>Developer profits</c:v>
                </c:pt>
                <c:pt idx="2">
                  <c:v>Sustainability</c:v>
                </c:pt>
                <c:pt idx="3">
                  <c:v>Traffic</c:v>
                </c:pt>
              </c:strCache>
            </c:strRef>
          </c:cat>
          <c:val>
            <c:numRef>
              <c:f>Scenario!$K$40:$N$40</c:f>
              <c:numCache>
                <c:formatCode>0.00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8-43FC-93E0-3954D2AF07FC}"/>
            </c:ext>
          </c:extLst>
        </c:ser>
        <c:ser>
          <c:idx val="1"/>
          <c:order val="1"/>
          <c:tx>
            <c:strRef>
              <c:f>Scenario!$O$41</c:f>
              <c:strCache>
                <c:ptCount val="1"/>
                <c:pt idx="0">
                  <c:v>Urban impact only inside of Volpe area (41140m²)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Scenario!$K$39:$N$39</c:f>
              <c:strCache>
                <c:ptCount val="4"/>
                <c:pt idx="0">
                  <c:v>Entrepreneurship</c:v>
                </c:pt>
                <c:pt idx="1">
                  <c:v>Developer profits</c:v>
                </c:pt>
                <c:pt idx="2">
                  <c:v>Sustainability</c:v>
                </c:pt>
                <c:pt idx="3">
                  <c:v>Traffic</c:v>
                </c:pt>
              </c:strCache>
            </c:strRef>
          </c:cat>
          <c:val>
            <c:numRef>
              <c:f>Scenario!$K$41:$N$41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8-43FC-93E0-3954D2AF07FC}"/>
            </c:ext>
          </c:extLst>
        </c:ser>
        <c:ser>
          <c:idx val="2"/>
          <c:order val="2"/>
          <c:tx>
            <c:strRef>
              <c:f>Scenario!$O$42</c:f>
              <c:strCache>
                <c:ptCount val="1"/>
                <c:pt idx="0">
                  <c:v>Urban impact in Volpe and surroundings (1km²) 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Scenario!$K$42:$N$42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58-43FC-93E0-3954D2AF0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0"/>
        <c:overlap val="-21"/>
        <c:axId val="112200192"/>
        <c:axId val="112196272"/>
      </c:barChart>
      <c:catAx>
        <c:axId val="112200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Neue" charset="0"/>
                <a:ea typeface="Helvetica Neue" charset="0"/>
                <a:cs typeface="Helvetica Neue" charset="0"/>
              </a:defRPr>
            </a:pPr>
            <a:endParaRPr lang="en-US"/>
          </a:p>
        </c:txPr>
        <c:crossAx val="112196272"/>
        <c:crosses val="autoZero"/>
        <c:auto val="1"/>
        <c:lblAlgn val="r"/>
        <c:lblOffset val="100"/>
        <c:noMultiLvlLbl val="0"/>
      </c:catAx>
      <c:valAx>
        <c:axId val="1121962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Neue" charset="0"/>
                <a:ea typeface="Helvetica Neue" charset="0"/>
                <a:cs typeface="Helvetica Neue" charset="0"/>
              </a:defRPr>
            </a:pPr>
            <a:endParaRPr lang="en-US"/>
          </a:p>
        </c:txPr>
        <c:crossAx val="112200192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Neue" charset="0"/>
              <a:ea typeface="Helvetica Neue" charset="0"/>
              <a:cs typeface="Helvetica Neue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66488</xdr:colOff>
      <xdr:row>12</xdr:row>
      <xdr:rowOff>43351</xdr:rowOff>
    </xdr:from>
    <xdr:to>
      <xdr:col>8</xdr:col>
      <xdr:colOff>939799</xdr:colOff>
      <xdr:row>38</xdr:row>
      <xdr:rowOff>263201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330200</xdr:colOff>
      <xdr:row>17</xdr:row>
      <xdr:rowOff>62137</xdr:rowOff>
    </xdr:from>
    <xdr:to>
      <xdr:col>19</xdr:col>
      <xdr:colOff>546100</xdr:colOff>
      <xdr:row>32</xdr:row>
      <xdr:rowOff>54505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N195"/>
  <sheetViews>
    <sheetView tabSelected="1" zoomScaleNormal="100" workbookViewId="0"/>
  </sheetViews>
  <sheetFormatPr defaultColWidth="10.69921875" defaultRowHeight="15"/>
  <cols>
    <col min="1" max="1" width="3.19921875" style="3" customWidth="1"/>
    <col min="2" max="2" width="27.19921875" style="4" customWidth="1"/>
    <col min="3" max="3" width="12.19921875" style="4" bestFit="1" customWidth="1"/>
    <col min="4" max="4" width="14.19921875" style="4" customWidth="1"/>
    <col min="5" max="5" width="12.5" style="4" customWidth="1"/>
    <col min="6" max="6" width="11.69921875" style="4" bestFit="1" customWidth="1"/>
    <col min="7" max="7" width="11.5" style="4" bestFit="1" customWidth="1"/>
    <col min="8" max="8" width="16" style="4" customWidth="1"/>
    <col min="9" max="9" width="14.19921875" style="4" customWidth="1"/>
    <col min="10" max="10" width="15.69921875" style="4" customWidth="1"/>
    <col min="11" max="11" width="18.19921875" style="4" customWidth="1"/>
    <col min="12" max="12" width="15.5" style="4" customWidth="1"/>
    <col min="13" max="13" width="18" style="4" customWidth="1"/>
    <col min="14" max="14" width="20.19921875" style="4" customWidth="1"/>
    <col min="15" max="15" width="19.19921875" style="4" customWidth="1"/>
    <col min="16" max="16" width="16.19921875" style="4" customWidth="1"/>
    <col min="17" max="17" width="11.5" style="4" bestFit="1" customWidth="1"/>
    <col min="18" max="19" width="11" style="3" bestFit="1" customWidth="1"/>
    <col min="20" max="20" width="10.69921875" style="3"/>
    <col min="21" max="21" width="10.69921875" style="13"/>
    <col min="22" max="22" width="12.69921875" style="13" customWidth="1"/>
    <col min="23" max="66" width="10.69921875" style="13"/>
    <col min="67" max="16384" width="10.69921875" style="4"/>
  </cols>
  <sheetData>
    <row r="1" spans="1:66" ht="39" customHeight="1">
      <c r="A1" s="1"/>
      <c r="B1" s="64" t="s">
        <v>50</v>
      </c>
      <c r="C1" s="64"/>
      <c r="D1" s="52"/>
      <c r="E1" s="66" t="s">
        <v>66</v>
      </c>
      <c r="F1" s="66"/>
      <c r="G1" s="66"/>
      <c r="H1" s="66"/>
      <c r="I1" s="66"/>
      <c r="J1" s="66"/>
      <c r="K1" s="66"/>
      <c r="L1" s="2"/>
      <c r="M1" s="2"/>
      <c r="N1" s="2"/>
      <c r="O1" s="2"/>
      <c r="P1" s="2"/>
      <c r="Q1" s="2"/>
      <c r="R1" s="2"/>
      <c r="S1" s="2"/>
      <c r="T1" s="2"/>
    </row>
    <row r="2" spans="1:66" s="3" customFormat="1" ht="58.95" customHeight="1">
      <c r="B2" s="5" t="s">
        <v>65</v>
      </c>
      <c r="C2" s="33">
        <v>7000</v>
      </c>
      <c r="E2" s="6"/>
      <c r="F2" s="59" t="s">
        <v>67</v>
      </c>
      <c r="G2" s="59" t="s">
        <v>59</v>
      </c>
      <c r="H2" s="59" t="s">
        <v>37</v>
      </c>
      <c r="I2" s="59" t="s">
        <v>3</v>
      </c>
      <c r="J2" s="58" t="s">
        <v>38</v>
      </c>
      <c r="K2" s="59" t="s">
        <v>54</v>
      </c>
      <c r="L2" s="13"/>
      <c r="M2" s="13"/>
      <c r="N2" s="7"/>
      <c r="O2" s="7"/>
      <c r="P2" s="7"/>
      <c r="Q2" s="7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</row>
    <row r="3" spans="1:66" s="3" customFormat="1" ht="54" customHeight="1">
      <c r="B3" s="8" t="s">
        <v>52</v>
      </c>
      <c r="C3" s="33">
        <v>14000</v>
      </c>
      <c r="E3" s="60" t="s">
        <v>53</v>
      </c>
      <c r="F3" s="9" t="s">
        <v>2</v>
      </c>
      <c r="G3" s="10">
        <f>(22*22)</f>
        <v>484</v>
      </c>
      <c r="H3" s="10">
        <v>85</v>
      </c>
      <c r="I3" s="10">
        <f>+G3*H3</f>
        <v>41140</v>
      </c>
      <c r="J3" s="11">
        <v>5.56</v>
      </c>
      <c r="K3" s="12">
        <v>30</v>
      </c>
      <c r="L3" s="13">
        <f>C5/G3</f>
        <v>30.991735537190081</v>
      </c>
      <c r="M3" s="13"/>
      <c r="N3" s="7"/>
      <c r="O3" s="7"/>
      <c r="P3" s="7"/>
      <c r="Q3" s="7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</row>
    <row r="4" spans="1:66" s="3" customFormat="1" ht="16.2" thickBot="1">
      <c r="B4" s="61" t="s">
        <v>44</v>
      </c>
      <c r="C4" s="33">
        <v>7000</v>
      </c>
      <c r="D4" s="7"/>
      <c r="E4" s="7"/>
      <c r="F4" s="7"/>
      <c r="G4" s="7"/>
      <c r="H4" s="7"/>
      <c r="I4" s="7"/>
      <c r="J4" s="13"/>
      <c r="K4" s="13" t="s">
        <v>10</v>
      </c>
      <c r="L4" s="13" t="s">
        <v>12</v>
      </c>
      <c r="M4" s="13" t="s">
        <v>10</v>
      </c>
      <c r="N4" s="7"/>
      <c r="O4" s="7"/>
      <c r="P4" s="7"/>
      <c r="Q4" s="7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</row>
    <row r="5" spans="1:66" s="3" customFormat="1" ht="33" customHeight="1" thickBot="1">
      <c r="B5" s="33" t="s">
        <v>57</v>
      </c>
      <c r="C5" s="13">
        <v>15000</v>
      </c>
      <c r="D5" s="7"/>
      <c r="E5" s="7"/>
      <c r="F5" s="7"/>
      <c r="G5" s="54" t="s">
        <v>76</v>
      </c>
      <c r="H5" s="56">
        <f>H3-J11</f>
        <v>85</v>
      </c>
      <c r="I5" s="55">
        <f>+H5</f>
        <v>85</v>
      </c>
      <c r="J5" s="13"/>
      <c r="K5" s="13" t="s">
        <v>14</v>
      </c>
      <c r="L5" s="13" t="s">
        <v>11</v>
      </c>
      <c r="M5" s="13" t="s">
        <v>23</v>
      </c>
      <c r="N5" s="7"/>
      <c r="O5" s="7"/>
      <c r="P5" s="7"/>
      <c r="Q5" s="7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</row>
    <row r="6" spans="1:66" s="3" customFormat="1">
      <c r="B6" s="13"/>
      <c r="C6" s="13"/>
      <c r="D6" s="13"/>
      <c r="E6" s="13"/>
      <c r="F6" s="13"/>
      <c r="G6" s="13"/>
      <c r="H6" s="13"/>
      <c r="I6" s="13"/>
      <c r="J6" s="13"/>
      <c r="K6" s="7"/>
      <c r="L6" s="7"/>
      <c r="M6" s="7"/>
      <c r="N6" s="7"/>
      <c r="O6" s="7"/>
      <c r="P6" s="7"/>
      <c r="Q6" s="7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</row>
    <row r="7" spans="1:66" ht="19.95" customHeight="1">
      <c r="A7" s="1"/>
      <c r="B7" s="65" t="s">
        <v>55</v>
      </c>
      <c r="C7" s="65"/>
      <c r="D7" s="65"/>
      <c r="E7" s="65"/>
      <c r="F7" s="65"/>
      <c r="G7" s="65"/>
      <c r="H7" s="65"/>
      <c r="I7" s="1"/>
      <c r="J7" s="1"/>
      <c r="K7" s="1"/>
      <c r="L7" s="1"/>
      <c r="M7" s="1"/>
      <c r="N7" s="14"/>
      <c r="O7" s="14"/>
      <c r="P7" s="14"/>
      <c r="Q7" s="14"/>
      <c r="R7" s="1"/>
      <c r="S7" s="1"/>
      <c r="T7" s="1"/>
    </row>
    <row r="8" spans="1:66" s="3" customFormat="1" ht="9" customHeight="1"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</row>
    <row r="9" spans="1:66" s="3" customFormat="1" ht="27" customHeight="1">
      <c r="C9" s="6" t="s">
        <v>68</v>
      </c>
      <c r="D9" s="6" t="s">
        <v>69</v>
      </c>
      <c r="E9" s="6" t="s">
        <v>70</v>
      </c>
      <c r="F9" s="6" t="s">
        <v>71</v>
      </c>
      <c r="G9" s="6" t="s">
        <v>72</v>
      </c>
      <c r="H9" s="6" t="s">
        <v>73</v>
      </c>
      <c r="I9" s="6"/>
      <c r="J9" s="6" t="s">
        <v>13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</row>
    <row r="10" spans="1:66" s="3" customFormat="1" ht="42" customHeight="1" thickBot="1">
      <c r="A10" s="13"/>
      <c r="C10" s="57" t="s">
        <v>49</v>
      </c>
      <c r="D10" s="57" t="s">
        <v>45</v>
      </c>
      <c r="E10" s="57" t="s">
        <v>74</v>
      </c>
      <c r="F10" s="57" t="s">
        <v>47</v>
      </c>
      <c r="G10" s="57" t="s">
        <v>46</v>
      </c>
      <c r="H10" s="57" t="s">
        <v>75</v>
      </c>
      <c r="N10" s="62" t="s">
        <v>62</v>
      </c>
      <c r="O10" s="62"/>
      <c r="P10" s="62"/>
      <c r="Q10" s="62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</row>
    <row r="11" spans="1:66" ht="55.2" customHeight="1" thickBot="1">
      <c r="B11" s="6" t="s">
        <v>60</v>
      </c>
      <c r="C11" s="53">
        <v>0</v>
      </c>
      <c r="D11" s="53">
        <v>0</v>
      </c>
      <c r="E11" s="53">
        <v>0</v>
      </c>
      <c r="F11" s="53">
        <v>0</v>
      </c>
      <c r="G11" s="53">
        <v>0</v>
      </c>
      <c r="H11" s="53">
        <v>0</v>
      </c>
      <c r="I11" s="17">
        <f>C11+D11+E11+F11+G11+H11</f>
        <v>0</v>
      </c>
      <c r="J11" s="18">
        <f>D11+E11+F11+G11+H11+C11</f>
        <v>0</v>
      </c>
      <c r="K11" s="19" t="s">
        <v>77</v>
      </c>
      <c r="L11" s="49" t="str">
        <f>IF(I11&gt;H3,K5,K4)</f>
        <v>OK</v>
      </c>
      <c r="M11" s="3"/>
      <c r="N11" s="20" t="s">
        <v>56</v>
      </c>
      <c r="O11" s="21" t="s">
        <v>39</v>
      </c>
      <c r="P11" s="22" t="s">
        <v>26</v>
      </c>
      <c r="Q11" s="22" t="s">
        <v>27</v>
      </c>
    </row>
    <row r="12" spans="1:66" ht="31.8" thickBot="1">
      <c r="B12" s="6" t="s">
        <v>61</v>
      </c>
      <c r="C12" s="53">
        <v>0</v>
      </c>
      <c r="D12" s="53">
        <v>0</v>
      </c>
      <c r="E12" s="53">
        <v>0</v>
      </c>
      <c r="F12" s="53">
        <v>0</v>
      </c>
      <c r="G12" s="53">
        <v>0</v>
      </c>
      <c r="H12" s="53">
        <v>0</v>
      </c>
      <c r="I12" s="17">
        <f>C12+D12+E12+F12+G12+H12</f>
        <v>0</v>
      </c>
      <c r="J12" s="18">
        <f>(D12+E12+F12+G12+H12+C12)*G3</f>
        <v>0</v>
      </c>
      <c r="K12" s="19" t="s">
        <v>58</v>
      </c>
      <c r="L12" s="50" t="str">
        <f>IF(J12&gt;C5,L5,K4)</f>
        <v>OK</v>
      </c>
      <c r="M12" s="3"/>
      <c r="N12" s="23">
        <f>N13</f>
        <v>0</v>
      </c>
      <c r="O12" s="23">
        <f>O13</f>
        <v>0</v>
      </c>
      <c r="P12" s="23">
        <f>P13</f>
        <v>0</v>
      </c>
      <c r="Q12" s="23">
        <f>Q13</f>
        <v>0</v>
      </c>
    </row>
    <row r="13" spans="1:66" ht="15.6">
      <c r="B13" s="15" t="s">
        <v>18</v>
      </c>
      <c r="C13" s="16">
        <v>89</v>
      </c>
      <c r="D13" s="16">
        <v>55</v>
      </c>
      <c r="E13" s="16">
        <v>15</v>
      </c>
      <c r="F13" s="16">
        <v>29.666699999999999</v>
      </c>
      <c r="G13" s="16">
        <v>18.333300000000001</v>
      </c>
      <c r="H13" s="16">
        <v>5</v>
      </c>
      <c r="I13" s="51"/>
      <c r="J13" s="24">
        <f>I11+I12</f>
        <v>0</v>
      </c>
      <c r="K13" s="26"/>
      <c r="L13" s="51"/>
      <c r="M13" s="7"/>
      <c r="N13" s="3">
        <f>IF(B43&gt;100,100,B43)</f>
        <v>0</v>
      </c>
      <c r="O13" s="3">
        <f>IF(C43&gt;100,100,C43)</f>
        <v>0</v>
      </c>
      <c r="P13" s="3">
        <f>IF(D43&gt;100,100,D43)</f>
        <v>0</v>
      </c>
      <c r="Q13" s="3">
        <f>IF(E43&gt;100,100,E43)</f>
        <v>0</v>
      </c>
    </row>
    <row r="14" spans="1:66" ht="34.950000000000003" customHeight="1">
      <c r="B14" s="15" t="s">
        <v>17</v>
      </c>
      <c r="C14" s="17">
        <f>((C11*C12)*G3)</f>
        <v>0</v>
      </c>
      <c r="D14" s="17">
        <f>((D11*D12)*G3)</f>
        <v>0</v>
      </c>
      <c r="E14" s="17">
        <f>((E11*E12)*G3)</f>
        <v>0</v>
      </c>
      <c r="F14" s="17">
        <f>((F11*F12)*G3)</f>
        <v>0</v>
      </c>
      <c r="G14" s="17">
        <f>((G11*G12)*G3)</f>
        <v>0</v>
      </c>
      <c r="H14" s="17">
        <f>((H11*H12)*G3)</f>
        <v>0</v>
      </c>
      <c r="I14" s="51"/>
      <c r="J14" s="24"/>
      <c r="K14" s="26" t="s">
        <v>0</v>
      </c>
      <c r="L14" s="51"/>
      <c r="M14" s="7"/>
      <c r="N14" s="62" t="s">
        <v>63</v>
      </c>
      <c r="O14" s="63"/>
      <c r="P14" s="63"/>
      <c r="Q14" s="63"/>
    </row>
    <row r="15" spans="1:66" ht="46.2" customHeight="1">
      <c r="B15" s="15" t="s">
        <v>19</v>
      </c>
      <c r="C15" s="17"/>
      <c r="D15" s="17"/>
      <c r="E15" s="17"/>
      <c r="F15" s="17">
        <f>F14/F13</f>
        <v>0</v>
      </c>
      <c r="G15" s="17">
        <f>G14/G13</f>
        <v>0</v>
      </c>
      <c r="H15" s="17">
        <f>H14/H13</f>
        <v>0</v>
      </c>
      <c r="I15" s="17"/>
      <c r="J15" s="27">
        <f>F15+G15+H15</f>
        <v>0</v>
      </c>
      <c r="K15" s="28" t="s">
        <v>15</v>
      </c>
      <c r="L15" s="25"/>
      <c r="M15" s="3"/>
      <c r="N15" s="29" t="s">
        <v>24</v>
      </c>
      <c r="O15" s="21" t="s">
        <v>39</v>
      </c>
      <c r="P15" s="22" t="s">
        <v>26</v>
      </c>
      <c r="Q15" s="22" t="s">
        <v>27</v>
      </c>
    </row>
    <row r="16" spans="1:66" ht="30">
      <c r="B16" s="15" t="s">
        <v>20</v>
      </c>
      <c r="C16" s="17">
        <f>C14/C13</f>
        <v>0</v>
      </c>
      <c r="D16" s="17">
        <f>D14/D13</f>
        <v>0</v>
      </c>
      <c r="E16" s="17">
        <f>E14/E13</f>
        <v>0</v>
      </c>
      <c r="F16" s="17"/>
      <c r="G16" s="17"/>
      <c r="H16" s="17"/>
      <c r="I16" s="17"/>
      <c r="J16" s="30">
        <f>C16+D16+E16</f>
        <v>0</v>
      </c>
      <c r="K16" s="31" t="s">
        <v>16</v>
      </c>
      <c r="L16" s="25"/>
      <c r="M16" s="3"/>
      <c r="N16" s="32">
        <f>IF(J13&lt;2,0,N17)</f>
        <v>0</v>
      </c>
      <c r="O16" s="32">
        <f>IF(J13&lt;2,0,O17)</f>
        <v>0</v>
      </c>
      <c r="P16" s="32">
        <f>IF(J13&lt;2,0,P17)</f>
        <v>0</v>
      </c>
      <c r="Q16" s="32">
        <f>IF(J13&lt;2,0,Q17)</f>
        <v>0</v>
      </c>
    </row>
    <row r="17" spans="1:66" ht="21">
      <c r="B17" s="13"/>
      <c r="C17" s="17"/>
      <c r="D17" s="17"/>
      <c r="E17" s="17"/>
      <c r="F17" s="17"/>
      <c r="G17" s="17"/>
      <c r="H17" s="17"/>
      <c r="I17" s="17"/>
      <c r="J17" s="30">
        <f>(J16+C4)-J18</f>
        <v>-7000</v>
      </c>
      <c r="K17" s="31" t="s">
        <v>48</v>
      </c>
      <c r="L17" s="17">
        <f>IF(J17&gt;C4,0,F37)</f>
        <v>0</v>
      </c>
      <c r="M17" s="33"/>
      <c r="N17" s="34" t="e">
        <f>B45</f>
        <v>#DIV/0!</v>
      </c>
      <c r="O17" s="34" t="e">
        <f>C45</f>
        <v>#DIV/0!</v>
      </c>
      <c r="P17" s="34" t="e">
        <f>D45</f>
        <v>#DIV/0!</v>
      </c>
      <c r="Q17" s="34" t="e">
        <f>E45</f>
        <v>#DIV/0!</v>
      </c>
    </row>
    <row r="18" spans="1:66" ht="30">
      <c r="B18" s="13"/>
      <c r="C18" s="13"/>
      <c r="D18" s="13"/>
      <c r="E18" s="13"/>
      <c r="F18" s="13"/>
      <c r="G18" s="13"/>
      <c r="H18" s="13"/>
      <c r="I18" s="13"/>
      <c r="J18" s="30">
        <f>C3+J15+D16</f>
        <v>14000</v>
      </c>
      <c r="K18" s="31" t="s">
        <v>21</v>
      </c>
      <c r="L18" s="25"/>
      <c r="M18" s="35"/>
      <c r="N18" s="33"/>
      <c r="O18" s="33"/>
      <c r="P18" s="33"/>
      <c r="Q18" s="33"/>
      <c r="R18" s="36"/>
      <c r="S18" s="36"/>
      <c r="T18" s="36"/>
    </row>
    <row r="19" spans="1:66" ht="15.6" thickBot="1">
      <c r="B19" s="13"/>
      <c r="C19" s="13"/>
      <c r="D19" s="13"/>
      <c r="E19" s="13"/>
      <c r="F19" s="13"/>
      <c r="G19" s="13"/>
      <c r="H19" s="13"/>
      <c r="I19" s="13"/>
      <c r="J19" s="37"/>
      <c r="K19" s="38"/>
      <c r="L19" s="25"/>
      <c r="M19" s="36"/>
      <c r="N19" s="36"/>
      <c r="O19" s="36"/>
      <c r="P19" s="36"/>
      <c r="Q19" s="36"/>
      <c r="R19" s="36"/>
      <c r="S19" s="36"/>
      <c r="T19" s="36"/>
    </row>
    <row r="20" spans="1:66" ht="72" customHeight="1" thickBot="1">
      <c r="B20" s="13"/>
      <c r="C20" s="13"/>
      <c r="D20" s="13"/>
      <c r="E20" s="13"/>
      <c r="F20" s="13"/>
      <c r="G20" s="13"/>
      <c r="H20" s="13"/>
      <c r="I20" s="13"/>
      <c r="J20" s="18">
        <f>J15-J16</f>
        <v>0</v>
      </c>
      <c r="K20" s="39" t="s">
        <v>22</v>
      </c>
      <c r="L20" s="50">
        <f>IF(J13&lt;2,0,L21)</f>
        <v>0</v>
      </c>
      <c r="M20" s="36"/>
      <c r="N20" s="36"/>
      <c r="O20" s="36"/>
      <c r="P20" s="36"/>
      <c r="Q20" s="36"/>
      <c r="R20" s="36"/>
      <c r="S20" s="36"/>
      <c r="T20" s="36"/>
    </row>
    <row r="21" spans="1:66" s="3" customFormat="1" ht="25.95" customHeight="1">
      <c r="B21" s="13"/>
      <c r="C21" s="13"/>
      <c r="D21" s="13"/>
      <c r="E21" s="13"/>
      <c r="F21" s="13"/>
      <c r="G21" s="13"/>
      <c r="H21" s="13"/>
      <c r="I21" s="13"/>
      <c r="J21" s="40"/>
      <c r="K21" s="41"/>
      <c r="L21" s="42" t="str">
        <f>IF(J20&lt;0,M5,M4)</f>
        <v>OK</v>
      </c>
      <c r="M21" s="35"/>
      <c r="N21" s="36"/>
      <c r="O21" s="36"/>
      <c r="P21" s="36"/>
      <c r="Q21" s="36"/>
      <c r="R21" s="36"/>
      <c r="S21" s="36"/>
      <c r="T21" s="36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</row>
    <row r="22" spans="1:66" s="3" customFormat="1">
      <c r="B22" s="13"/>
      <c r="C22" s="13"/>
      <c r="D22" s="13"/>
      <c r="E22" s="13"/>
      <c r="F22" s="13"/>
      <c r="G22" s="13"/>
      <c r="H22" s="13"/>
      <c r="I22" s="13"/>
      <c r="J22" s="43">
        <f>J15+J16</f>
        <v>0</v>
      </c>
      <c r="K22" s="5" t="s">
        <v>31</v>
      </c>
      <c r="M22" s="36"/>
      <c r="N22" s="36"/>
      <c r="O22" s="36"/>
      <c r="P22" s="36"/>
      <c r="Q22" s="36"/>
      <c r="R22" s="36"/>
      <c r="S22" s="36"/>
      <c r="T22" s="36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</row>
    <row r="23" spans="1:66" s="3" customFormat="1">
      <c r="B23" s="13"/>
      <c r="C23" s="13"/>
      <c r="D23" s="13"/>
      <c r="E23" s="13"/>
      <c r="F23" s="13"/>
      <c r="G23" s="13"/>
      <c r="H23" s="13"/>
      <c r="I23" s="13"/>
      <c r="J23" s="36"/>
      <c r="M23" s="36"/>
      <c r="N23" s="36"/>
      <c r="O23" s="36"/>
      <c r="P23" s="36"/>
      <c r="Q23" s="36"/>
      <c r="R23" s="36"/>
      <c r="S23" s="36"/>
      <c r="T23" s="36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</row>
    <row r="24" spans="1:66" s="3" customFormat="1">
      <c r="B24" s="13"/>
      <c r="C24" s="13"/>
      <c r="D24" s="13"/>
      <c r="E24" s="13"/>
      <c r="F24" s="13"/>
      <c r="G24" s="13"/>
      <c r="H24" s="13"/>
      <c r="I24" s="13"/>
      <c r="J24" s="33"/>
      <c r="K24" s="33"/>
      <c r="L24" s="33"/>
      <c r="M24" s="33"/>
      <c r="N24" s="33"/>
      <c r="O24" s="36"/>
      <c r="P24" s="36"/>
      <c r="Q24" s="36"/>
      <c r="R24" s="36"/>
      <c r="S24" s="36"/>
      <c r="T24" s="36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</row>
    <row r="25" spans="1:66" s="3" customFormat="1" ht="31.2">
      <c r="A25" s="7"/>
      <c r="B25" s="13"/>
      <c r="C25" s="15" t="s">
        <v>5</v>
      </c>
      <c r="D25" s="15" t="s">
        <v>4</v>
      </c>
      <c r="E25" s="15" t="s">
        <v>6</v>
      </c>
      <c r="F25" s="15" t="s">
        <v>8</v>
      </c>
      <c r="G25" s="15" t="s">
        <v>7</v>
      </c>
      <c r="H25" s="15" t="s">
        <v>9</v>
      </c>
      <c r="I25" s="13"/>
      <c r="J25" s="33"/>
      <c r="K25" s="44" t="s">
        <v>40</v>
      </c>
      <c r="L25" s="44" t="s">
        <v>39</v>
      </c>
      <c r="M25" s="45" t="s">
        <v>26</v>
      </c>
      <c r="N25" s="45" t="s">
        <v>27</v>
      </c>
      <c r="O25" s="13"/>
      <c r="P25" s="13"/>
      <c r="Q25" s="13"/>
      <c r="R25" s="13"/>
      <c r="S25" s="13"/>
      <c r="T25" s="36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</row>
    <row r="26" spans="1:66" s="3" customFormat="1" ht="30">
      <c r="A26" s="7"/>
      <c r="B26" s="13"/>
      <c r="C26" s="13"/>
      <c r="D26" s="13"/>
      <c r="E26" s="13"/>
      <c r="F26" s="13"/>
      <c r="G26" s="13"/>
      <c r="H26" s="13"/>
      <c r="I26" s="13"/>
      <c r="J26" s="33"/>
      <c r="K26" s="33" t="s">
        <v>42</v>
      </c>
      <c r="L26" s="33" t="s">
        <v>41</v>
      </c>
      <c r="M26" s="33" t="s">
        <v>43</v>
      </c>
      <c r="N26" s="33" t="s">
        <v>1</v>
      </c>
      <c r="O26" s="13"/>
      <c r="P26" s="13"/>
      <c r="Q26" s="13"/>
      <c r="R26" s="13"/>
      <c r="S26" s="13"/>
      <c r="T26" s="36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</row>
    <row r="27" spans="1:66" s="3" customFormat="1" ht="15.6">
      <c r="A27" s="7"/>
      <c r="B27" s="15" t="s">
        <v>33</v>
      </c>
      <c r="C27" s="13"/>
      <c r="D27" s="13"/>
      <c r="E27" s="13"/>
      <c r="F27" s="13"/>
      <c r="G27" s="13"/>
      <c r="H27" s="13"/>
      <c r="I27" s="13"/>
      <c r="J27" s="33"/>
      <c r="K27" s="33"/>
      <c r="L27" s="33"/>
      <c r="M27" s="33"/>
      <c r="N27" s="33"/>
      <c r="O27" s="13"/>
      <c r="P27" s="13"/>
      <c r="Q27" s="13"/>
      <c r="R27" s="13"/>
      <c r="S27" s="13"/>
      <c r="T27" s="36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</row>
    <row r="28" spans="1:66">
      <c r="A28" s="7"/>
      <c r="B28" s="13" t="s">
        <v>24</v>
      </c>
      <c r="C28" s="46">
        <v>0</v>
      </c>
      <c r="D28" s="46">
        <v>0</v>
      </c>
      <c r="E28" s="46">
        <v>8</v>
      </c>
      <c r="F28" s="46">
        <v>0</v>
      </c>
      <c r="G28" s="46">
        <v>0</v>
      </c>
      <c r="H28" s="46">
        <v>10</v>
      </c>
      <c r="I28" s="17">
        <f>J22*H28</f>
        <v>0</v>
      </c>
      <c r="J28" s="33"/>
      <c r="K28" s="33"/>
      <c r="L28" s="33"/>
      <c r="M28" s="33"/>
      <c r="N28" s="33"/>
      <c r="O28" s="13"/>
      <c r="P28" s="13"/>
      <c r="Q28" s="13"/>
      <c r="R28" s="13"/>
      <c r="S28" s="13"/>
      <c r="T28" s="36"/>
    </row>
    <row r="29" spans="1:66">
      <c r="A29" s="7"/>
      <c r="B29" s="13" t="s">
        <v>39</v>
      </c>
      <c r="C29" s="46">
        <v>10</v>
      </c>
      <c r="D29" s="46">
        <v>5</v>
      </c>
      <c r="E29" s="46">
        <v>1</v>
      </c>
      <c r="F29" s="46">
        <v>4</v>
      </c>
      <c r="G29" s="46">
        <v>1</v>
      </c>
      <c r="H29" s="46">
        <v>0</v>
      </c>
      <c r="I29" s="17">
        <f>J22*C29</f>
        <v>0</v>
      </c>
      <c r="J29" s="33"/>
      <c r="K29" s="33"/>
      <c r="L29" s="33"/>
      <c r="M29" s="33"/>
      <c r="N29" s="33"/>
      <c r="O29" s="13"/>
      <c r="P29" s="13"/>
      <c r="Q29" s="13"/>
      <c r="R29" s="13"/>
      <c r="S29" s="13"/>
      <c r="T29" s="36"/>
    </row>
    <row r="30" spans="1:66">
      <c r="A30" s="7"/>
      <c r="B30" s="13" t="s">
        <v>26</v>
      </c>
      <c r="C30" s="46">
        <v>0</v>
      </c>
      <c r="D30" s="46">
        <v>2</v>
      </c>
      <c r="E30" s="46">
        <v>5</v>
      </c>
      <c r="F30" s="46">
        <v>0</v>
      </c>
      <c r="G30" s="46">
        <v>2</v>
      </c>
      <c r="H30" s="46">
        <v>5</v>
      </c>
      <c r="I30" s="17">
        <f>J22*H30</f>
        <v>0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36"/>
    </row>
    <row r="31" spans="1:66">
      <c r="A31" s="7"/>
      <c r="B31" s="13" t="s">
        <v>27</v>
      </c>
      <c r="C31" s="46">
        <v>0</v>
      </c>
      <c r="D31" s="46">
        <v>1</v>
      </c>
      <c r="E31" s="46">
        <v>3</v>
      </c>
      <c r="F31" s="46">
        <v>0</v>
      </c>
      <c r="G31" s="46">
        <v>3</v>
      </c>
      <c r="H31" s="46">
        <v>7</v>
      </c>
      <c r="I31" s="17">
        <f>J22*H31</f>
        <v>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36"/>
    </row>
    <row r="32" spans="1:66" ht="15.6">
      <c r="A32" s="7"/>
      <c r="B32" s="15" t="s">
        <v>13</v>
      </c>
      <c r="C32" s="15"/>
      <c r="D32" s="15"/>
      <c r="E32" s="15"/>
      <c r="F32" s="15"/>
      <c r="G32" s="15"/>
      <c r="H32" s="15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36"/>
    </row>
    <row r="33" spans="1:20" ht="33" customHeight="1">
      <c r="A33" s="7"/>
      <c r="B33" s="13"/>
      <c r="C33" s="47" t="s">
        <v>24</v>
      </c>
      <c r="D33" s="17" t="s">
        <v>39</v>
      </c>
      <c r="E33" s="17" t="s">
        <v>26</v>
      </c>
      <c r="F33" s="17" t="s">
        <v>27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7"/>
    </row>
    <row r="34" spans="1:20">
      <c r="A34" s="7"/>
      <c r="B34" s="13" t="s">
        <v>28</v>
      </c>
      <c r="C34" s="13"/>
      <c r="D34" s="13"/>
      <c r="E34" s="13"/>
      <c r="F34" s="13"/>
      <c r="G34" s="13"/>
      <c r="H34" s="13"/>
      <c r="I34" s="13">
        <f>(I28+I31)/2</f>
        <v>0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7"/>
    </row>
    <row r="35" spans="1:20">
      <c r="A35" s="7"/>
      <c r="B35" s="13"/>
      <c r="C35" s="13">
        <v>3310560</v>
      </c>
      <c r="D35" s="13">
        <v>185986.51685393258</v>
      </c>
      <c r="E35" s="13">
        <v>1986336</v>
      </c>
      <c r="F35" s="13">
        <v>2648448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7"/>
    </row>
    <row r="36" spans="1:20">
      <c r="A36" s="7"/>
      <c r="B36" s="13"/>
      <c r="C36" s="13">
        <f>I28</f>
        <v>0</v>
      </c>
      <c r="D36" s="13">
        <f>I29</f>
        <v>0</v>
      </c>
      <c r="E36" s="13">
        <f>I30</f>
        <v>0</v>
      </c>
      <c r="F36" s="13">
        <f>I31</f>
        <v>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7"/>
    </row>
    <row r="37" spans="1:20">
      <c r="A37" s="7"/>
      <c r="B37" s="13" t="s">
        <v>29</v>
      </c>
      <c r="C37" s="13">
        <f>SUM(C47:H47)</f>
        <v>0</v>
      </c>
      <c r="D37" s="13">
        <f>SUM(C48:H48)</f>
        <v>0</v>
      </c>
      <c r="E37" s="13">
        <f>SUM(C49:H49)</f>
        <v>0</v>
      </c>
      <c r="F37" s="13">
        <f>SUM(C50:H50)</f>
        <v>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7"/>
    </row>
    <row r="38" spans="1:20" ht="30">
      <c r="A38" s="7"/>
      <c r="B38" s="13" t="s">
        <v>30</v>
      </c>
      <c r="C38" s="13">
        <v>0</v>
      </c>
      <c r="D38" s="13">
        <v>0</v>
      </c>
      <c r="E38" s="13">
        <v>0</v>
      </c>
      <c r="F38" s="13">
        <v>0</v>
      </c>
      <c r="G38" s="13"/>
      <c r="H38" s="13"/>
      <c r="I38" s="13"/>
      <c r="J38" s="13"/>
      <c r="K38" s="13"/>
      <c r="L38" s="13"/>
      <c r="M38" s="13"/>
      <c r="N38" s="13"/>
      <c r="O38" s="13"/>
      <c r="P38" s="46" t="s">
        <v>24</v>
      </c>
      <c r="Q38" s="13" t="s">
        <v>39</v>
      </c>
      <c r="R38" s="13" t="s">
        <v>26</v>
      </c>
      <c r="S38" s="13" t="s">
        <v>27</v>
      </c>
      <c r="T38" s="7"/>
    </row>
    <row r="39" spans="1:20" ht="30.6">
      <c r="A39" s="7"/>
      <c r="B39" s="15" t="s">
        <v>34</v>
      </c>
      <c r="C39" s="15"/>
      <c r="D39" s="15"/>
      <c r="E39" s="15"/>
      <c r="F39" s="15"/>
      <c r="G39" s="15"/>
      <c r="H39" s="15"/>
      <c r="I39" s="15"/>
      <c r="J39" s="13"/>
      <c r="K39" s="46" t="s">
        <v>24</v>
      </c>
      <c r="L39" s="13" t="s">
        <v>39</v>
      </c>
      <c r="M39" s="13" t="s">
        <v>26</v>
      </c>
      <c r="N39" s="13" t="s">
        <v>27</v>
      </c>
      <c r="O39" s="13"/>
      <c r="P39" s="13">
        <f>K40</f>
        <v>100</v>
      </c>
      <c r="Q39" s="13">
        <f>L40</f>
        <v>100</v>
      </c>
      <c r="R39" s="13">
        <f>M40</f>
        <v>100</v>
      </c>
      <c r="S39" s="13">
        <f>N40</f>
        <v>100</v>
      </c>
      <c r="T39" s="7"/>
    </row>
    <row r="40" spans="1:20">
      <c r="A40" s="7"/>
      <c r="B40" s="46" t="s">
        <v>24</v>
      </c>
      <c r="C40" s="46" t="s">
        <v>25</v>
      </c>
      <c r="D40" s="13" t="s">
        <v>26</v>
      </c>
      <c r="E40" s="13" t="s">
        <v>27</v>
      </c>
      <c r="F40" s="13"/>
      <c r="G40" s="13"/>
      <c r="H40" s="13"/>
      <c r="I40" s="13"/>
      <c r="J40" s="13"/>
      <c r="K40" s="13">
        <v>100</v>
      </c>
      <c r="L40" s="13">
        <v>100</v>
      </c>
      <c r="M40" s="13">
        <v>100</v>
      </c>
      <c r="N40" s="13">
        <v>100</v>
      </c>
      <c r="O40" s="13" t="s">
        <v>51</v>
      </c>
      <c r="P40" s="13">
        <f>K42</f>
        <v>0</v>
      </c>
      <c r="Q40" s="13">
        <f>L42</f>
        <v>0</v>
      </c>
      <c r="R40" s="13">
        <f>M42</f>
        <v>0</v>
      </c>
      <c r="S40" s="13">
        <f>N42</f>
        <v>0</v>
      </c>
      <c r="T40" s="7"/>
    </row>
    <row r="41" spans="1:20" ht="45">
      <c r="A41" s="7"/>
      <c r="B41" s="13">
        <v>100</v>
      </c>
      <c r="C41" s="13">
        <v>100</v>
      </c>
      <c r="D41" s="13">
        <v>100</v>
      </c>
      <c r="E41" s="13">
        <v>100</v>
      </c>
      <c r="F41" s="13" t="s">
        <v>35</v>
      </c>
      <c r="G41" s="13"/>
      <c r="H41" s="13"/>
      <c r="I41" s="13"/>
      <c r="J41" s="13"/>
      <c r="K41" s="13" t="e">
        <f>(C37*100)/C36</f>
        <v>#DIV/0!</v>
      </c>
      <c r="L41" s="13" t="e">
        <f>(D37*100)/D36</f>
        <v>#DIV/0!</v>
      </c>
      <c r="M41" s="13" t="e">
        <f>(E37*100)/E36</f>
        <v>#DIV/0!</v>
      </c>
      <c r="N41" s="13" t="e">
        <f>(F37*100)/F36</f>
        <v>#DIV/0!</v>
      </c>
      <c r="O41" s="13" t="s">
        <v>64</v>
      </c>
      <c r="P41" s="13"/>
      <c r="Q41" s="13"/>
      <c r="R41" s="13"/>
      <c r="S41" s="13"/>
      <c r="T41" s="7"/>
    </row>
    <row r="42" spans="1:20" ht="45">
      <c r="A42" s="7"/>
      <c r="B42" s="13">
        <f>(C36*100)/C35</f>
        <v>0</v>
      </c>
      <c r="C42" s="13">
        <f>(D36*100)/D35</f>
        <v>0</v>
      </c>
      <c r="D42" s="13">
        <f>(E36*100)/E35</f>
        <v>0</v>
      </c>
      <c r="E42" s="13">
        <f>(F36*100)/F35</f>
        <v>0</v>
      </c>
      <c r="F42" s="13" t="s">
        <v>36</v>
      </c>
      <c r="G42" s="13"/>
      <c r="H42" s="13"/>
      <c r="I42" s="13"/>
      <c r="J42" s="13"/>
      <c r="K42" s="13">
        <f>N13</f>
        <v>0</v>
      </c>
      <c r="L42" s="13">
        <f>O13</f>
        <v>0</v>
      </c>
      <c r="M42" s="13">
        <f>P13</f>
        <v>0</v>
      </c>
      <c r="N42" s="13">
        <f>Q13</f>
        <v>0</v>
      </c>
      <c r="O42" s="13" t="s">
        <v>62</v>
      </c>
      <c r="P42" s="13"/>
      <c r="Q42" s="13"/>
      <c r="R42" s="13"/>
      <c r="S42" s="13"/>
      <c r="T42" s="7"/>
    </row>
    <row r="43" spans="1:20" ht="75">
      <c r="A43" s="7"/>
      <c r="B43" s="13">
        <f>(C37*100)/C35</f>
        <v>0</v>
      </c>
      <c r="C43" s="13">
        <f>(D37*100)/D35</f>
        <v>0</v>
      </c>
      <c r="D43" s="13">
        <f>(E37*100)/E35</f>
        <v>0</v>
      </c>
      <c r="E43" s="13">
        <f>(F37*100)/F35</f>
        <v>0</v>
      </c>
      <c r="F43" s="13" t="s">
        <v>64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7"/>
    </row>
    <row r="44" spans="1:20">
      <c r="A44" s="7"/>
      <c r="B44" s="13">
        <v>0</v>
      </c>
      <c r="C44" s="13">
        <v>0</v>
      </c>
      <c r="D44" s="13">
        <v>0</v>
      </c>
      <c r="E44" s="13">
        <v>0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7"/>
    </row>
    <row r="45" spans="1:20">
      <c r="A45" s="7"/>
      <c r="B45" s="13" t="e">
        <f>(C37*100)/C36</f>
        <v>#DIV/0!</v>
      </c>
      <c r="C45" s="13" t="e">
        <f>(D37*100)/D36</f>
        <v>#DIV/0!</v>
      </c>
      <c r="D45" s="13" t="e">
        <f>(E37*100)/E36</f>
        <v>#DIV/0!</v>
      </c>
      <c r="E45" s="13" t="e">
        <f>(F37*100)/F36</f>
        <v>#DIV/0!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7"/>
    </row>
    <row r="46" spans="1:20" ht="15.6">
      <c r="A46" s="7"/>
      <c r="B46" s="15"/>
      <c r="C46" s="15"/>
      <c r="D46" s="15"/>
      <c r="E46" s="15"/>
      <c r="F46" s="15"/>
      <c r="G46" s="15"/>
      <c r="H46" s="15"/>
      <c r="I46" s="15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7"/>
    </row>
    <row r="47" spans="1:20">
      <c r="A47" s="7"/>
      <c r="B47" s="13" t="s">
        <v>24</v>
      </c>
      <c r="C47" s="17">
        <f>C16*C28</f>
        <v>0</v>
      </c>
      <c r="D47" s="17">
        <f>D16*D28</f>
        <v>0</v>
      </c>
      <c r="E47" s="17">
        <f>E16*E28</f>
        <v>0</v>
      </c>
      <c r="F47" s="17">
        <f>F15*F28</f>
        <v>0</v>
      </c>
      <c r="G47" s="17">
        <f>G15*G28</f>
        <v>0</v>
      </c>
      <c r="H47" s="17">
        <f>H15*H28</f>
        <v>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7"/>
    </row>
    <row r="48" spans="1:20">
      <c r="A48" s="7"/>
      <c r="B48" s="13" t="s">
        <v>39</v>
      </c>
      <c r="C48" s="17">
        <f>C16*C29</f>
        <v>0</v>
      </c>
      <c r="D48" s="17">
        <f>D16*D29</f>
        <v>0</v>
      </c>
      <c r="E48" s="17">
        <f>E16*E29</f>
        <v>0</v>
      </c>
      <c r="F48" s="17">
        <f>F15*F29</f>
        <v>0</v>
      </c>
      <c r="G48" s="17">
        <f>G15*G29</f>
        <v>0</v>
      </c>
      <c r="H48" s="17">
        <f>H15*H29</f>
        <v>0</v>
      </c>
      <c r="I48" s="48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7"/>
    </row>
    <row r="49" spans="1:66">
      <c r="A49" s="7"/>
      <c r="B49" s="13" t="s">
        <v>26</v>
      </c>
      <c r="C49" s="17">
        <f>C16*C30</f>
        <v>0</v>
      </c>
      <c r="D49" s="17">
        <f>D16*D30</f>
        <v>0</v>
      </c>
      <c r="E49" s="17">
        <f>E16*E30</f>
        <v>0</v>
      </c>
      <c r="F49" s="17">
        <f>F15*F30</f>
        <v>0</v>
      </c>
      <c r="G49" s="17">
        <f>G15*G30</f>
        <v>0</v>
      </c>
      <c r="H49" s="17">
        <f>H15*H30</f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7"/>
    </row>
    <row r="50" spans="1:66">
      <c r="A50" s="7"/>
      <c r="B50" s="13" t="s">
        <v>27</v>
      </c>
      <c r="C50" s="17">
        <f>C16*C31</f>
        <v>0</v>
      </c>
      <c r="D50" s="17">
        <f>D16*D31</f>
        <v>0</v>
      </c>
      <c r="E50" s="17">
        <f>E16*E31</f>
        <v>0</v>
      </c>
      <c r="F50" s="17">
        <f>F15*F31</f>
        <v>0</v>
      </c>
      <c r="G50" s="17">
        <f>G15*G31</f>
        <v>0</v>
      </c>
      <c r="H50" s="17">
        <f>H15*H31</f>
        <v>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7"/>
    </row>
    <row r="51" spans="1:66">
      <c r="A51" s="7"/>
      <c r="B51" s="13" t="s">
        <v>32</v>
      </c>
      <c r="C51" s="13">
        <f t="shared" ref="C51:H51" si="0">C47</f>
        <v>0</v>
      </c>
      <c r="D51" s="13">
        <f t="shared" si="0"/>
        <v>0</v>
      </c>
      <c r="E51" s="13">
        <f t="shared" si="0"/>
        <v>0</v>
      </c>
      <c r="F51" s="13">
        <f t="shared" si="0"/>
        <v>0</v>
      </c>
      <c r="G51" s="13">
        <f t="shared" si="0"/>
        <v>0</v>
      </c>
      <c r="H51" s="13">
        <f t="shared" si="0"/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7"/>
    </row>
    <row r="52" spans="1:66" s="3" customFormat="1">
      <c r="A52" s="7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7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</row>
    <row r="53" spans="1:66" s="3" customFormat="1">
      <c r="A53" s="7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7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</row>
    <row r="54" spans="1:66" s="3" customFormat="1">
      <c r="A54" s="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7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</row>
    <row r="55" spans="1:66" s="3" customFormat="1">
      <c r="A55" s="7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7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</row>
    <row r="56" spans="1:66" s="3" customFormat="1">
      <c r="A56" s="7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7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</row>
    <row r="57" spans="1:66" s="3" customFormat="1">
      <c r="A57" s="7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7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</row>
    <row r="58" spans="1:66" s="3" customFormat="1">
      <c r="A58" s="7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7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</row>
    <row r="59" spans="1:66" s="3" customFormat="1">
      <c r="A59" s="7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7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</row>
    <row r="60" spans="1:66" s="3" customForma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</row>
    <row r="61" spans="1:66" s="3" customForma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</row>
    <row r="62" spans="1:66" s="3" customForma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</row>
    <row r="63" spans="1:66" s="3" customForma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</row>
    <row r="64" spans="1:66" s="3" customForma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</row>
    <row r="65" spans="1:66" s="3" customForma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</row>
    <row r="66" spans="1:66" s="3" customForma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</row>
    <row r="67" spans="1:66" s="3" customForma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</row>
    <row r="68" spans="1:66" s="3" customForma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</row>
    <row r="69" spans="1:66" s="3" customFormat="1">
      <c r="K69" s="7"/>
      <c r="L69" s="7"/>
      <c r="M69" s="7"/>
      <c r="N69" s="7"/>
      <c r="O69" s="7"/>
      <c r="P69" s="7"/>
      <c r="Q69" s="7"/>
      <c r="R69" s="7"/>
      <c r="S69" s="7"/>
      <c r="T69" s="7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</row>
    <row r="70" spans="1:66" s="3" customFormat="1">
      <c r="K70" s="7"/>
      <c r="L70" s="7"/>
      <c r="M70" s="7"/>
      <c r="N70" s="7"/>
      <c r="O70" s="7"/>
      <c r="P70" s="7"/>
      <c r="Q70" s="7"/>
      <c r="R70" s="7"/>
      <c r="S70" s="7"/>
      <c r="T70" s="7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</row>
    <row r="71" spans="1:66" s="3" customFormat="1">
      <c r="K71" s="7"/>
      <c r="L71" s="7"/>
      <c r="M71" s="7"/>
      <c r="N71" s="7"/>
      <c r="O71" s="7"/>
      <c r="P71" s="7"/>
      <c r="Q71" s="7"/>
      <c r="R71" s="7"/>
      <c r="S71" s="7"/>
      <c r="T71" s="7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</row>
    <row r="72" spans="1:66" s="3" customFormat="1">
      <c r="K72" s="7"/>
      <c r="L72" s="7"/>
      <c r="M72" s="7"/>
      <c r="N72" s="7"/>
      <c r="O72" s="7"/>
      <c r="P72" s="7"/>
      <c r="Q72" s="7"/>
      <c r="R72" s="7"/>
      <c r="S72" s="7"/>
      <c r="T72" s="7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</row>
    <row r="73" spans="1:66" s="3" customFormat="1">
      <c r="K73" s="7"/>
      <c r="L73" s="7"/>
      <c r="M73" s="7"/>
      <c r="N73" s="7"/>
      <c r="O73" s="7"/>
      <c r="P73" s="7"/>
      <c r="Q73" s="7"/>
      <c r="R73" s="7"/>
      <c r="S73" s="7"/>
      <c r="T73" s="7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</row>
    <row r="74" spans="1:66" s="3" customFormat="1">
      <c r="K74" s="7"/>
      <c r="L74" s="7"/>
      <c r="M74" s="7"/>
      <c r="N74" s="7"/>
      <c r="O74" s="7"/>
      <c r="P74" s="7"/>
      <c r="Q74" s="7"/>
      <c r="R74" s="7"/>
      <c r="S74" s="7"/>
      <c r="T74" s="7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</row>
    <row r="75" spans="1:66" s="3" customFormat="1">
      <c r="K75" s="7"/>
      <c r="L75" s="7"/>
      <c r="M75" s="7"/>
      <c r="N75" s="7"/>
      <c r="O75" s="7"/>
      <c r="P75" s="7"/>
      <c r="Q75" s="7"/>
      <c r="R75" s="7"/>
      <c r="S75" s="7"/>
      <c r="T75" s="7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</row>
    <row r="76" spans="1:66" s="3" customFormat="1">
      <c r="K76" s="7"/>
      <c r="L76" s="7"/>
      <c r="M76" s="7"/>
      <c r="N76" s="7"/>
      <c r="O76" s="7"/>
      <c r="P76" s="7"/>
      <c r="Q76" s="7"/>
      <c r="R76" s="7"/>
      <c r="S76" s="7"/>
      <c r="T76" s="7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</row>
    <row r="77" spans="1:66" s="3" customFormat="1">
      <c r="K77" s="7"/>
      <c r="L77" s="7"/>
      <c r="M77" s="7"/>
      <c r="N77" s="7"/>
      <c r="O77" s="7"/>
      <c r="P77" s="7"/>
      <c r="Q77" s="7"/>
      <c r="R77" s="7"/>
      <c r="S77" s="7"/>
      <c r="T77" s="7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</row>
    <row r="78" spans="1:66" s="3" customFormat="1">
      <c r="K78" s="7"/>
      <c r="L78" s="7"/>
      <c r="M78" s="7"/>
      <c r="N78" s="7"/>
      <c r="O78" s="7"/>
      <c r="P78" s="7"/>
      <c r="Q78" s="7"/>
      <c r="R78" s="7"/>
      <c r="S78" s="7"/>
      <c r="T78" s="7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</row>
    <row r="79" spans="1:66" s="3" customFormat="1">
      <c r="K79" s="7"/>
      <c r="L79" s="7"/>
      <c r="M79" s="7"/>
      <c r="N79" s="7"/>
      <c r="O79" s="7"/>
      <c r="P79" s="7"/>
      <c r="Q79" s="7"/>
      <c r="R79" s="7"/>
      <c r="S79" s="7"/>
      <c r="T79" s="7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</row>
    <row r="80" spans="1:66" s="3" customFormat="1">
      <c r="K80" s="7"/>
      <c r="L80" s="7"/>
      <c r="M80" s="7"/>
      <c r="N80" s="7"/>
      <c r="O80" s="7"/>
      <c r="P80" s="7"/>
      <c r="Q80" s="7"/>
      <c r="R80" s="7"/>
      <c r="S80" s="7"/>
      <c r="T80" s="7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</row>
    <row r="81" spans="11:66" s="3" customFormat="1">
      <c r="K81" s="7"/>
      <c r="L81" s="7"/>
      <c r="M81" s="7"/>
      <c r="N81" s="7"/>
      <c r="O81" s="7"/>
      <c r="P81" s="7"/>
      <c r="Q81" s="7"/>
      <c r="R81" s="7"/>
      <c r="S81" s="7"/>
      <c r="T81" s="7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</row>
    <row r="82" spans="11:66" s="3" customFormat="1">
      <c r="K82" s="7"/>
      <c r="L82" s="7"/>
      <c r="M82" s="7"/>
      <c r="N82" s="7"/>
      <c r="O82" s="7"/>
      <c r="P82" s="7"/>
      <c r="Q82" s="7"/>
      <c r="R82" s="7"/>
      <c r="S82" s="7"/>
      <c r="T82" s="7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</row>
    <row r="83" spans="11:66" s="3" customFormat="1">
      <c r="K83" s="7"/>
      <c r="L83" s="7"/>
      <c r="M83" s="7"/>
      <c r="N83" s="7"/>
      <c r="O83" s="7"/>
      <c r="P83" s="7"/>
      <c r="Q83" s="7"/>
      <c r="R83" s="7"/>
      <c r="S83" s="7"/>
      <c r="T83" s="7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</row>
    <row r="84" spans="11:66" s="3" customFormat="1">
      <c r="K84" s="7"/>
      <c r="L84" s="7"/>
      <c r="M84" s="7"/>
      <c r="N84" s="7"/>
      <c r="O84" s="7"/>
      <c r="P84" s="7"/>
      <c r="Q84" s="7"/>
      <c r="R84" s="7"/>
      <c r="S84" s="7"/>
      <c r="T84" s="7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</row>
    <row r="85" spans="11:66" s="3" customFormat="1">
      <c r="K85" s="7"/>
      <c r="L85" s="7"/>
      <c r="M85" s="7"/>
      <c r="N85" s="7"/>
      <c r="O85" s="7"/>
      <c r="P85" s="7"/>
      <c r="Q85" s="7"/>
      <c r="R85" s="7"/>
      <c r="S85" s="7"/>
      <c r="T85" s="7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</row>
    <row r="86" spans="11:66" s="3" customFormat="1">
      <c r="K86" s="7"/>
      <c r="L86" s="7"/>
      <c r="M86" s="7"/>
      <c r="N86" s="7"/>
      <c r="O86" s="7"/>
      <c r="P86" s="7"/>
      <c r="Q86" s="7"/>
      <c r="R86" s="7"/>
      <c r="S86" s="7"/>
      <c r="T86" s="7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</row>
    <row r="87" spans="11:66" s="3" customFormat="1">
      <c r="K87" s="7"/>
      <c r="L87" s="7"/>
      <c r="M87" s="7"/>
      <c r="N87" s="7"/>
      <c r="O87" s="7"/>
      <c r="P87" s="7"/>
      <c r="Q87" s="7"/>
      <c r="R87" s="7"/>
      <c r="S87" s="7"/>
      <c r="T87" s="7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</row>
    <row r="88" spans="11:66" s="3" customFormat="1">
      <c r="K88" s="7"/>
      <c r="L88" s="7"/>
      <c r="M88" s="7"/>
      <c r="N88" s="7"/>
      <c r="O88" s="7"/>
      <c r="P88" s="7"/>
      <c r="Q88" s="7"/>
      <c r="R88" s="7"/>
      <c r="S88" s="7"/>
      <c r="T88" s="7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</row>
    <row r="89" spans="11:66" s="3" customFormat="1">
      <c r="K89" s="7"/>
      <c r="L89" s="7"/>
      <c r="M89" s="7"/>
      <c r="N89" s="7"/>
      <c r="O89" s="7"/>
      <c r="P89" s="7"/>
      <c r="Q89" s="7"/>
      <c r="R89" s="7"/>
      <c r="S89" s="7"/>
      <c r="T89" s="7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</row>
    <row r="90" spans="11:66" s="3" customFormat="1">
      <c r="K90" s="7"/>
      <c r="L90" s="7"/>
      <c r="M90" s="7"/>
      <c r="N90" s="7"/>
      <c r="O90" s="7"/>
      <c r="P90" s="7"/>
      <c r="Q90" s="7"/>
      <c r="R90" s="7"/>
      <c r="S90" s="7"/>
      <c r="T90" s="7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</row>
    <row r="91" spans="11:66" s="3" customFormat="1">
      <c r="K91" s="7"/>
      <c r="L91" s="7"/>
      <c r="M91" s="7"/>
      <c r="N91" s="7"/>
      <c r="O91" s="7"/>
      <c r="P91" s="7"/>
      <c r="Q91" s="7"/>
      <c r="R91" s="7"/>
      <c r="S91" s="7"/>
      <c r="T91" s="7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</row>
    <row r="92" spans="11:66" s="3" customFormat="1">
      <c r="K92" s="7"/>
      <c r="L92" s="7"/>
      <c r="M92" s="7"/>
      <c r="N92" s="7"/>
      <c r="O92" s="7"/>
      <c r="P92" s="7"/>
      <c r="Q92" s="7"/>
      <c r="R92" s="7"/>
      <c r="S92" s="7"/>
      <c r="T92" s="7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</row>
    <row r="93" spans="11:66" s="3" customFormat="1">
      <c r="K93" s="7"/>
      <c r="L93" s="7"/>
      <c r="M93" s="7"/>
      <c r="N93" s="7"/>
      <c r="O93" s="7"/>
      <c r="P93" s="7"/>
      <c r="Q93" s="7"/>
      <c r="R93" s="7"/>
      <c r="S93" s="7"/>
      <c r="T93" s="7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</row>
    <row r="94" spans="11:66" s="3" customFormat="1">
      <c r="K94" s="7"/>
      <c r="L94" s="7"/>
      <c r="M94" s="7"/>
      <c r="N94" s="7"/>
      <c r="O94" s="7"/>
      <c r="P94" s="7"/>
      <c r="Q94" s="7"/>
      <c r="R94" s="7"/>
      <c r="S94" s="7"/>
      <c r="T94" s="7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</row>
    <row r="95" spans="11:66" s="3" customFormat="1">
      <c r="K95" s="7"/>
      <c r="L95" s="7"/>
      <c r="M95" s="7"/>
      <c r="N95" s="7"/>
      <c r="O95" s="7"/>
      <c r="P95" s="7"/>
      <c r="Q95" s="7"/>
      <c r="R95" s="7"/>
      <c r="S95" s="7"/>
      <c r="T95" s="7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</row>
    <row r="96" spans="11:66" s="3" customFormat="1">
      <c r="K96" s="7"/>
      <c r="L96" s="7"/>
      <c r="M96" s="7"/>
      <c r="N96" s="7"/>
      <c r="O96" s="7"/>
      <c r="P96" s="7"/>
      <c r="Q96" s="7"/>
      <c r="R96" s="7"/>
      <c r="S96" s="7"/>
      <c r="T96" s="7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</row>
    <row r="97" spans="11:66" s="3" customFormat="1">
      <c r="K97" s="7"/>
      <c r="L97" s="7"/>
      <c r="M97" s="7"/>
      <c r="N97" s="7"/>
      <c r="O97" s="7"/>
      <c r="P97" s="7"/>
      <c r="Q97" s="7"/>
      <c r="R97" s="7"/>
      <c r="S97" s="7"/>
      <c r="T97" s="7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</row>
    <row r="98" spans="11:66" s="3" customFormat="1">
      <c r="K98" s="7"/>
      <c r="L98" s="7"/>
      <c r="M98" s="7"/>
      <c r="N98" s="7"/>
      <c r="O98" s="7"/>
      <c r="P98" s="7"/>
      <c r="Q98" s="7"/>
      <c r="R98" s="7"/>
      <c r="S98" s="7"/>
      <c r="T98" s="7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</row>
    <row r="99" spans="11:66" s="3" customFormat="1">
      <c r="K99" s="7"/>
      <c r="L99" s="7"/>
      <c r="M99" s="7"/>
      <c r="N99" s="7"/>
      <c r="O99" s="7"/>
      <c r="P99" s="7"/>
      <c r="Q99" s="7"/>
      <c r="R99" s="7"/>
      <c r="S99" s="7"/>
      <c r="T99" s="7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</row>
    <row r="100" spans="11:66" s="3" customFormat="1"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</row>
    <row r="101" spans="11:66" s="3" customFormat="1"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</row>
    <row r="102" spans="11:66" s="3" customFormat="1"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</row>
    <row r="103" spans="11:66" s="3" customFormat="1"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</row>
    <row r="104" spans="11:66" s="3" customFormat="1"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</row>
    <row r="105" spans="11:66" s="3" customFormat="1"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</row>
    <row r="106" spans="11:66" s="3" customFormat="1"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</row>
    <row r="107" spans="11:66" s="3" customFormat="1"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</row>
    <row r="108" spans="11:66" s="3" customFormat="1"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</row>
    <row r="109" spans="11:66" s="3" customFormat="1"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</row>
    <row r="110" spans="11:66" s="3" customFormat="1"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</row>
    <row r="111" spans="11:66" s="3" customFormat="1"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</row>
    <row r="112" spans="11:66" s="3" customFormat="1"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</row>
    <row r="113" spans="11:66" s="3" customFormat="1"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</row>
    <row r="114" spans="11:66" s="3" customFormat="1"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</row>
    <row r="115" spans="11:66" s="3" customFormat="1"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</row>
    <row r="116" spans="11:66" s="3" customFormat="1"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</row>
    <row r="117" spans="11:66" s="3" customFormat="1"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</row>
    <row r="118" spans="11:66" s="3" customFormat="1"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</row>
    <row r="119" spans="11:66" s="3" customFormat="1"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</row>
    <row r="120" spans="11:66" s="3" customFormat="1"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</row>
    <row r="121" spans="11:66" s="3" customFormat="1"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</row>
    <row r="122" spans="11:66" s="3" customFormat="1"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</row>
    <row r="123" spans="11:66" s="3" customFormat="1"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</row>
    <row r="124" spans="11:66" s="3" customFormat="1"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</row>
    <row r="125" spans="11:66" s="3" customFormat="1"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</row>
    <row r="126" spans="11:66" s="3" customFormat="1"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</row>
    <row r="127" spans="11:66" s="3" customFormat="1"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</row>
    <row r="128" spans="11:66" s="3" customFormat="1"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</row>
    <row r="129" spans="11:66" s="3" customFormat="1"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</row>
    <row r="130" spans="11:66" s="3" customFormat="1"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</row>
    <row r="131" spans="11:66" s="3" customFormat="1"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</row>
    <row r="132" spans="11:66" s="3" customFormat="1"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</row>
    <row r="133" spans="11:66" s="3" customFormat="1"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</row>
    <row r="134" spans="11:66" s="3" customFormat="1"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</row>
    <row r="135" spans="11:66" s="3" customFormat="1"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</row>
    <row r="136" spans="11:66" s="3" customFormat="1"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</row>
    <row r="137" spans="11:66" s="3" customFormat="1"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</row>
    <row r="138" spans="11:66" s="3" customFormat="1"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</row>
    <row r="139" spans="11:66" s="3" customFormat="1"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</row>
    <row r="140" spans="11:66" s="3" customFormat="1"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</row>
    <row r="141" spans="11:66" s="3" customFormat="1"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</row>
    <row r="142" spans="11:66" s="3" customFormat="1"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</row>
    <row r="143" spans="11:66" s="3" customFormat="1"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</row>
    <row r="144" spans="11:66" s="3" customFormat="1"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</row>
    <row r="145" spans="11:66" s="3" customFormat="1"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</row>
    <row r="146" spans="11:66" s="3" customFormat="1"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</row>
    <row r="147" spans="11:66" s="3" customFormat="1"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</row>
    <row r="148" spans="11:66" s="3" customFormat="1"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</row>
    <row r="149" spans="11:66" s="3" customFormat="1"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</row>
    <row r="150" spans="11:66" s="3" customFormat="1"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</row>
    <row r="151" spans="11:66" s="3" customFormat="1"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</row>
    <row r="152" spans="11:66" s="3" customFormat="1"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</row>
    <row r="153" spans="11:66" s="3" customFormat="1"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</row>
    <row r="154" spans="11:66" s="3" customFormat="1"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</row>
    <row r="155" spans="11:66" s="3" customFormat="1"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</row>
    <row r="156" spans="11:66" s="3" customFormat="1"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</row>
    <row r="157" spans="11:66" s="3" customFormat="1"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</row>
    <row r="158" spans="11:66" s="3" customFormat="1"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</row>
    <row r="159" spans="11:66" s="3" customFormat="1"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</row>
    <row r="160" spans="11:66" s="3" customFormat="1"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</row>
    <row r="161" spans="11:66" s="3" customFormat="1"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</row>
    <row r="162" spans="11:66" s="3" customFormat="1"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</row>
    <row r="163" spans="11:66" s="3" customFormat="1"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</row>
    <row r="164" spans="11:66" s="3" customFormat="1"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</row>
    <row r="165" spans="11:66" s="3" customFormat="1"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</row>
    <row r="166" spans="11:66" s="3" customFormat="1"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</row>
    <row r="167" spans="11:66" s="3" customFormat="1"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</row>
    <row r="168" spans="11:66" s="3" customFormat="1"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</row>
    <row r="169" spans="11:66" s="3" customFormat="1"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</row>
    <row r="170" spans="11:66" s="3" customFormat="1"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</row>
    <row r="171" spans="11:66" s="3" customFormat="1"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</row>
    <row r="172" spans="11:66" s="3" customFormat="1"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</row>
    <row r="173" spans="11:66" s="3" customFormat="1"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</row>
    <row r="174" spans="11:66" s="3" customFormat="1"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</row>
    <row r="175" spans="11:66" s="3" customFormat="1"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</row>
    <row r="176" spans="11:66" s="3" customFormat="1"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</row>
    <row r="177" spans="11:66" s="3" customFormat="1"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</row>
    <row r="178" spans="11:66" s="3" customFormat="1"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</row>
    <row r="179" spans="11:66" s="3" customFormat="1"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</row>
    <row r="180" spans="11:66" s="3" customFormat="1"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</row>
    <row r="181" spans="11:66" s="3" customFormat="1"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</row>
    <row r="182" spans="11:66" s="3" customFormat="1"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</row>
    <row r="183" spans="11:66" s="3" customFormat="1"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</row>
    <row r="184" spans="11:66" s="3" customFormat="1"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</row>
    <row r="185" spans="11:66" s="3" customFormat="1"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</row>
    <row r="186" spans="11:66" s="3" customFormat="1"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</row>
    <row r="187" spans="11:66" s="3" customFormat="1"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</row>
    <row r="188" spans="11:66" s="3" customFormat="1"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</row>
    <row r="189" spans="11:66" s="3" customFormat="1"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</row>
    <row r="190" spans="11:66" s="3" customFormat="1"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</row>
    <row r="191" spans="11:66" s="3" customFormat="1"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</row>
    <row r="192" spans="11:66" s="3" customFormat="1"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</row>
    <row r="193" spans="21:66" s="3" customFormat="1"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</row>
    <row r="194" spans="21:66" s="3" customFormat="1"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</row>
    <row r="195" spans="21:66" s="3" customFormat="1"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</row>
  </sheetData>
  <sheetProtection selectLockedCells="1"/>
  <mergeCells count="5">
    <mergeCell ref="N14:Q14"/>
    <mergeCell ref="N10:Q10"/>
    <mergeCell ref="B1:C1"/>
    <mergeCell ref="B7:H7"/>
    <mergeCell ref="E1:K1"/>
  </mergeCells>
  <conditionalFormatting sqref="I5">
    <cfRule type="colorScale" priority="1">
      <colorScale>
        <cfvo type="num" val="-1"/>
        <cfvo type="num" val="0"/>
        <cfvo type="num" val="8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Michelle Masuku</cp:lastModifiedBy>
  <dcterms:created xsi:type="dcterms:W3CDTF">2017-04-14T20:39:54Z</dcterms:created>
  <dcterms:modified xsi:type="dcterms:W3CDTF">2021-05-20T07:56:45Z</dcterms:modified>
</cp:coreProperties>
</file>