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venter\Desktop\"/>
    </mc:Choice>
  </mc:AlternateContent>
  <xr:revisionPtr revIDLastSave="0" documentId="13_ncr:1_{5D0B2139-FB51-4017-A568-46635651482A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Community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D19" i="1"/>
  <c r="G19" i="1" l="1"/>
  <c r="D16" i="1" l="1"/>
  <c r="E3" i="1" l="1"/>
  <c r="D18" i="1" l="1"/>
  <c r="E18" i="1" s="1"/>
  <c r="D17" i="1"/>
  <c r="V12" i="1" l="1"/>
  <c r="G12" i="1" s="1"/>
  <c r="V11" i="1"/>
  <c r="G11" i="1" s="1"/>
  <c r="V10" i="1"/>
  <c r="V9" i="1"/>
  <c r="G9" i="1" s="1"/>
  <c r="V8" i="1"/>
  <c r="G8" i="1" s="1"/>
  <c r="V7" i="1"/>
  <c r="G7" i="1" s="1"/>
  <c r="V4" i="1"/>
  <c r="G4" i="1" s="1"/>
  <c r="V3" i="1"/>
  <c r="G3" i="1" s="1"/>
  <c r="V5" i="1"/>
  <c r="G5" i="1" s="1"/>
  <c r="V6" i="1"/>
  <c r="G6" i="1" s="1"/>
  <c r="F27" i="1"/>
  <c r="F26" i="1"/>
  <c r="D23" i="1"/>
  <c r="E23" i="1" s="1"/>
  <c r="D25" i="1"/>
  <c r="F25" i="1" s="1"/>
  <c r="F8" i="1"/>
  <c r="F11" i="1"/>
  <c r="F4" i="1"/>
  <c r="F5" i="1"/>
  <c r="F6" i="1"/>
  <c r="F7" i="1"/>
  <c r="F3" i="1"/>
  <c r="F9" i="1"/>
  <c r="F10" i="1"/>
  <c r="F12" i="1"/>
  <c r="S29" i="1"/>
  <c r="E4" i="1"/>
  <c r="E5" i="1"/>
  <c r="E6" i="1"/>
  <c r="E7" i="1"/>
  <c r="E8" i="1"/>
  <c r="E9" i="1"/>
  <c r="E10" i="1"/>
  <c r="E11" i="1"/>
  <c r="E12" i="1"/>
  <c r="R29" i="1"/>
  <c r="U29" i="1"/>
  <c r="E26" i="1"/>
  <c r="E27" i="1"/>
  <c r="V29" i="1"/>
  <c r="G10" i="1"/>
  <c r="T29" i="1"/>
  <c r="W26" i="1"/>
  <c r="O29" i="1" s="1"/>
  <c r="Q17" i="1"/>
  <c r="Q15" i="1"/>
  <c r="G13" i="1" l="1"/>
  <c r="G33" i="1" s="1"/>
  <c r="K18" i="1" s="1"/>
  <c r="E13" i="1"/>
  <c r="R25" i="1" s="1"/>
  <c r="R28" i="1" s="1"/>
  <c r="F13" i="1"/>
  <c r="S25" i="1" s="1"/>
  <c r="S28" i="1" s="1"/>
  <c r="E25" i="1"/>
  <c r="E28" i="1" s="1"/>
  <c r="U25" i="1" s="1"/>
  <c r="U28" i="1" s="1"/>
  <c r="P29" i="1"/>
  <c r="Q29" i="1"/>
  <c r="D30" i="1"/>
  <c r="E30" i="1" s="1"/>
  <c r="G18" i="1"/>
  <c r="F23" i="1"/>
  <c r="F28" i="1" s="1"/>
  <c r="E33" i="1" l="1"/>
  <c r="I18" i="1" s="1"/>
  <c r="T25" i="1"/>
  <c r="T28" i="1" s="1"/>
  <c r="Q25" i="1"/>
  <c r="F33" i="1"/>
  <c r="J18" i="1" s="1"/>
  <c r="V25" i="1"/>
  <c r="V28" i="1" s="1"/>
  <c r="O25" i="1" l="1"/>
  <c r="P25" i="1"/>
  <c r="W25" i="1" l="1"/>
  <c r="Q28" i="1" s="1"/>
  <c r="O28" i="1" l="1"/>
  <c r="P28" i="1"/>
</calcChain>
</file>

<file path=xl/sharedStrings.xml><?xml version="1.0" encoding="utf-8"?>
<sst xmlns="http://schemas.openxmlformats.org/spreadsheetml/2006/main" count="76" uniqueCount="63">
  <si>
    <t>Gas</t>
  </si>
  <si>
    <t>Persuasive Electric Vehicle (PEV)</t>
  </si>
  <si>
    <t>BUILDINGS</t>
  </si>
  <si>
    <t>Conventional office building</t>
  </si>
  <si>
    <t xml:space="preserve">MWh /Person included embodied energy </t>
  </si>
  <si>
    <t xml:space="preserve">min/person (Average of time) </t>
  </si>
  <si>
    <t>Time</t>
  </si>
  <si>
    <t>Time (h)</t>
  </si>
  <si>
    <t>People working in the district</t>
  </si>
  <si>
    <t>People living and working in the district</t>
  </si>
  <si>
    <t>Co-working robotic space</t>
  </si>
  <si>
    <t>Energy (MWh)</t>
  </si>
  <si>
    <t>TOTAL MOBILITY</t>
  </si>
  <si>
    <t>More people commuting than the starting population</t>
  </si>
  <si>
    <t>Less people commuting than the starting population</t>
  </si>
  <si>
    <t>The population matches</t>
  </si>
  <si>
    <t>Do you want to reduce the number of office?</t>
  </si>
  <si>
    <t>Do you want to build more office?</t>
  </si>
  <si>
    <t>OK</t>
  </si>
  <si>
    <t xml:space="preserve"> </t>
  </si>
  <si>
    <t>Buildings</t>
  </si>
  <si>
    <t>People</t>
  </si>
  <si>
    <t>Do you want to bring more people to the district?</t>
  </si>
  <si>
    <t>Do you want to remove some people from the district?</t>
  </si>
  <si>
    <t>Mobility CO2 (Tons)</t>
  </si>
  <si>
    <t>Mobility Energy (MWh)</t>
  </si>
  <si>
    <t>Building Energy (MWh)</t>
  </si>
  <si>
    <t>TOTAL BUILDINGS</t>
  </si>
  <si>
    <t>TOTALS</t>
  </si>
  <si>
    <t>REDUCTIONS</t>
  </si>
  <si>
    <t>Existing condition</t>
  </si>
  <si>
    <t>Test</t>
  </si>
  <si>
    <t xml:space="preserve">Total CO2 </t>
  </si>
  <si>
    <t>Total MWh</t>
  </si>
  <si>
    <t xml:space="preserve">Total Time </t>
  </si>
  <si>
    <r>
      <t>CO2 /Person</t>
    </r>
    <r>
      <rPr>
        <b/>
        <vertAlign val="superscript"/>
        <sz val="10"/>
        <color theme="0"/>
        <rFont val="Helvetica Neue"/>
      </rPr>
      <t xml:space="preserve"> </t>
    </r>
    <r>
      <rPr>
        <b/>
        <sz val="10"/>
        <color theme="0"/>
        <rFont val="Helvetica Neue"/>
      </rPr>
      <t xml:space="preserve"> included embodied energy (metric tons)</t>
    </r>
  </si>
  <si>
    <t>Hybrid</t>
  </si>
  <si>
    <t>Electric</t>
  </si>
  <si>
    <t>Bike</t>
  </si>
  <si>
    <t>Walk</t>
  </si>
  <si>
    <t>Public transit</t>
  </si>
  <si>
    <t>Single-family suburban housing</t>
  </si>
  <si>
    <t>Number of people</t>
  </si>
  <si>
    <t>Mobility mode (MIT 2017 data)</t>
  </si>
  <si>
    <t>Time (hours per year)</t>
  </si>
  <si>
    <t>Energy (MWh per year)</t>
  </si>
  <si>
    <t>Total population</t>
  </si>
  <si>
    <t>Commuters' houses</t>
  </si>
  <si>
    <t>MIT BSC | Module 5 Unit 2 | Activity submission</t>
  </si>
  <si>
    <t>Number of people (MIT  2017 data)</t>
  </si>
  <si>
    <r>
      <rPr>
        <b/>
        <sz val="10"/>
        <color theme="0" tint="-0.499984740745262"/>
        <rFont val="Helvetica Neue"/>
      </rPr>
      <t xml:space="preserve">Note: </t>
    </r>
    <r>
      <rPr>
        <sz val="10"/>
        <color theme="0" tint="-0.499984740745262"/>
        <rFont val="Helvetica Neue"/>
      </rPr>
      <t xml:space="preserve">This sheet contains a simplified version of data that is not fine-grained or mathematically accurate. </t>
    </r>
  </si>
  <si>
    <r>
      <t xml:space="preserve">WARNING </t>
    </r>
    <r>
      <rPr>
        <sz val="12"/>
        <color theme="1"/>
        <rFont val="Helvetica Neue"/>
      </rPr>
      <t>(Is there a difference between the commuting population and the total population?)</t>
    </r>
  </si>
  <si>
    <t xml:space="preserve">New robotic architecture (micro-units) </t>
  </si>
  <si>
    <r>
      <t>CO</t>
    </r>
    <r>
      <rPr>
        <b/>
        <vertAlign val="subscript"/>
        <sz val="9.5"/>
        <color theme="1"/>
        <rFont val="Helvetica Neue"/>
      </rPr>
      <t>2</t>
    </r>
    <r>
      <rPr>
        <b/>
        <sz val="12"/>
        <color theme="1"/>
        <rFont val="Helvetica Neue"/>
      </rPr>
      <t xml:space="preserve"> (tons per year)</t>
    </r>
  </si>
  <si>
    <r>
      <t>CO</t>
    </r>
    <r>
      <rPr>
        <b/>
        <vertAlign val="subscript"/>
        <sz val="12"/>
        <color theme="1"/>
        <rFont val="Helvetica Neue"/>
      </rPr>
      <t xml:space="preserve">2 </t>
    </r>
  </si>
  <si>
    <r>
      <t>CO</t>
    </r>
    <r>
      <rPr>
        <b/>
        <vertAlign val="subscript"/>
        <sz val="12"/>
        <color theme="1"/>
        <rFont val="Helvetica Neue"/>
      </rPr>
      <t>2</t>
    </r>
    <r>
      <rPr>
        <b/>
        <sz val="12"/>
        <color theme="1"/>
        <rFont val="Helvetica Neue"/>
      </rPr>
      <t xml:space="preserve"> (Tons)</t>
    </r>
  </si>
  <si>
    <r>
      <t>Building CO</t>
    </r>
    <r>
      <rPr>
        <b/>
        <vertAlign val="subscript"/>
        <sz val="10"/>
        <color theme="0"/>
        <rFont val="Helvetica Neue"/>
      </rPr>
      <t>2</t>
    </r>
    <r>
      <rPr>
        <b/>
        <sz val="10"/>
        <color theme="0"/>
        <rFont val="Helvetica Neue"/>
      </rPr>
      <t xml:space="preserve"> (Tons)</t>
    </r>
  </si>
  <si>
    <t>Carpool (gas)</t>
  </si>
  <si>
    <t>Carpool (hybrid)</t>
  </si>
  <si>
    <t>Carpool (electric)</t>
  </si>
  <si>
    <t xml:space="preserve">Living and working within a walkable distance </t>
  </si>
  <si>
    <r>
      <t>CO</t>
    </r>
    <r>
      <rPr>
        <b/>
        <vertAlign val="subscript"/>
        <sz val="12"/>
        <color theme="1"/>
        <rFont val="Helvetica Neue"/>
      </rPr>
      <t>2</t>
    </r>
    <r>
      <rPr>
        <b/>
        <sz val="12"/>
        <color theme="1"/>
        <rFont val="Helvetica Neue"/>
      </rPr>
      <t xml:space="preserve"> (tons)</t>
    </r>
  </si>
  <si>
    <r>
      <t xml:space="preserve">WARNING </t>
    </r>
    <r>
      <rPr>
        <sz val="12"/>
        <color theme="1"/>
        <rFont val="Helvetica Neue"/>
      </rPr>
      <t>(Does the number of people living and working in the district exceed the total population?)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</si>
</sst>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28">
    <font>
      <sz val="12"/>
      <color theme="1"/>
      <name val="Calibri"/>
      <family val="2"/>
      <scheme val="minor"/>
    </font>
    <font>
      <b/>
      <sz val="12"/>
      <color theme="1"/>
      <name val="Helvetica Neue"/>
    </font>
    <font>
      <sz val="12"/>
      <color theme="1"/>
      <name val="Helvetica Neue"/>
    </font>
    <font>
      <sz val="1"/>
      <color theme="0"/>
      <name val="Helvetica Neue"/>
    </font>
    <font>
      <b/>
      <sz val="12"/>
      <color theme="9"/>
      <name val="Helvetica Neue"/>
    </font>
    <font>
      <sz val="10.5"/>
      <color rgb="FF000000"/>
      <name val="Helvetica Neue"/>
    </font>
    <font>
      <sz val="12"/>
      <color rgb="FFFF0000"/>
      <name val="Helvetica Neue"/>
    </font>
    <font>
      <b/>
      <sz val="12"/>
      <color theme="0" tint="-0.499984740745262"/>
      <name val="Helvetica Neue"/>
    </font>
    <font>
      <sz val="10"/>
      <color theme="1"/>
      <name val="Helvetica Neue"/>
    </font>
    <font>
      <b/>
      <sz val="12"/>
      <color theme="1" tint="0.499984740745262"/>
      <name val="Helvetica Neue"/>
    </font>
    <font>
      <b/>
      <sz val="12"/>
      <color theme="9" tint="-0.249977111117893"/>
      <name val="Helvetica Neue"/>
    </font>
    <font>
      <b/>
      <sz val="14"/>
      <color theme="1"/>
      <name val="Helvetica Neue"/>
    </font>
    <font>
      <sz val="12"/>
      <color theme="0"/>
      <name val="Helvetica Neue"/>
    </font>
    <font>
      <b/>
      <sz val="10"/>
      <color theme="0"/>
      <name val="Helvetica Neue"/>
    </font>
    <font>
      <b/>
      <vertAlign val="superscript"/>
      <sz val="10"/>
      <color theme="0"/>
      <name val="Helvetica Neue"/>
    </font>
    <font>
      <b/>
      <sz val="12"/>
      <color theme="0"/>
      <name val="Helvetica Neue"/>
    </font>
    <font>
      <sz val="10"/>
      <color theme="0" tint="-0.499984740745262"/>
      <name val="Helvetica Neue"/>
    </font>
    <font>
      <b/>
      <sz val="10"/>
      <color theme="0" tint="-0.499984740745262"/>
      <name val="Helvetica Neue"/>
    </font>
    <font>
      <b/>
      <sz val="16"/>
      <color rgb="FF92D050"/>
      <name val="Helvetica Neu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2"/>
      <color theme="1"/>
      <name val="Arial"/>
      <family val="2"/>
    </font>
    <font>
      <b/>
      <sz val="22"/>
      <color theme="1"/>
      <name val="Helvetica Neue"/>
    </font>
    <font>
      <b/>
      <vertAlign val="subscript"/>
      <sz val="9.5"/>
      <color theme="1"/>
      <name val="Helvetica Neue"/>
    </font>
    <font>
      <b/>
      <vertAlign val="subscript"/>
      <sz val="12"/>
      <color theme="1"/>
      <name val="Helvetica Neue"/>
    </font>
    <font>
      <b/>
      <vertAlign val="subscript"/>
      <sz val="10"/>
      <color theme="0"/>
      <name val="Helvetica Neue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0">
    <xf numFmtId="0" fontId="0" fillId="0" borderId="0" xfId="0"/>
    <xf numFmtId="164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Alignment="1">
      <alignment wrapText="1"/>
    </xf>
    <xf numFmtId="164" fontId="9" fillId="2" borderId="2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left" vertical="center" wrapText="1"/>
    </xf>
    <xf numFmtId="164" fontId="2" fillId="4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horizontal="right" wrapText="1"/>
    </xf>
    <xf numFmtId="164" fontId="12" fillId="4" borderId="0" xfId="0" applyNumberFormat="1" applyFont="1" applyFill="1" applyAlignment="1">
      <alignment wrapText="1"/>
    </xf>
    <xf numFmtId="164" fontId="12" fillId="4" borderId="0" xfId="0" applyNumberFormat="1" applyFont="1" applyFill="1" applyAlignment="1">
      <alignment horizontal="right" wrapText="1"/>
    </xf>
    <xf numFmtId="164" fontId="12" fillId="4" borderId="0" xfId="0" applyNumberFormat="1" applyFont="1" applyFill="1" applyBorder="1" applyAlignment="1">
      <alignment wrapText="1"/>
    </xf>
    <xf numFmtId="164" fontId="13" fillId="3" borderId="0" xfId="0" applyNumberFormat="1" applyFont="1" applyFill="1" applyBorder="1" applyAlignment="1">
      <alignment horizontal="center" vertical="center" wrapText="1"/>
    </xf>
    <xf numFmtId="164" fontId="15" fillId="3" borderId="0" xfId="0" applyNumberFormat="1" applyFont="1" applyFill="1" applyBorder="1" applyAlignment="1">
      <alignment horizontal="center" vertical="center" wrapText="1"/>
    </xf>
    <xf numFmtId="164" fontId="12" fillId="4" borderId="0" xfId="0" applyNumberFormat="1" applyFont="1" applyFill="1" applyBorder="1" applyAlignment="1">
      <alignment horizontal="right" wrapText="1"/>
    </xf>
    <xf numFmtId="164" fontId="15" fillId="4" borderId="0" xfId="0" applyNumberFormat="1" applyFont="1" applyFill="1" applyAlignment="1">
      <alignment wrapText="1"/>
    </xf>
    <xf numFmtId="164" fontId="11" fillId="4" borderId="0" xfId="0" applyNumberFormat="1" applyFont="1" applyFill="1" applyAlignment="1">
      <alignment wrapText="1"/>
    </xf>
    <xf numFmtId="164" fontId="5" fillId="4" borderId="0" xfId="0" applyNumberFormat="1" applyFont="1" applyFill="1" applyAlignment="1">
      <alignment wrapText="1"/>
    </xf>
    <xf numFmtId="164" fontId="2" fillId="4" borderId="8" xfId="0" applyNumberFormat="1" applyFont="1" applyFill="1" applyBorder="1" applyAlignment="1">
      <alignment wrapText="1"/>
    </xf>
    <xf numFmtId="164" fontId="2" fillId="4" borderId="9" xfId="0" applyNumberFormat="1" applyFont="1" applyFill="1" applyBorder="1" applyAlignment="1">
      <alignment wrapText="1"/>
    </xf>
    <xf numFmtId="164" fontId="2" fillId="4" borderId="10" xfId="0" applyNumberFormat="1" applyFont="1" applyFill="1" applyBorder="1" applyAlignment="1">
      <alignment wrapText="1"/>
    </xf>
    <xf numFmtId="164" fontId="8" fillId="5" borderId="0" xfId="0" applyNumberFormat="1" applyFont="1" applyFill="1" applyAlignment="1">
      <alignment horizontal="right" vertical="center" wrapText="1"/>
    </xf>
    <xf numFmtId="164" fontId="2" fillId="4" borderId="8" xfId="0" applyNumberFormat="1" applyFont="1" applyFill="1" applyBorder="1" applyAlignment="1">
      <alignment horizontal="left" vertical="center" wrapText="1"/>
    </xf>
    <xf numFmtId="164" fontId="2" fillId="4" borderId="9" xfId="0" applyNumberFormat="1" applyFont="1" applyFill="1" applyBorder="1" applyAlignment="1">
      <alignment horizontal="left" vertical="center" wrapText="1"/>
    </xf>
    <xf numFmtId="164" fontId="2" fillId="4" borderId="10" xfId="0" applyNumberFormat="1" applyFont="1" applyFill="1" applyBorder="1" applyAlignment="1">
      <alignment horizontal="center" vertical="center" wrapText="1"/>
    </xf>
    <xf numFmtId="164" fontId="4" fillId="4" borderId="10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 applyProtection="1">
      <alignment wrapText="1"/>
      <protection locked="0"/>
    </xf>
    <xf numFmtId="164" fontId="6" fillId="4" borderId="0" xfId="0" applyNumberFormat="1" applyFont="1" applyFill="1" applyBorder="1" applyAlignment="1">
      <alignment wrapText="1"/>
    </xf>
    <xf numFmtId="164" fontId="6" fillId="4" borderId="0" xfId="0" applyNumberFormat="1" applyFont="1" applyFill="1" applyBorder="1" applyAlignment="1">
      <alignment horizontal="right" wrapText="1"/>
    </xf>
    <xf numFmtId="164" fontId="12" fillId="0" borderId="0" xfId="0" applyNumberFormat="1" applyFont="1" applyAlignment="1">
      <alignment wrapText="1"/>
    </xf>
    <xf numFmtId="164" fontId="22" fillId="4" borderId="0" xfId="0" applyNumberFormat="1" applyFont="1" applyFill="1" applyAlignment="1">
      <alignment wrapText="1"/>
    </xf>
    <xf numFmtId="164" fontId="2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 wrapText="1"/>
    </xf>
    <xf numFmtId="164" fontId="26" fillId="2" borderId="2" xfId="0" applyNumberFormat="1" applyFont="1" applyFill="1" applyBorder="1" applyAlignment="1">
      <alignment horizontal="left" vertical="center" wrapText="1"/>
    </xf>
    <xf numFmtId="164" fontId="27" fillId="2" borderId="2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right" wrapText="1"/>
    </xf>
    <xf numFmtId="164" fontId="16" fillId="4" borderId="11" xfId="0" applyNumberFormat="1" applyFont="1" applyFill="1" applyBorder="1" applyAlignment="1">
      <alignment horizontal="center" wrapText="1"/>
    </xf>
    <xf numFmtId="164" fontId="3" fillId="4" borderId="8" xfId="0" applyNumberFormat="1" applyFont="1" applyFill="1" applyBorder="1" applyAlignment="1">
      <alignment horizontal="center" vertical="center" wrapText="1"/>
    </xf>
    <xf numFmtId="164" fontId="3" fillId="4" borderId="9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4" borderId="8" xfId="0" applyNumberFormat="1" applyFont="1" applyFill="1" applyBorder="1" applyAlignment="1">
      <alignment horizontal="center" vertical="center" wrapText="1"/>
    </xf>
    <xf numFmtId="164" fontId="7" fillId="4" borderId="9" xfId="0" applyNumberFormat="1" applyFont="1" applyFill="1" applyBorder="1" applyAlignment="1">
      <alignment horizontal="center" vertical="center" wrapText="1"/>
    </xf>
    <xf numFmtId="164" fontId="7" fillId="4" borderId="10" xfId="0" applyNumberFormat="1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18" fillId="0" borderId="5" xfId="0" applyNumberFormat="1" applyFont="1" applyBorder="1" applyAlignment="1">
      <alignment horizontal="center" vertical="center" wrapText="1"/>
    </xf>
    <xf numFmtId="164" fontId="18" fillId="0" borderId="12" xfId="0" applyNumberFormat="1" applyFont="1" applyBorder="1" applyAlignment="1">
      <alignment horizontal="center" vertical="center" wrapText="1"/>
    </xf>
    <xf numFmtId="164" fontId="18" fillId="0" borderId="6" xfId="0" applyNumberFormat="1" applyFont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164" fontId="27" fillId="4" borderId="0" xfId="0" applyNumberFormat="1" applyFont="1" applyFill="1" applyAlignment="1">
      <alignment horizontal="left" vertical="center" wrapText="1"/>
    </xf>
    <xf numFmtId="164" fontId="1" fillId="4" borderId="0" xfId="0" applyNumberFormat="1" applyFont="1" applyFill="1" applyAlignment="1">
      <alignment horizontal="left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Helvetica Neue" charset="0"/>
                <a:ea typeface="Helvetica Neue" charset="0"/>
                <a:cs typeface="Helvetica Neue" charset="0"/>
              </a:defRPr>
            </a:pPr>
            <a:r>
              <a:rPr lang="es-ES_tradnl" b="1">
                <a:solidFill>
                  <a:schemeClr val="bg1">
                    <a:lumMod val="50000"/>
                  </a:schemeClr>
                </a:solidFill>
                <a:latin typeface="Helvetica Neue" charset="0"/>
                <a:ea typeface="Helvetica Neue" charset="0"/>
                <a:cs typeface="Helvetica Neue" charset="0"/>
              </a:rPr>
              <a:t>Energy</a:t>
            </a:r>
            <a:r>
              <a:rPr lang="es-ES_tradnl" b="1" baseline="0">
                <a:solidFill>
                  <a:schemeClr val="bg1">
                    <a:lumMod val="50000"/>
                  </a:schemeClr>
                </a:solidFill>
                <a:latin typeface="Helvetica Neue" charset="0"/>
                <a:ea typeface="Helvetica Neue" charset="0"/>
                <a:cs typeface="Helvetica Neue" charset="0"/>
              </a:rPr>
              <a:t> in mobility and buildings</a:t>
            </a:r>
            <a:endParaRPr lang="es-ES_tradnl" b="1">
              <a:solidFill>
                <a:schemeClr val="bg1">
                  <a:lumMod val="50000"/>
                </a:schemeClr>
              </a:solidFill>
              <a:latin typeface="Helvetica Neue" charset="0"/>
              <a:ea typeface="Helvetica Neue" charset="0"/>
              <a:cs typeface="Helvetica Neue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Helvetica Neue" charset="0"/>
              <a:ea typeface="Helvetica Neue" charset="0"/>
              <a:cs typeface="Helvetica Neue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06036803577805E-2"/>
          <c:y val="0.186912492946993"/>
          <c:w val="0.82500883012500104"/>
          <c:h val="0.69780094934818104"/>
        </c:manualLayout>
      </c:layout>
      <c:radarChart>
        <c:radarStyle val="marker"/>
        <c:varyColors val="0"/>
        <c:ser>
          <c:idx val="0"/>
          <c:order val="0"/>
          <c:tx>
            <c:strRef>
              <c:f>'Community Excel'!$P$23</c:f>
              <c:strCache>
                <c:ptCount val="1"/>
                <c:pt idx="0">
                  <c:v>Test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chemeClr val="accent1">
                  <a:alpha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'Community Excel'!$R$27:$V$27</c:f>
              <c:strCache>
                <c:ptCount val="5"/>
                <c:pt idx="0">
                  <c:v>Mobility CO2 (Tons)</c:v>
                </c:pt>
                <c:pt idx="1">
                  <c:v>Mobility Energy (MWh)</c:v>
                </c:pt>
                <c:pt idx="2">
                  <c:v>Time (h)</c:v>
                </c:pt>
                <c:pt idx="3">
                  <c:v>Building CO2 (Tons)</c:v>
                </c:pt>
                <c:pt idx="4">
                  <c:v>Building Energy (MWh)</c:v>
                </c:pt>
              </c:strCache>
              <c:extLst xmlns:c15="http://schemas.microsoft.com/office/drawing/2012/chart"/>
            </c:strRef>
          </c:cat>
          <c:val>
            <c:numRef>
              <c:f>'Community Excel'!$R$28:$V$28</c:f>
              <c:numCache>
                <c:formatCode>0.00_ ;[Red]\-0.00\ </c:formatCode>
                <c:ptCount val="5"/>
                <c:pt idx="0">
                  <c:v>71.676352630687816</c:v>
                </c:pt>
                <c:pt idx="1">
                  <c:v>69.219117836727108</c:v>
                </c:pt>
                <c:pt idx="2">
                  <c:v>43.676396718200593</c:v>
                </c:pt>
                <c:pt idx="3">
                  <c:v>35.323965807202782</c:v>
                </c:pt>
                <c:pt idx="4">
                  <c:v>40.370324546360862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4D6-47CF-9445-83AC3AE341DC}"/>
            </c:ext>
          </c:extLst>
        </c:ser>
        <c:ser>
          <c:idx val="1"/>
          <c:order val="1"/>
          <c:tx>
            <c:strRef>
              <c:f>'Community Excel'!$O$23</c:f>
              <c:strCache>
                <c:ptCount val="1"/>
                <c:pt idx="0">
                  <c:v>Existing condition</c:v>
                </c:pt>
              </c:strCache>
            </c:strRef>
          </c:tx>
          <c:spPr>
            <a:ln w="50800" cap="rnd">
              <a:solidFill>
                <a:schemeClr val="accent6">
                  <a:alpha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'Community Excel'!$R$27:$V$27</c:f>
              <c:strCache>
                <c:ptCount val="5"/>
                <c:pt idx="0">
                  <c:v>Mobility CO2 (Tons)</c:v>
                </c:pt>
                <c:pt idx="1">
                  <c:v>Mobility Energy (MWh)</c:v>
                </c:pt>
                <c:pt idx="2">
                  <c:v>Time (h)</c:v>
                </c:pt>
                <c:pt idx="3">
                  <c:v>Building CO2 (Tons)</c:v>
                </c:pt>
                <c:pt idx="4">
                  <c:v>Building Energy (MWh)</c:v>
                </c:pt>
              </c:strCache>
            </c:strRef>
          </c:cat>
          <c:val>
            <c:numRef>
              <c:f>'Community Excel'!$R$29:$V$29</c:f>
              <c:numCache>
                <c:formatCode>0.00_ ;[Red]\-0.00\ </c:formatCode>
                <c:ptCount val="5"/>
                <c:pt idx="0">
                  <c:v>71.676352630687816</c:v>
                </c:pt>
                <c:pt idx="1">
                  <c:v>69.219117836727108</c:v>
                </c:pt>
                <c:pt idx="2">
                  <c:v>43.676396718200593</c:v>
                </c:pt>
                <c:pt idx="3">
                  <c:v>35.323965807202782</c:v>
                </c:pt>
                <c:pt idx="4">
                  <c:v>40.370324546360862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6-47CF-9445-83AC3AE3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84840"/>
        <c:axId val="153689544"/>
        <c:extLst/>
      </c:radarChart>
      <c:catAx>
        <c:axId val="1536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Helvetica Neue" charset="0"/>
                <a:ea typeface="Helvetica Neue" charset="0"/>
                <a:cs typeface="Helvetica Neue" charset="0"/>
              </a:defRPr>
            </a:pPr>
            <a:endParaRPr lang="en-US"/>
          </a:p>
        </c:txPr>
        <c:crossAx val="153689544"/>
        <c:crosses val="autoZero"/>
        <c:auto val="1"/>
        <c:lblAlgn val="ctr"/>
        <c:lblOffset val="100"/>
        <c:noMultiLvlLbl val="0"/>
      </c:catAx>
      <c:valAx>
        <c:axId val="15368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8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464773070577798"/>
          <c:y val="7.4941955525869602E-2"/>
          <c:w val="0.28561191009815001"/>
          <c:h val="2.6803154870727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Neue" charset="0"/>
              <a:ea typeface="Helvetica Neue" charset="0"/>
              <a:cs typeface="Helvetica Neue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6" fmlaLink="$D$3" horiz="1" max="17917" page="10" val="3648"/>
</file>

<file path=xl/ctrlProps/ctrlProp2.xml><?xml version="1.0" encoding="utf-8"?>
<formControlPr xmlns="http://schemas.microsoft.com/office/spreadsheetml/2009/9/main" objectType="Scroll" dx="16" fmlaLink="$D$4" horiz="1" max="17917" page="10" val="111"/>
</file>

<file path=xl/ctrlProps/ctrlProp3.xml><?xml version="1.0" encoding="utf-8"?>
<formControlPr xmlns="http://schemas.microsoft.com/office/spreadsheetml/2009/9/main" objectType="Scroll" dx="16" fmlaLink="$D$5" horiz="1" max="17917" page="10" val="10"/>
</file>

<file path=xl/ctrlProps/ctrlProp4.xml><?xml version="1.0" encoding="utf-8"?>
<formControlPr xmlns="http://schemas.microsoft.com/office/spreadsheetml/2009/9/main" objectType="Scroll" dx="16" fmlaLink="$D$6" horiz="1" max="17917" page="10" val="1033"/>
</file>

<file path=xl/ctrlProps/ctrlProp5.xml><?xml version="1.0" encoding="utf-8"?>
<formControlPr xmlns="http://schemas.microsoft.com/office/spreadsheetml/2009/9/main" objectType="Scroll" dx="16" fmlaLink="$D$7" horiz="1" max="17917" page="10" val="17"/>
</file>

<file path=xl/ctrlProps/ctrlProp6.xml><?xml version="1.0" encoding="utf-8"?>
<formControlPr xmlns="http://schemas.microsoft.com/office/spreadsheetml/2009/9/main" objectType="Scroll" dx="16" fmlaLink="$D$8" horiz="1" max="17917" page="10" val="3"/>
</file>

<file path=xl/ctrlProps/ctrlProp7.xml><?xml version="1.0" encoding="utf-8"?>
<formControlPr xmlns="http://schemas.microsoft.com/office/spreadsheetml/2009/9/main" objectType="Scroll" dx="16" fmlaLink="$D$9" horiz="1" max="17917" page="10" val="1667"/>
</file>

<file path=xl/ctrlProps/ctrlProp8.xml><?xml version="1.0" encoding="utf-8"?>
<formControlPr xmlns="http://schemas.microsoft.com/office/spreadsheetml/2009/9/main" objectType="Scroll" dx="16" fmlaLink="$D$10" horiz="1" max="17917" page="10" val="6715"/>
</file>

<file path=xl/ctrlProps/ctrlProp9.xml><?xml version="1.0" encoding="utf-8"?>
<formControlPr xmlns="http://schemas.microsoft.com/office/spreadsheetml/2009/9/main" objectType="Scroll" dx="16" fmlaLink="$D$11" horiz="1" max="17917" page="10"/>
</file>

<file path=xl/ctrlProps/ctrlProp10.xml><?xml version="1.0" encoding="utf-8"?>
<formControlPr xmlns="http://schemas.microsoft.com/office/spreadsheetml/2009/9/main" objectType="Scroll" dx="16" fmlaLink="$D$12" horiz="1" max="17917" page="10" val="4712"/>
</file>

<file path=xl/ctrlProps/ctrlProp11.xml><?xml version="1.0" encoding="utf-8"?>
<formControlPr xmlns="http://schemas.microsoft.com/office/spreadsheetml/2009/9/main" objectType="Scroll" dx="16" fmlaLink="$D$26" horiz="1" max="30000" page="10" val="17917"/>
</file>

<file path=xl/ctrlProps/ctrlProp12.xml><?xml version="1.0" encoding="utf-8"?>
<formControlPr xmlns="http://schemas.microsoft.com/office/spreadsheetml/2009/9/main" objectType="Scroll" dx="16" fmlaLink="$D$27" horiz="1" max="3000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</xdr:row>
          <xdr:rowOff>38100</xdr:rowOff>
        </xdr:from>
        <xdr:to>
          <xdr:col>10</xdr:col>
          <xdr:colOff>784860</xdr:colOff>
          <xdr:row>2</xdr:row>
          <xdr:rowOff>251460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</xdr:row>
          <xdr:rowOff>99060</xdr:rowOff>
        </xdr:from>
        <xdr:to>
          <xdr:col>10</xdr:col>
          <xdr:colOff>800100</xdr:colOff>
          <xdr:row>3</xdr:row>
          <xdr:rowOff>289560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4</xdr:row>
          <xdr:rowOff>76200</xdr:rowOff>
        </xdr:from>
        <xdr:to>
          <xdr:col>10</xdr:col>
          <xdr:colOff>800100</xdr:colOff>
          <xdr:row>4</xdr:row>
          <xdr:rowOff>251460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5</xdr:row>
          <xdr:rowOff>99060</xdr:rowOff>
        </xdr:from>
        <xdr:to>
          <xdr:col>10</xdr:col>
          <xdr:colOff>800100</xdr:colOff>
          <xdr:row>5</xdr:row>
          <xdr:rowOff>289560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38100</xdr:rowOff>
        </xdr:from>
        <xdr:to>
          <xdr:col>10</xdr:col>
          <xdr:colOff>784860</xdr:colOff>
          <xdr:row>6</xdr:row>
          <xdr:rowOff>251460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7</xdr:row>
          <xdr:rowOff>99060</xdr:rowOff>
        </xdr:from>
        <xdr:to>
          <xdr:col>10</xdr:col>
          <xdr:colOff>800100</xdr:colOff>
          <xdr:row>7</xdr:row>
          <xdr:rowOff>289560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8</xdr:row>
          <xdr:rowOff>99060</xdr:rowOff>
        </xdr:from>
        <xdr:to>
          <xdr:col>10</xdr:col>
          <xdr:colOff>784860</xdr:colOff>
          <xdr:row>8</xdr:row>
          <xdr:rowOff>289560</xdr:rowOff>
        </xdr:to>
        <xdr:sp macro="" textlink="">
          <xdr:nvSpPr>
            <xdr:cNvPr id="1031" name="Scroll Ba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9</xdr:row>
          <xdr:rowOff>99060</xdr:rowOff>
        </xdr:from>
        <xdr:to>
          <xdr:col>10</xdr:col>
          <xdr:colOff>784860</xdr:colOff>
          <xdr:row>9</xdr:row>
          <xdr:rowOff>289560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10</xdr:row>
          <xdr:rowOff>99060</xdr:rowOff>
        </xdr:from>
        <xdr:to>
          <xdr:col>10</xdr:col>
          <xdr:colOff>784860</xdr:colOff>
          <xdr:row>10</xdr:row>
          <xdr:rowOff>289560</xdr:rowOff>
        </xdr:to>
        <xdr:sp macro="" textlink="">
          <xdr:nvSpPr>
            <xdr:cNvPr id="1033" name="Scroll Bar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11</xdr:row>
          <xdr:rowOff>99060</xdr:rowOff>
        </xdr:from>
        <xdr:to>
          <xdr:col>10</xdr:col>
          <xdr:colOff>784860</xdr:colOff>
          <xdr:row>11</xdr:row>
          <xdr:rowOff>289560</xdr:rowOff>
        </xdr:to>
        <xdr:sp macro="" textlink="">
          <xdr:nvSpPr>
            <xdr:cNvPr id="1034" name="Scroll Ba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25</xdr:row>
          <xdr:rowOff>60960</xdr:rowOff>
        </xdr:from>
        <xdr:to>
          <xdr:col>10</xdr:col>
          <xdr:colOff>784860</xdr:colOff>
          <xdr:row>25</xdr:row>
          <xdr:rowOff>251460</xdr:rowOff>
        </xdr:to>
        <xdr:sp macro="" textlink="">
          <xdr:nvSpPr>
            <xdr:cNvPr id="1035" name="Scroll Ba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26</xdr:row>
          <xdr:rowOff>60960</xdr:rowOff>
        </xdr:from>
        <xdr:to>
          <xdr:col>10</xdr:col>
          <xdr:colOff>784860</xdr:colOff>
          <xdr:row>26</xdr:row>
          <xdr:rowOff>251460</xdr:rowOff>
        </xdr:to>
        <xdr:sp macro="" textlink="">
          <xdr:nvSpPr>
            <xdr:cNvPr id="1036" name="Scroll Ba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38234</xdr:colOff>
      <xdr:row>1</xdr:row>
      <xdr:rowOff>5704</xdr:rowOff>
    </xdr:from>
    <xdr:to>
      <xdr:col>20</xdr:col>
      <xdr:colOff>43349</xdr:colOff>
      <xdr:row>32</xdr:row>
      <xdr:rowOff>142507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zoomScaleNormal="100" workbookViewId="0"/>
  </sheetViews>
  <sheetFormatPr defaultColWidth="10.69921875" defaultRowHeight="15"/>
  <cols>
    <col min="1" max="1" width="12.69921875" style="12" customWidth="1"/>
    <col min="2" max="2" width="2.19921875" style="1" customWidth="1"/>
    <col min="3" max="3" width="34.5" style="1" customWidth="1"/>
    <col min="4" max="4" width="10.69921875" style="1"/>
    <col min="5" max="5" width="17.19921875" style="1" customWidth="1"/>
    <col min="6" max="6" width="17.5" style="1" customWidth="1"/>
    <col min="7" max="7" width="13.19921875" style="1" customWidth="1"/>
    <col min="8" max="8" width="13.19921875" style="1" bestFit="1" customWidth="1"/>
    <col min="9" max="9" width="10.69921875" style="1"/>
    <col min="10" max="10" width="12.69921875" style="1" customWidth="1"/>
    <col min="11" max="11" width="14.19921875" style="1" customWidth="1"/>
    <col min="12" max="14" width="10.69921875" style="17"/>
    <col min="15" max="15" width="11.5" style="17" bestFit="1" customWidth="1"/>
    <col min="16" max="16" width="11.19921875" style="17" bestFit="1" customWidth="1"/>
    <col min="17" max="17" width="12.19921875" style="17" bestFit="1" customWidth="1"/>
    <col min="18" max="19" width="11.5" style="17" bestFit="1" customWidth="1"/>
    <col min="20" max="20" width="12.19921875" style="17" bestFit="1" customWidth="1"/>
    <col min="21" max="22" width="11.5" style="17" bestFit="1" customWidth="1"/>
    <col min="23" max="23" width="12.19921875" style="17" bestFit="1" customWidth="1"/>
    <col min="24" max="16384" width="10.69921875" style="1"/>
  </cols>
  <sheetData>
    <row r="1" spans="1:27" ht="28.5" customHeight="1">
      <c r="A1" s="37" t="s">
        <v>48</v>
      </c>
      <c r="B1" s="36"/>
      <c r="C1" s="36"/>
      <c r="D1" s="12"/>
      <c r="E1" s="12"/>
      <c r="F1" s="12"/>
      <c r="G1" s="12"/>
      <c r="H1" s="12"/>
      <c r="I1" s="12"/>
      <c r="J1" s="12"/>
      <c r="K1" s="12"/>
    </row>
    <row r="2" spans="1:27" ht="60" customHeight="1">
      <c r="A2" s="38" t="s">
        <v>49</v>
      </c>
      <c r="B2" s="12"/>
      <c r="C2" s="2" t="s">
        <v>43</v>
      </c>
      <c r="D2" s="4" t="s">
        <v>42</v>
      </c>
      <c r="E2" s="40" t="s">
        <v>53</v>
      </c>
      <c r="F2" s="4" t="s">
        <v>45</v>
      </c>
      <c r="G2" s="4" t="s">
        <v>44</v>
      </c>
      <c r="H2" s="42" t="s">
        <v>50</v>
      </c>
      <c r="I2" s="42"/>
      <c r="J2" s="42"/>
      <c r="K2" s="42"/>
      <c r="L2" s="33"/>
      <c r="T2" s="18" t="s">
        <v>35</v>
      </c>
      <c r="U2" s="18" t="s">
        <v>4</v>
      </c>
      <c r="V2" s="18" t="s">
        <v>5</v>
      </c>
      <c r="X2" s="35"/>
      <c r="Y2" s="8"/>
      <c r="Z2" s="8"/>
      <c r="AA2" s="8"/>
    </row>
    <row r="3" spans="1:27" ht="25.95" customHeight="1">
      <c r="A3" s="12">
        <v>3648</v>
      </c>
      <c r="B3" s="13" t="s">
        <v>19</v>
      </c>
      <c r="C3" s="5" t="s">
        <v>0</v>
      </c>
      <c r="D3" s="32">
        <v>3648</v>
      </c>
      <c r="E3" s="27">
        <f>D3*T3</f>
        <v>43411.200000000004</v>
      </c>
      <c r="F3" s="27">
        <f t="shared" ref="F3:F12" si="0">D3*U3</f>
        <v>20538.239999999998</v>
      </c>
      <c r="G3" s="27">
        <f t="shared" ref="G3:G12" si="1">(D3*V3)/60</f>
        <v>607392</v>
      </c>
      <c r="H3" s="24"/>
      <c r="I3" s="25"/>
      <c r="J3" s="25"/>
      <c r="K3" s="26"/>
      <c r="L3" s="33"/>
      <c r="Q3" s="17">
        <v>3648</v>
      </c>
      <c r="R3" s="17" t="s">
        <v>14</v>
      </c>
      <c r="T3" s="17">
        <v>11.9</v>
      </c>
      <c r="U3" s="17">
        <v>5.63</v>
      </c>
      <c r="V3" s="17">
        <f t="shared" ref="V3:V4" si="2">(45*222)</f>
        <v>9990</v>
      </c>
      <c r="X3" s="35"/>
      <c r="Y3" s="8"/>
      <c r="Z3" s="8"/>
      <c r="AA3" s="8"/>
    </row>
    <row r="4" spans="1:27" ht="28.95" customHeight="1">
      <c r="A4" s="12">
        <v>111</v>
      </c>
      <c r="B4" s="12"/>
      <c r="C4" s="5" t="s">
        <v>36</v>
      </c>
      <c r="D4" s="32">
        <v>111</v>
      </c>
      <c r="E4" s="27">
        <f t="shared" ref="E4:E12" si="3">D4*T4</f>
        <v>1187.6999999999998</v>
      </c>
      <c r="F4" s="27">
        <f t="shared" si="0"/>
        <v>444</v>
      </c>
      <c r="G4" s="27">
        <f t="shared" si="1"/>
        <v>18481.5</v>
      </c>
      <c r="H4" s="28"/>
      <c r="I4" s="29"/>
      <c r="J4" s="29"/>
      <c r="K4" s="30"/>
      <c r="L4" s="33"/>
      <c r="Q4" s="17">
        <v>111</v>
      </c>
      <c r="R4" s="17" t="s">
        <v>13</v>
      </c>
      <c r="T4" s="17">
        <v>10.7</v>
      </c>
      <c r="U4" s="17">
        <v>4</v>
      </c>
      <c r="V4" s="17">
        <f t="shared" si="2"/>
        <v>9990</v>
      </c>
      <c r="X4" s="35"/>
      <c r="Y4" s="8"/>
      <c r="Z4" s="8"/>
      <c r="AA4" s="8"/>
    </row>
    <row r="5" spans="1:27" ht="27" customHeight="1">
      <c r="A5" s="12">
        <v>10</v>
      </c>
      <c r="B5" s="12"/>
      <c r="C5" s="5" t="s">
        <v>37</v>
      </c>
      <c r="D5" s="32">
        <v>10</v>
      </c>
      <c r="E5" s="27">
        <f t="shared" si="3"/>
        <v>95</v>
      </c>
      <c r="F5" s="27">
        <f t="shared" si="0"/>
        <v>30.6</v>
      </c>
      <c r="G5" s="27">
        <f t="shared" si="1"/>
        <v>1665</v>
      </c>
      <c r="H5" s="43"/>
      <c r="I5" s="44"/>
      <c r="J5" s="44"/>
      <c r="K5" s="31"/>
      <c r="L5" s="33"/>
      <c r="Q5" s="17">
        <v>10</v>
      </c>
      <c r="R5" s="17" t="s">
        <v>15</v>
      </c>
      <c r="T5" s="17">
        <v>9.5</v>
      </c>
      <c r="U5" s="17">
        <v>3.06</v>
      </c>
      <c r="V5" s="17">
        <f>(45*222)</f>
        <v>9990</v>
      </c>
      <c r="X5" s="35"/>
      <c r="Y5" s="8"/>
      <c r="Z5" s="8"/>
      <c r="AA5" s="8"/>
    </row>
    <row r="6" spans="1:27" ht="31.95" customHeight="1">
      <c r="A6" s="12">
        <v>1033</v>
      </c>
      <c r="B6" s="12"/>
      <c r="C6" s="39" t="s">
        <v>57</v>
      </c>
      <c r="D6" s="32">
        <v>1033</v>
      </c>
      <c r="E6" s="27">
        <f t="shared" si="3"/>
        <v>4906.75</v>
      </c>
      <c r="F6" s="27">
        <f t="shared" si="0"/>
        <v>2913.06</v>
      </c>
      <c r="G6" s="27">
        <f t="shared" si="1"/>
        <v>191105</v>
      </c>
      <c r="H6" s="28"/>
      <c r="I6" s="29"/>
      <c r="J6" s="29"/>
      <c r="K6" s="30"/>
      <c r="L6" s="33"/>
      <c r="Q6" s="17">
        <v>1033</v>
      </c>
      <c r="R6" s="17" t="s">
        <v>16</v>
      </c>
      <c r="T6" s="17">
        <v>4.75</v>
      </c>
      <c r="U6" s="17">
        <v>2.82</v>
      </c>
      <c r="V6" s="17">
        <f>(50*222)</f>
        <v>11100</v>
      </c>
      <c r="X6" s="35"/>
      <c r="Y6" s="8"/>
      <c r="Z6" s="8"/>
      <c r="AA6" s="8"/>
    </row>
    <row r="7" spans="1:27" ht="31.2" customHeight="1">
      <c r="A7" s="12">
        <v>17</v>
      </c>
      <c r="B7" s="12"/>
      <c r="C7" s="39" t="s">
        <v>58</v>
      </c>
      <c r="D7" s="32">
        <v>17</v>
      </c>
      <c r="E7" s="27">
        <f t="shared" si="3"/>
        <v>75.650000000000006</v>
      </c>
      <c r="F7" s="27">
        <f t="shared" si="0"/>
        <v>34</v>
      </c>
      <c r="G7" s="27">
        <f t="shared" si="1"/>
        <v>3145</v>
      </c>
      <c r="H7" s="24"/>
      <c r="I7" s="25"/>
      <c r="J7" s="25"/>
      <c r="K7" s="26"/>
      <c r="L7" s="33"/>
      <c r="Q7" s="17">
        <v>17</v>
      </c>
      <c r="R7" s="17" t="s">
        <v>17</v>
      </c>
      <c r="T7" s="17">
        <v>4.45</v>
      </c>
      <c r="U7" s="17">
        <v>2</v>
      </c>
      <c r="V7" s="17">
        <f t="shared" ref="V7:V8" si="4">(50*222)</f>
        <v>11100</v>
      </c>
      <c r="X7" s="35"/>
      <c r="Y7" s="8"/>
      <c r="Z7" s="8"/>
      <c r="AA7" s="8"/>
    </row>
    <row r="8" spans="1:27" ht="31.95" customHeight="1">
      <c r="A8" s="12">
        <v>3</v>
      </c>
      <c r="B8" s="12"/>
      <c r="C8" s="39" t="s">
        <v>59</v>
      </c>
      <c r="D8" s="32">
        <v>3</v>
      </c>
      <c r="E8" s="27">
        <f t="shared" si="3"/>
        <v>12.450000000000001</v>
      </c>
      <c r="F8" s="27">
        <f t="shared" si="0"/>
        <v>4.59</v>
      </c>
      <c r="G8" s="27">
        <f t="shared" si="1"/>
        <v>555</v>
      </c>
      <c r="H8" s="24"/>
      <c r="I8" s="25"/>
      <c r="J8" s="25"/>
      <c r="K8" s="26"/>
      <c r="L8" s="33"/>
      <c r="Q8" s="17">
        <v>3</v>
      </c>
      <c r="R8" s="17" t="s">
        <v>18</v>
      </c>
      <c r="T8" s="17">
        <v>4.1500000000000004</v>
      </c>
      <c r="U8" s="17">
        <v>1.53</v>
      </c>
      <c r="V8" s="17">
        <f t="shared" si="4"/>
        <v>11100</v>
      </c>
      <c r="X8" s="35"/>
      <c r="Y8" s="8"/>
      <c r="Z8" s="8"/>
      <c r="AA8" s="8"/>
    </row>
    <row r="9" spans="1:27" ht="31.95" customHeight="1">
      <c r="A9" s="12">
        <v>1667</v>
      </c>
      <c r="B9" s="12"/>
      <c r="C9" s="5" t="s">
        <v>38</v>
      </c>
      <c r="D9" s="32">
        <v>1667</v>
      </c>
      <c r="E9" s="27">
        <f t="shared" si="3"/>
        <v>333.40000000000003</v>
      </c>
      <c r="F9" s="27">
        <f t="shared" si="0"/>
        <v>16.670000000000002</v>
      </c>
      <c r="G9" s="27">
        <f t="shared" si="1"/>
        <v>61679</v>
      </c>
      <c r="H9" s="24"/>
      <c r="I9" s="25"/>
      <c r="J9" s="25"/>
      <c r="K9" s="26"/>
      <c r="L9" s="33"/>
      <c r="Q9" s="17">
        <v>1667</v>
      </c>
      <c r="R9" s="17" t="s">
        <v>22</v>
      </c>
      <c r="T9" s="17">
        <v>0.2</v>
      </c>
      <c r="U9" s="17">
        <v>0.01</v>
      </c>
      <c r="V9" s="17">
        <f>(10*222)</f>
        <v>2220</v>
      </c>
      <c r="X9" s="35"/>
      <c r="Y9" s="8"/>
      <c r="Z9" s="8"/>
      <c r="AA9" s="8"/>
    </row>
    <row r="10" spans="1:27" ht="28.2" customHeight="1">
      <c r="A10" s="12">
        <v>6715</v>
      </c>
      <c r="B10" s="12"/>
      <c r="C10" s="5" t="s">
        <v>39</v>
      </c>
      <c r="D10" s="32">
        <v>6715</v>
      </c>
      <c r="E10" s="27">
        <f t="shared" si="3"/>
        <v>0</v>
      </c>
      <c r="F10" s="27">
        <f t="shared" si="0"/>
        <v>0</v>
      </c>
      <c r="G10" s="27">
        <f t="shared" si="1"/>
        <v>372682.5</v>
      </c>
      <c r="H10" s="24"/>
      <c r="I10" s="25"/>
      <c r="J10" s="25"/>
      <c r="K10" s="26"/>
      <c r="L10" s="33"/>
      <c r="Q10" s="17">
        <v>6715</v>
      </c>
      <c r="R10" s="17" t="s">
        <v>23</v>
      </c>
      <c r="T10" s="17">
        <v>0</v>
      </c>
      <c r="U10" s="17">
        <v>0</v>
      </c>
      <c r="V10" s="17">
        <f>(222*15)</f>
        <v>3330</v>
      </c>
      <c r="X10" s="35"/>
      <c r="Y10" s="8"/>
      <c r="Z10" s="8"/>
      <c r="AA10" s="8"/>
    </row>
    <row r="11" spans="1:27" ht="27" customHeight="1">
      <c r="A11" s="12">
        <v>1</v>
      </c>
      <c r="B11" s="12"/>
      <c r="C11" s="5" t="s">
        <v>1</v>
      </c>
      <c r="D11" s="32">
        <v>1</v>
      </c>
      <c r="E11" s="27">
        <f t="shared" si="3"/>
        <v>0.95</v>
      </c>
      <c r="F11" s="27">
        <f t="shared" si="0"/>
        <v>0.35</v>
      </c>
      <c r="G11" s="27">
        <f t="shared" si="1"/>
        <v>18.5</v>
      </c>
      <c r="H11" s="24"/>
      <c r="I11" s="25"/>
      <c r="J11" s="25"/>
      <c r="K11" s="26"/>
      <c r="L11" s="33"/>
      <c r="Q11" s="17">
        <v>1</v>
      </c>
      <c r="R11" s="17" t="s">
        <v>18</v>
      </c>
      <c r="T11" s="17">
        <v>0.95</v>
      </c>
      <c r="U11" s="17">
        <v>0.35</v>
      </c>
      <c r="V11" s="17">
        <f>(5*222)</f>
        <v>1110</v>
      </c>
      <c r="X11" s="35"/>
      <c r="Y11" s="8"/>
      <c r="Z11" s="8"/>
      <c r="AA11" s="8"/>
    </row>
    <row r="12" spans="1:27" ht="28.2" customHeight="1">
      <c r="A12" s="12">
        <v>4712</v>
      </c>
      <c r="B12" s="12"/>
      <c r="C12" s="5" t="s">
        <v>40</v>
      </c>
      <c r="D12" s="32">
        <v>4712</v>
      </c>
      <c r="E12" s="27">
        <f t="shared" si="3"/>
        <v>10366.400000000001</v>
      </c>
      <c r="F12" s="27">
        <f t="shared" si="0"/>
        <v>7068</v>
      </c>
      <c r="G12" s="27">
        <f t="shared" si="1"/>
        <v>610204</v>
      </c>
      <c r="H12" s="24"/>
      <c r="I12" s="25"/>
      <c r="J12" s="25"/>
      <c r="K12" s="26"/>
      <c r="L12" s="33"/>
      <c r="Q12" s="17">
        <v>4712</v>
      </c>
      <c r="T12" s="17">
        <v>2.2000000000000002</v>
      </c>
      <c r="U12" s="17">
        <v>1.5</v>
      </c>
      <c r="V12" s="17">
        <f>(35*222)</f>
        <v>7770</v>
      </c>
      <c r="X12" s="35"/>
      <c r="Y12" s="8"/>
      <c r="Z12" s="8"/>
      <c r="AA12" s="8"/>
    </row>
    <row r="13" spans="1:27" ht="15.6">
      <c r="B13" s="12"/>
      <c r="C13" s="6" t="s">
        <v>12</v>
      </c>
      <c r="D13" s="12"/>
      <c r="E13" s="7">
        <f>SUM(E3:E12)</f>
        <v>60389.5</v>
      </c>
      <c r="F13" s="7">
        <f>SUM(F3:F12)</f>
        <v>31049.509999999995</v>
      </c>
      <c r="G13" s="7">
        <f>SUM(G3:G12)</f>
        <v>1866927.5</v>
      </c>
      <c r="H13" s="12"/>
      <c r="I13" s="12"/>
      <c r="J13" s="12"/>
      <c r="K13" s="12"/>
      <c r="L13" s="33"/>
      <c r="X13" s="35"/>
      <c r="Y13" s="8"/>
      <c r="Z13" s="8"/>
      <c r="AA13" s="8"/>
    </row>
    <row r="14" spans="1:27" ht="10.95" customHeight="1">
      <c r="B14" s="12"/>
      <c r="D14" s="12"/>
      <c r="E14" s="12"/>
      <c r="F14" s="12"/>
      <c r="G14" s="12"/>
      <c r="H14" s="12"/>
      <c r="I14" s="12"/>
      <c r="J14" s="12"/>
      <c r="K14" s="12"/>
      <c r="L14" s="33"/>
      <c r="T14" s="17" t="s">
        <v>20</v>
      </c>
      <c r="X14" s="35"/>
      <c r="Y14" s="8"/>
      <c r="Z14" s="8"/>
      <c r="AA14" s="8"/>
    </row>
    <row r="15" spans="1:27" ht="15.6">
      <c r="B15" s="12"/>
      <c r="C15" s="6" t="s">
        <v>46</v>
      </c>
      <c r="D15" s="7">
        <v>17917</v>
      </c>
      <c r="E15" s="12"/>
      <c r="F15" s="12"/>
      <c r="G15" s="12"/>
      <c r="H15" s="12"/>
      <c r="I15" s="12"/>
      <c r="J15" s="12"/>
      <c r="K15" s="12"/>
      <c r="L15" s="33"/>
      <c r="Q15" s="17">
        <f>Q3+Q4+Q5+Q6+Q7+Q8+Q12</f>
        <v>9534</v>
      </c>
      <c r="T15" s="17">
        <v>9.5</v>
      </c>
      <c r="U15" s="17">
        <v>19.09</v>
      </c>
      <c r="X15" s="35"/>
      <c r="Y15" s="8"/>
      <c r="Z15" s="8"/>
      <c r="AA15" s="8"/>
    </row>
    <row r="16" spans="1:27" ht="21" customHeight="1">
      <c r="B16" s="12"/>
      <c r="C16" s="5" t="s">
        <v>8</v>
      </c>
      <c r="D16" s="14">
        <f>SUM(D3:D12)</f>
        <v>17917</v>
      </c>
      <c r="E16" s="12"/>
      <c r="F16" s="12"/>
      <c r="G16" s="12"/>
      <c r="H16" s="12"/>
      <c r="I16" s="50" t="s">
        <v>29</v>
      </c>
      <c r="J16" s="50"/>
      <c r="K16" s="50"/>
      <c r="L16" s="33"/>
      <c r="X16" s="35"/>
      <c r="Y16" s="8"/>
      <c r="Z16" s="8"/>
      <c r="AA16" s="8"/>
    </row>
    <row r="17" spans="2:27" ht="31.8" thickBot="1">
      <c r="B17" s="12"/>
      <c r="C17" s="5" t="s">
        <v>9</v>
      </c>
      <c r="D17" s="14">
        <f>D11+D10+D9</f>
        <v>8383</v>
      </c>
      <c r="E17" s="12"/>
      <c r="F17" s="12"/>
      <c r="G17" s="12"/>
      <c r="H17" s="12"/>
      <c r="I17" s="10" t="s">
        <v>54</v>
      </c>
      <c r="J17" s="4" t="s">
        <v>11</v>
      </c>
      <c r="K17" s="4" t="s">
        <v>7</v>
      </c>
      <c r="L17" s="33"/>
      <c r="Q17" s="17">
        <f>Q9+Q10+Q11</f>
        <v>8383</v>
      </c>
      <c r="X17" s="35"/>
      <c r="Y17" s="8"/>
      <c r="Z17" s="8"/>
      <c r="AA17" s="8"/>
    </row>
    <row r="18" spans="2:27" ht="51.45" customHeight="1">
      <c r="B18" s="12"/>
      <c r="C18" s="2" t="s">
        <v>51</v>
      </c>
      <c r="D18" s="41">
        <f>D16-D15</f>
        <v>0</v>
      </c>
      <c r="E18" s="45" t="str">
        <f>IF(D18&lt;0,R3,IF(D18&gt;0,R4,R5))</f>
        <v>The population matches</v>
      </c>
      <c r="F18" s="45"/>
      <c r="G18" s="46" t="str">
        <f>IF(D18&lt;0,R6,IF(D18&gt;0,R7,R8))</f>
        <v>OK</v>
      </c>
      <c r="H18" s="46"/>
      <c r="I18" s="51">
        <f>100-(E33*100)/O26</f>
        <v>0</v>
      </c>
      <c r="J18" s="51">
        <f>100-(F33*100)/P26</f>
        <v>0</v>
      </c>
      <c r="K18" s="51">
        <f>100-(G33*100)/Q26</f>
        <v>0</v>
      </c>
      <c r="L18" s="33"/>
      <c r="T18" s="17">
        <v>3.4</v>
      </c>
      <c r="U18" s="17">
        <v>2.6</v>
      </c>
      <c r="X18" s="35"/>
      <c r="Y18" s="8"/>
      <c r="Z18" s="8"/>
      <c r="AA18" s="8"/>
    </row>
    <row r="19" spans="2:27" ht="51.45" customHeight="1">
      <c r="B19" s="12"/>
      <c r="C19" s="2" t="s">
        <v>62</v>
      </c>
      <c r="D19" s="41">
        <f>D15-D17</f>
        <v>9534</v>
      </c>
      <c r="E19" s="57" t="str">
        <f>IF(D19&gt;=0,"Does not exceed the total population","Exceeds the total population")</f>
        <v>Does not exceed the total population</v>
      </c>
      <c r="F19" s="58"/>
      <c r="G19" s="57" t="str">
        <f>IF(D19&gt;=0,"OK","More people living and working in the district than the total population.")</f>
        <v>OK</v>
      </c>
      <c r="H19" s="59"/>
      <c r="I19" s="52"/>
      <c r="J19" s="52"/>
      <c r="K19" s="52"/>
      <c r="L19" s="33"/>
      <c r="X19" s="35"/>
      <c r="Y19" s="8"/>
      <c r="Z19" s="8"/>
      <c r="AA19" s="8"/>
    </row>
    <row r="20" spans="2:27" ht="13.2" customHeight="1">
      <c r="B20" s="12"/>
      <c r="C20" s="12"/>
      <c r="D20" s="12"/>
      <c r="E20" s="12"/>
      <c r="F20" s="12"/>
      <c r="G20" s="12"/>
      <c r="H20" s="12"/>
      <c r="I20" s="53"/>
      <c r="J20" s="53"/>
      <c r="K20" s="53"/>
      <c r="L20" s="33"/>
      <c r="T20" s="17">
        <v>6.05</v>
      </c>
      <c r="U20" s="17">
        <v>5.51</v>
      </c>
      <c r="X20" s="35"/>
      <c r="Y20" s="8"/>
      <c r="Z20" s="8"/>
      <c r="AA20" s="8"/>
    </row>
    <row r="21" spans="2:27" ht="18.600000000000001" thickBot="1">
      <c r="B21" s="12"/>
      <c r="C21" s="3" t="s">
        <v>2</v>
      </c>
      <c r="D21" s="4" t="s">
        <v>21</v>
      </c>
      <c r="E21" s="4" t="s">
        <v>55</v>
      </c>
      <c r="F21" s="4" t="s">
        <v>11</v>
      </c>
      <c r="G21" s="12"/>
      <c r="H21" s="12"/>
      <c r="I21" s="54"/>
      <c r="J21" s="54"/>
      <c r="K21" s="54"/>
      <c r="L21" s="33"/>
      <c r="T21" s="17">
        <v>1.85</v>
      </c>
      <c r="U21" s="17">
        <v>0.11</v>
      </c>
      <c r="X21" s="35"/>
      <c r="Y21" s="8"/>
      <c r="Z21" s="8"/>
      <c r="AA21" s="8"/>
    </row>
    <row r="22" spans="2:27" ht="15.6">
      <c r="B22" s="12"/>
      <c r="C22" s="13" t="s">
        <v>47</v>
      </c>
      <c r="D22" s="12"/>
      <c r="E22" s="12"/>
      <c r="F22" s="12"/>
      <c r="G22" s="12"/>
      <c r="H22" s="12"/>
      <c r="I22" s="23"/>
      <c r="J22" s="12"/>
      <c r="K22" s="12"/>
      <c r="L22" s="33"/>
      <c r="X22" s="35"/>
      <c r="Y22" s="8"/>
      <c r="Z22" s="8"/>
      <c r="AA22" s="8"/>
    </row>
    <row r="23" spans="2:27" ht="30">
      <c r="B23" s="12"/>
      <c r="C23" s="5" t="s">
        <v>41</v>
      </c>
      <c r="D23" s="12">
        <f>D3+D4+D5+D6+D7+D8+D12</f>
        <v>9534</v>
      </c>
      <c r="E23" s="27">
        <f>D23*T15</f>
        <v>90573</v>
      </c>
      <c r="F23" s="27">
        <f>D23*U15</f>
        <v>182004.06</v>
      </c>
      <c r="G23" s="12"/>
      <c r="H23" s="12"/>
      <c r="I23" s="23"/>
      <c r="J23" s="12"/>
      <c r="K23" s="12"/>
      <c r="L23" s="33"/>
      <c r="O23" s="17" t="s">
        <v>30</v>
      </c>
      <c r="P23" s="17" t="s">
        <v>31</v>
      </c>
      <c r="X23" s="35"/>
      <c r="Y23" s="8"/>
      <c r="Z23" s="8"/>
      <c r="AA23" s="8"/>
    </row>
    <row r="24" spans="2:27" ht="34.200000000000003" customHeight="1">
      <c r="B24" s="12"/>
      <c r="C24" s="55" t="s">
        <v>60</v>
      </c>
      <c r="D24" s="56"/>
      <c r="E24" s="56"/>
      <c r="F24" s="12"/>
      <c r="G24" s="12"/>
      <c r="H24" s="12"/>
      <c r="I24" s="12"/>
      <c r="J24" s="12"/>
      <c r="K24" s="12"/>
      <c r="L24" s="33"/>
      <c r="O24" s="19" t="s">
        <v>32</v>
      </c>
      <c r="P24" s="19" t="s">
        <v>33</v>
      </c>
      <c r="Q24" s="19" t="s">
        <v>34</v>
      </c>
      <c r="R24" s="18" t="s">
        <v>24</v>
      </c>
      <c r="S24" s="18" t="s">
        <v>25</v>
      </c>
      <c r="T24" s="18" t="s">
        <v>7</v>
      </c>
      <c r="U24" s="18" t="s">
        <v>56</v>
      </c>
      <c r="V24" s="18" t="s">
        <v>26</v>
      </c>
      <c r="X24" s="35"/>
      <c r="Y24" s="8"/>
      <c r="Z24" s="8"/>
      <c r="AA24" s="8"/>
    </row>
    <row r="25" spans="2:27">
      <c r="B25" s="12"/>
      <c r="C25" s="5" t="s">
        <v>52</v>
      </c>
      <c r="D25" s="12">
        <f>D9+D10+D11</f>
        <v>8383</v>
      </c>
      <c r="E25" s="27">
        <f>D25*T18</f>
        <v>28502.2</v>
      </c>
      <c r="F25" s="27">
        <f>D25*U18</f>
        <v>21795.8</v>
      </c>
      <c r="G25" s="12"/>
      <c r="H25" s="12"/>
      <c r="I25" s="12"/>
      <c r="J25" s="12"/>
      <c r="K25" s="12"/>
      <c r="L25" s="33"/>
      <c r="O25" s="17">
        <f>E33</f>
        <v>287862.55</v>
      </c>
      <c r="P25" s="17">
        <f>F33</f>
        <v>333572.04000000004</v>
      </c>
      <c r="Q25" s="17">
        <f>G33</f>
        <v>1866927.5</v>
      </c>
      <c r="R25" s="17">
        <f>E13</f>
        <v>60389.5</v>
      </c>
      <c r="S25" s="17">
        <f>F13</f>
        <v>31049.509999999995</v>
      </c>
      <c r="T25" s="17">
        <f>G13</f>
        <v>1866927.5</v>
      </c>
      <c r="U25" s="17">
        <f>E28</f>
        <v>227473.05</v>
      </c>
      <c r="V25" s="17">
        <f>F28</f>
        <v>302522.53000000003</v>
      </c>
      <c r="W25" s="17">
        <f>MAX(O25:V25)</f>
        <v>1866927.5</v>
      </c>
      <c r="X25" s="35"/>
      <c r="Y25" s="8"/>
      <c r="Z25" s="8"/>
      <c r="AA25" s="8"/>
    </row>
    <row r="26" spans="2:27" ht="22.2" customHeight="1">
      <c r="B26" s="12"/>
      <c r="C26" s="9" t="s">
        <v>3</v>
      </c>
      <c r="D26" s="32">
        <v>17917</v>
      </c>
      <c r="E26" s="27">
        <f>D26*T20</f>
        <v>108397.84999999999</v>
      </c>
      <c r="F26" s="27">
        <f>D26*U20</f>
        <v>98722.67</v>
      </c>
      <c r="G26" s="24"/>
      <c r="H26" s="25"/>
      <c r="I26" s="25"/>
      <c r="J26" s="25"/>
      <c r="K26" s="26"/>
      <c r="L26" s="33"/>
      <c r="O26" s="17">
        <v>287862.55</v>
      </c>
      <c r="P26" s="17">
        <v>333572.03999999998</v>
      </c>
      <c r="Q26" s="17">
        <v>1866927.5</v>
      </c>
      <c r="R26" s="17">
        <v>60389.5</v>
      </c>
      <c r="S26" s="17">
        <v>31049.509999999995</v>
      </c>
      <c r="T26" s="17">
        <v>1866927.5</v>
      </c>
      <c r="U26" s="17">
        <v>227473.05</v>
      </c>
      <c r="V26" s="17">
        <v>302522.53000000003</v>
      </c>
      <c r="W26" s="17">
        <f>MAX(O26:V26)</f>
        <v>1866927.5</v>
      </c>
      <c r="X26" s="35"/>
      <c r="Y26" s="8"/>
      <c r="Z26" s="8"/>
      <c r="AA26" s="8"/>
    </row>
    <row r="27" spans="2:27" ht="24" customHeight="1">
      <c r="B27" s="12"/>
      <c r="C27" s="9" t="s">
        <v>10</v>
      </c>
      <c r="D27" s="32">
        <v>0</v>
      </c>
      <c r="E27" s="27">
        <f>D27*T21</f>
        <v>0</v>
      </c>
      <c r="F27" s="27">
        <f>D27*U21</f>
        <v>0</v>
      </c>
      <c r="G27" s="24"/>
      <c r="H27" s="25"/>
      <c r="I27" s="25"/>
      <c r="J27" s="25"/>
      <c r="K27" s="26"/>
      <c r="L27" s="33"/>
      <c r="O27" s="19" t="s">
        <v>32</v>
      </c>
      <c r="P27" s="19" t="s">
        <v>33</v>
      </c>
      <c r="Q27" s="19" t="s">
        <v>34</v>
      </c>
      <c r="R27" s="18" t="s">
        <v>24</v>
      </c>
      <c r="S27" s="18" t="s">
        <v>25</v>
      </c>
      <c r="T27" s="18" t="s">
        <v>7</v>
      </c>
      <c r="U27" s="18" t="s">
        <v>56</v>
      </c>
      <c r="V27" s="18" t="s">
        <v>26</v>
      </c>
      <c r="W27" s="17" t="s">
        <v>6</v>
      </c>
      <c r="X27" s="35"/>
      <c r="Y27" s="8"/>
      <c r="Z27" s="8"/>
      <c r="AA27" s="8"/>
    </row>
    <row r="28" spans="2:27" ht="18" customHeight="1">
      <c r="B28" s="12"/>
      <c r="C28" s="6" t="s">
        <v>27</v>
      </c>
      <c r="D28" s="12"/>
      <c r="E28" s="7">
        <f>E27+E26+E25+E23</f>
        <v>227473.05</v>
      </c>
      <c r="F28" s="7">
        <f>F27+F26+F25+F23</f>
        <v>302522.53000000003</v>
      </c>
      <c r="G28" s="12"/>
      <c r="H28" s="12"/>
      <c r="I28" s="12"/>
      <c r="J28" s="12"/>
      <c r="K28" s="12"/>
      <c r="L28" s="33"/>
      <c r="O28" s="17">
        <f>100-(O25*100)/W25</f>
        <v>84.58094650167186</v>
      </c>
      <c r="P28" s="17">
        <f>100-(P25*100)/W25</f>
        <v>82.13256594056277</v>
      </c>
      <c r="Q28" s="17">
        <f>100-(Q25*100)/W25</f>
        <v>0</v>
      </c>
      <c r="R28" s="17">
        <f>100-(R25*100)/R32</f>
        <v>71.676352630687816</v>
      </c>
      <c r="S28" s="17">
        <f>100-(S25*100)/S32</f>
        <v>69.219117836727108</v>
      </c>
      <c r="T28" s="17">
        <f>100-(T25*100)/T32</f>
        <v>43.676396718200593</v>
      </c>
      <c r="U28" s="17">
        <f>100-(U25*100)/U32</f>
        <v>35.323965807202782</v>
      </c>
      <c r="V28" s="17">
        <f>100-(V25*100)/V32</f>
        <v>40.370324546360862</v>
      </c>
      <c r="X28" s="35"/>
      <c r="Y28" s="8"/>
      <c r="Z28" s="8"/>
      <c r="AA28" s="8"/>
    </row>
    <row r="29" spans="2:27" ht="13.2" customHeight="1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33"/>
      <c r="O29" s="17">
        <f>100-(O26*100)/W26</f>
        <v>84.58094650167186</v>
      </c>
      <c r="P29" s="17">
        <f>100-(P26*100)/W26</f>
        <v>82.13256594056277</v>
      </c>
      <c r="Q29" s="17">
        <f>100-(Q26*100)/W26</f>
        <v>0</v>
      </c>
      <c r="R29" s="17">
        <f>100-(R26*100)/R32</f>
        <v>71.676352630687816</v>
      </c>
      <c r="S29" s="17">
        <f>100-(S26*100)/S32</f>
        <v>69.219117836727108</v>
      </c>
      <c r="T29" s="17">
        <f>100-(T26*100)/T32</f>
        <v>43.676396718200593</v>
      </c>
      <c r="U29" s="17">
        <f>100-(U26*100)/U32</f>
        <v>35.323965807202782</v>
      </c>
      <c r="V29" s="17">
        <f>100-(V26*100)/V32</f>
        <v>40.370324546360862</v>
      </c>
      <c r="X29" s="35"/>
      <c r="Y29" s="8"/>
      <c r="Z29" s="8"/>
      <c r="AA29" s="8"/>
    </row>
    <row r="30" spans="2:27" ht="27" customHeight="1">
      <c r="B30" s="12"/>
      <c r="C30" s="12"/>
      <c r="D30" s="2">
        <f>D15-(D27+D26)-D18</f>
        <v>0</v>
      </c>
      <c r="E30" s="47" t="str">
        <f>IF(D30&lt;0,R9,IF(D30&gt;0,R10,R11))</f>
        <v>OK</v>
      </c>
      <c r="F30" s="48"/>
      <c r="G30" s="49"/>
      <c r="H30" s="12"/>
      <c r="I30" s="12"/>
      <c r="J30" s="12"/>
      <c r="K30" s="12"/>
      <c r="L30" s="33"/>
      <c r="X30" s="35"/>
      <c r="Y30" s="8"/>
      <c r="Z30" s="8"/>
      <c r="AA30" s="8"/>
    </row>
    <row r="31" spans="2:27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33"/>
      <c r="X31" s="35"/>
      <c r="Y31" s="8"/>
      <c r="Z31" s="8"/>
      <c r="AA31" s="8"/>
    </row>
    <row r="32" spans="2:27" ht="22.95" customHeight="1">
      <c r="B32" s="12"/>
      <c r="C32" s="12"/>
      <c r="D32" s="12"/>
      <c r="E32" s="40" t="s">
        <v>61</v>
      </c>
      <c r="F32" s="4" t="s">
        <v>11</v>
      </c>
      <c r="G32" s="4" t="s">
        <v>7</v>
      </c>
      <c r="H32" s="12"/>
      <c r="I32" s="12"/>
      <c r="J32" s="12"/>
      <c r="K32" s="12"/>
      <c r="L32" s="33"/>
      <c r="M32" s="20"/>
      <c r="R32" s="17">
        <v>213212.3</v>
      </c>
      <c r="S32" s="17">
        <v>100872.71</v>
      </c>
      <c r="T32" s="17">
        <v>3314645</v>
      </c>
      <c r="U32" s="17">
        <v>351711.5</v>
      </c>
      <c r="V32" s="17">
        <v>507335.53</v>
      </c>
      <c r="X32" s="35"/>
      <c r="Y32" s="8"/>
      <c r="Z32" s="8"/>
      <c r="AA32" s="8"/>
    </row>
    <row r="33" spans="2:27" ht="17.399999999999999">
      <c r="C33" s="11" t="s">
        <v>28</v>
      </c>
      <c r="D33" s="22"/>
      <c r="E33" s="7">
        <f>E28+E13</f>
        <v>287862.55</v>
      </c>
      <c r="F33" s="7">
        <f>F28+F13</f>
        <v>333572.04000000004</v>
      </c>
      <c r="G33" s="7">
        <f>G13</f>
        <v>1866927.5</v>
      </c>
      <c r="H33" s="12"/>
      <c r="I33" s="12"/>
      <c r="J33" s="12"/>
      <c r="K33" s="12"/>
      <c r="L33" s="33"/>
      <c r="T33" s="17">
        <v>104515.83</v>
      </c>
      <c r="X33" s="35"/>
      <c r="Y33" s="8"/>
      <c r="Z33" s="8"/>
      <c r="AA33" s="8"/>
    </row>
    <row r="34" spans="2:27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33"/>
      <c r="X34" s="35"/>
      <c r="Y34" s="8"/>
      <c r="Z34" s="8"/>
      <c r="AA34" s="8"/>
    </row>
    <row r="35" spans="2:27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33"/>
      <c r="X35" s="35"/>
      <c r="Y35" s="8"/>
      <c r="Z35" s="8"/>
      <c r="AA35" s="8"/>
    </row>
    <row r="36" spans="2:27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33"/>
      <c r="X36" s="35"/>
      <c r="Y36" s="8"/>
      <c r="Z36" s="8"/>
      <c r="AA36" s="8"/>
    </row>
    <row r="37" spans="2:27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8"/>
      <c r="Y37" s="8"/>
      <c r="Z37" s="8"/>
      <c r="AA37" s="8"/>
    </row>
    <row r="38" spans="2:27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8"/>
      <c r="Y38" s="8"/>
      <c r="Z38" s="8"/>
      <c r="AA38" s="8"/>
    </row>
    <row r="39" spans="2:27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8"/>
      <c r="Y39" s="8"/>
      <c r="Z39" s="8"/>
      <c r="AA39" s="8"/>
    </row>
    <row r="40" spans="2:27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8"/>
      <c r="Y40" s="8"/>
      <c r="Z40" s="8"/>
      <c r="AA40" s="8"/>
    </row>
    <row r="41" spans="2:27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8"/>
      <c r="Y41" s="8"/>
      <c r="Z41" s="8"/>
      <c r="AA41" s="8"/>
    </row>
    <row r="42" spans="2:27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8"/>
      <c r="Y42" s="8"/>
      <c r="Z42" s="8"/>
      <c r="AA42" s="8"/>
    </row>
    <row r="43" spans="2:27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8"/>
      <c r="Y43" s="8"/>
      <c r="Z43" s="8"/>
      <c r="AA43" s="8"/>
    </row>
    <row r="44" spans="2:27" ht="15.6">
      <c r="B44" s="21"/>
      <c r="C44" s="15"/>
      <c r="D44" s="15"/>
      <c r="E44" s="15"/>
      <c r="F44" s="15"/>
      <c r="G44" s="15"/>
      <c r="H44" s="15"/>
      <c r="I44" s="15"/>
      <c r="J44" s="15"/>
      <c r="K44" s="15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8"/>
      <c r="Y44" s="8"/>
      <c r="Z44" s="8"/>
      <c r="AA44" s="8"/>
    </row>
    <row r="45" spans="2:27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8"/>
      <c r="Y45" s="8"/>
      <c r="Z45" s="8"/>
      <c r="AA45" s="8"/>
    </row>
    <row r="46" spans="2:27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8"/>
      <c r="Y46" s="8"/>
      <c r="Z46" s="8"/>
      <c r="AA46" s="8"/>
    </row>
    <row r="47" spans="2:27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8"/>
      <c r="Y47" s="8"/>
      <c r="Z47" s="8"/>
      <c r="AA47" s="8"/>
    </row>
    <row r="48" spans="2:27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8"/>
      <c r="Y48" s="8"/>
      <c r="Z48" s="8"/>
      <c r="AA48" s="8"/>
    </row>
    <row r="49" spans="2:27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8"/>
      <c r="Y49" s="8"/>
      <c r="Z49" s="8"/>
      <c r="AA49" s="8"/>
    </row>
    <row r="50" spans="2:27">
      <c r="B50" s="16"/>
      <c r="C50" s="15"/>
      <c r="D50" s="15"/>
      <c r="E50" s="15"/>
      <c r="F50" s="15"/>
      <c r="G50" s="15"/>
      <c r="H50" s="15"/>
      <c r="I50" s="15"/>
      <c r="J50" s="15"/>
      <c r="K50" s="15"/>
      <c r="L50" s="33"/>
      <c r="M50" s="34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8"/>
      <c r="Y50" s="8"/>
      <c r="Z50" s="8"/>
      <c r="AA50" s="8"/>
    </row>
    <row r="51" spans="2:27">
      <c r="B51" s="14"/>
      <c r="C51" s="12"/>
      <c r="D51" s="12"/>
      <c r="E51" s="12"/>
      <c r="F51" s="12"/>
      <c r="G51" s="12"/>
      <c r="H51" s="12"/>
      <c r="I51" s="12"/>
      <c r="J51" s="12"/>
      <c r="K51" s="12"/>
      <c r="L51" s="33"/>
      <c r="M51" s="34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8"/>
      <c r="Y51" s="8"/>
      <c r="Z51" s="8"/>
      <c r="AA51" s="8"/>
    </row>
    <row r="52" spans="2:27">
      <c r="B52" s="14"/>
      <c r="C52" s="12"/>
      <c r="D52" s="12"/>
      <c r="E52" s="12"/>
      <c r="F52" s="12"/>
      <c r="G52" s="12"/>
      <c r="H52" s="12"/>
      <c r="I52" s="12"/>
      <c r="J52" s="12"/>
      <c r="K52" s="12"/>
      <c r="L52" s="33"/>
      <c r="M52" s="34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8"/>
      <c r="Y52" s="8"/>
      <c r="Z52" s="8"/>
      <c r="AA52" s="8"/>
    </row>
    <row r="53" spans="2:27">
      <c r="B53" s="14"/>
      <c r="C53" s="12"/>
      <c r="D53" s="12"/>
      <c r="E53" s="12"/>
      <c r="F53" s="12"/>
      <c r="G53" s="12"/>
      <c r="H53" s="12"/>
      <c r="I53" s="12"/>
      <c r="J53" s="12"/>
      <c r="K53" s="12"/>
      <c r="L53" s="33"/>
      <c r="M53" s="34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8"/>
      <c r="Y53" s="8"/>
      <c r="Z53" s="8"/>
      <c r="AA53" s="8"/>
    </row>
    <row r="54" spans="2:27">
      <c r="B54" s="14"/>
      <c r="C54" s="12"/>
      <c r="D54" s="12"/>
      <c r="E54" s="12"/>
      <c r="F54" s="12"/>
      <c r="G54" s="12"/>
      <c r="H54" s="12"/>
      <c r="I54" s="12"/>
      <c r="J54" s="12"/>
      <c r="K54" s="12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8"/>
      <c r="Y54" s="8"/>
      <c r="Z54" s="8"/>
      <c r="AA54" s="8"/>
    </row>
    <row r="55" spans="2:27" ht="15.6"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8"/>
      <c r="Y55" s="8"/>
      <c r="Z55" s="8"/>
      <c r="AA55" s="8"/>
    </row>
    <row r="56" spans="2:2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8"/>
      <c r="Y56" s="8"/>
      <c r="Z56" s="8"/>
      <c r="AA56" s="8"/>
    </row>
    <row r="57" spans="2:2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8"/>
      <c r="Y57" s="8"/>
      <c r="Z57" s="8"/>
      <c r="AA57" s="8"/>
    </row>
    <row r="58" spans="2:2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8"/>
      <c r="Y58" s="8"/>
      <c r="Z58" s="8"/>
      <c r="AA58" s="8"/>
    </row>
    <row r="59" spans="2:2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8"/>
      <c r="Y59" s="8"/>
      <c r="Z59" s="8"/>
      <c r="AA59" s="8"/>
    </row>
    <row r="60" spans="2:2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8"/>
      <c r="Y60" s="8"/>
      <c r="Z60" s="8"/>
      <c r="AA60" s="8"/>
    </row>
    <row r="61" spans="2:27">
      <c r="B61" s="14"/>
      <c r="C61" s="12"/>
      <c r="D61" s="12"/>
      <c r="E61" s="12"/>
      <c r="F61" s="12"/>
      <c r="G61" s="12"/>
      <c r="H61" s="12"/>
      <c r="I61" s="12"/>
      <c r="J61" s="12"/>
      <c r="K61" s="12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8"/>
      <c r="Y61" s="8"/>
      <c r="Z61" s="8"/>
      <c r="AA61" s="8"/>
    </row>
    <row r="62" spans="2:27">
      <c r="B62" s="14"/>
      <c r="C62" s="12"/>
      <c r="D62" s="12"/>
      <c r="E62" s="12"/>
      <c r="F62" s="12"/>
      <c r="G62" s="12"/>
      <c r="H62" s="12"/>
      <c r="I62" s="12"/>
      <c r="J62" s="12"/>
      <c r="K62" s="12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8"/>
      <c r="Y62" s="8"/>
      <c r="Z62" s="8"/>
      <c r="AA62" s="8"/>
    </row>
    <row r="63" spans="2:27">
      <c r="B63" s="14"/>
      <c r="C63" s="12"/>
      <c r="D63" s="12"/>
      <c r="E63" s="12"/>
      <c r="F63" s="12"/>
      <c r="G63" s="12"/>
      <c r="H63" s="12"/>
      <c r="I63" s="12"/>
      <c r="J63" s="12"/>
      <c r="K63" s="12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8"/>
      <c r="Y63" s="8"/>
      <c r="Z63" s="8"/>
      <c r="AA63" s="8"/>
    </row>
    <row r="64" spans="2:27">
      <c r="B64" s="14"/>
      <c r="C64" s="12"/>
      <c r="D64" s="12"/>
      <c r="E64" s="12"/>
      <c r="F64" s="12"/>
      <c r="G64" s="12"/>
      <c r="H64" s="12"/>
      <c r="I64" s="12"/>
      <c r="J64" s="12"/>
      <c r="K64" s="12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8"/>
      <c r="Y64" s="8"/>
      <c r="Z64" s="8"/>
      <c r="AA64" s="8"/>
    </row>
    <row r="65" spans="2:2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8"/>
      <c r="Y65" s="8"/>
      <c r="Z65" s="8"/>
      <c r="AA65" s="8"/>
    </row>
    <row r="66" spans="2:2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8"/>
      <c r="Y66" s="8"/>
      <c r="Z66" s="8"/>
      <c r="AA66" s="8"/>
    </row>
    <row r="67" spans="2:2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8"/>
      <c r="Y67" s="8"/>
      <c r="Z67" s="8"/>
      <c r="AA67" s="8"/>
    </row>
    <row r="68" spans="2:2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8"/>
      <c r="Y68" s="8"/>
      <c r="Z68" s="8"/>
      <c r="AA68" s="8"/>
    </row>
    <row r="69" spans="2:2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8"/>
      <c r="Y69" s="8"/>
      <c r="Z69" s="8"/>
      <c r="AA69" s="8"/>
    </row>
    <row r="70" spans="2:27"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2:27"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2:27"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2:27"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2:27"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2:27"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2:27"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2:27"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2:27"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2:27"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2:27">
      <c r="B80" s="12"/>
      <c r="C80" s="12"/>
      <c r="D80" s="12"/>
      <c r="E80" s="12"/>
      <c r="F80" s="12"/>
      <c r="G80" s="12"/>
      <c r="H80" s="12"/>
      <c r="I80" s="12"/>
      <c r="J80" s="12"/>
      <c r="K80" s="12"/>
    </row>
  </sheetData>
  <sheetProtection selectLockedCells="1"/>
  <mergeCells count="12">
    <mergeCell ref="H2:K2"/>
    <mergeCell ref="H5:J5"/>
    <mergeCell ref="E18:F18"/>
    <mergeCell ref="G18:H18"/>
    <mergeCell ref="E30:G30"/>
    <mergeCell ref="I16:K16"/>
    <mergeCell ref="I18:I21"/>
    <mergeCell ref="J18:J21"/>
    <mergeCell ref="K18:K21"/>
    <mergeCell ref="C24:E24"/>
    <mergeCell ref="E19:F19"/>
    <mergeCell ref="G19:H19"/>
  </mergeCells>
  <conditionalFormatting sqref="H5">
    <cfRule type="colorScale" priority="6">
      <colorScale>
        <cfvo type="num" val="0"/>
        <cfvo type="num" val="150"/>
        <cfvo type="num" val="300"/>
        <color theme="9" tint="-0.249977111117893"/>
        <color rgb="FFFFC000"/>
        <color rgb="FFC00000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J5">
    <cfRule type="colorScale" priority="5">
      <colorScale>
        <cfvo type="num" val="0"/>
        <cfvo type="num" val="50"/>
        <cfvo type="num" val="100"/>
        <color theme="9" tint="0.79998168889431442"/>
        <color theme="9" tint="0.39997558519241921"/>
        <color theme="9" tint="-0.249977111117893"/>
      </colorScale>
    </cfRule>
  </conditionalFormatting>
  <conditionalFormatting sqref="D30">
    <cfRule type="colorScale" priority="1">
      <colorScale>
        <cfvo type="num" val="-100"/>
        <cfvo type="num" val="0"/>
        <cfvo type="num" val="100"/>
        <color rgb="FFFF7128"/>
        <color rgb="FF92D050"/>
        <color rgb="FFFFC000"/>
      </colorScale>
    </cfRule>
    <cfRule type="colorScale" priority="2">
      <colorScale>
        <cfvo type="num" val="-1"/>
        <cfvo type="num" val="0"/>
        <cfvo type="num" val="1"/>
        <color rgb="FFFF0000"/>
        <color rgb="FF92D050"/>
        <color rgb="FFC00000"/>
      </colorScale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7</xdr:col>
                    <xdr:colOff>137160</xdr:colOff>
                    <xdr:row>2</xdr:row>
                    <xdr:rowOff>38100</xdr:rowOff>
                  </from>
                  <to>
                    <xdr:col>10</xdr:col>
                    <xdr:colOff>784860</xdr:colOff>
                    <xdr:row>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7</xdr:col>
                    <xdr:colOff>137160</xdr:colOff>
                    <xdr:row>3</xdr:row>
                    <xdr:rowOff>99060</xdr:rowOff>
                  </from>
                  <to>
                    <xdr:col>10</xdr:col>
                    <xdr:colOff>800100</xdr:colOff>
                    <xdr:row>3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croll Bar 3">
              <controlPr defaultSize="0" autoPict="0">
                <anchor moveWithCells="1">
                  <from>
                    <xdr:col>7</xdr:col>
                    <xdr:colOff>137160</xdr:colOff>
                    <xdr:row>4</xdr:row>
                    <xdr:rowOff>76200</xdr:rowOff>
                  </from>
                  <to>
                    <xdr:col>10</xdr:col>
                    <xdr:colOff>800100</xdr:colOff>
                    <xdr:row>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croll Bar 4">
              <controlPr defaultSize="0" autoPict="0">
                <anchor moveWithCells="1">
                  <from>
                    <xdr:col>7</xdr:col>
                    <xdr:colOff>137160</xdr:colOff>
                    <xdr:row>5</xdr:row>
                    <xdr:rowOff>99060</xdr:rowOff>
                  </from>
                  <to>
                    <xdr:col>10</xdr:col>
                    <xdr:colOff>800100</xdr:colOff>
                    <xdr:row>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croll Bar 5">
              <controlPr defaultSize="0" autoPict="0">
                <anchor moveWithCells="1">
                  <from>
                    <xdr:col>7</xdr:col>
                    <xdr:colOff>137160</xdr:colOff>
                    <xdr:row>6</xdr:row>
                    <xdr:rowOff>38100</xdr:rowOff>
                  </from>
                  <to>
                    <xdr:col>10</xdr:col>
                    <xdr:colOff>784860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Scroll Bar 6">
              <controlPr defaultSize="0" autoPict="0">
                <anchor moveWithCells="1">
                  <from>
                    <xdr:col>7</xdr:col>
                    <xdr:colOff>137160</xdr:colOff>
                    <xdr:row>7</xdr:row>
                    <xdr:rowOff>99060</xdr:rowOff>
                  </from>
                  <to>
                    <xdr:col>10</xdr:col>
                    <xdr:colOff>800100</xdr:colOff>
                    <xdr:row>7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Scroll Bar 7">
              <controlPr defaultSize="0" autoPict="0">
                <anchor moveWithCells="1">
                  <from>
                    <xdr:col>7</xdr:col>
                    <xdr:colOff>137160</xdr:colOff>
                    <xdr:row>8</xdr:row>
                    <xdr:rowOff>99060</xdr:rowOff>
                  </from>
                  <to>
                    <xdr:col>10</xdr:col>
                    <xdr:colOff>784860</xdr:colOff>
                    <xdr:row>8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Scroll Bar 8">
              <controlPr defaultSize="0" autoPict="0">
                <anchor moveWithCells="1">
                  <from>
                    <xdr:col>7</xdr:col>
                    <xdr:colOff>137160</xdr:colOff>
                    <xdr:row>9</xdr:row>
                    <xdr:rowOff>99060</xdr:rowOff>
                  </from>
                  <to>
                    <xdr:col>10</xdr:col>
                    <xdr:colOff>784860</xdr:colOff>
                    <xdr:row>9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Scroll Bar 9">
              <controlPr defaultSize="0" autoPict="0">
                <anchor moveWithCells="1">
                  <from>
                    <xdr:col>7</xdr:col>
                    <xdr:colOff>137160</xdr:colOff>
                    <xdr:row>10</xdr:row>
                    <xdr:rowOff>99060</xdr:rowOff>
                  </from>
                  <to>
                    <xdr:col>10</xdr:col>
                    <xdr:colOff>784860</xdr:colOff>
                    <xdr:row>10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Scroll Bar 10">
              <controlPr defaultSize="0" autoPict="0">
                <anchor moveWithCells="1">
                  <from>
                    <xdr:col>7</xdr:col>
                    <xdr:colOff>137160</xdr:colOff>
                    <xdr:row>11</xdr:row>
                    <xdr:rowOff>99060</xdr:rowOff>
                  </from>
                  <to>
                    <xdr:col>10</xdr:col>
                    <xdr:colOff>784860</xdr:colOff>
                    <xdr:row>11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Scroll Bar 11">
              <controlPr defaultSize="0" autoPict="0">
                <anchor moveWithCells="1">
                  <from>
                    <xdr:col>7</xdr:col>
                    <xdr:colOff>114300</xdr:colOff>
                    <xdr:row>25</xdr:row>
                    <xdr:rowOff>60960</xdr:rowOff>
                  </from>
                  <to>
                    <xdr:col>10</xdr:col>
                    <xdr:colOff>784860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Scroll Bar 12">
              <controlPr defaultSize="0" autoPict="0">
                <anchor moveWithCells="1">
                  <from>
                    <xdr:col>7</xdr:col>
                    <xdr:colOff>114300</xdr:colOff>
                    <xdr:row>26</xdr:row>
                    <xdr:rowOff>60960</xdr:rowOff>
                  </from>
                  <to>
                    <xdr:col>10</xdr:col>
                    <xdr:colOff>784860</xdr:colOff>
                    <xdr:row>26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Madi Venter</cp:lastModifiedBy>
  <dcterms:created xsi:type="dcterms:W3CDTF">2016-12-01T19:44:29Z</dcterms:created>
  <dcterms:modified xsi:type="dcterms:W3CDTF">2020-07-31T10:04:19Z</dcterms:modified>
</cp:coreProperties>
</file>